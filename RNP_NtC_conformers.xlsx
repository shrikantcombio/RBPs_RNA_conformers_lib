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drive\RBPs_RNA_conformers\manuscript\RNA_conformers_2026\"/>
    </mc:Choice>
  </mc:AlternateContent>
  <xr:revisionPtr revIDLastSave="0" documentId="13_ncr:1_{BC539CBB-0CE4-4CC1-A9EA-5D1BAAA4E386}" xr6:coauthVersionLast="47" xr6:coauthVersionMax="47" xr10:uidLastSave="{00000000-0000-0000-0000-000000000000}"/>
  <bookViews>
    <workbookView xWindow="-108" yWindow="-108" windowWidth="23256" windowHeight="12456" tabRatio="500" activeTab="5" xr2:uid="{00000000-000D-0000-FFFF-FFFF00000000}"/>
  </bookViews>
  <sheets>
    <sheet name="PRDBv3.1" sheetId="7" r:id="rId1"/>
    <sheet name="RNP_NtC_mean_std" sheetId="12" r:id="rId2"/>
    <sheet name="NtC_steps_int" sheetId="10" r:id="rId3"/>
    <sheet name="NtC_steps_nint" sheetId="11" r:id="rId4"/>
    <sheet name="stats" sheetId="9" r:id="rId5"/>
    <sheet name="NR_145_free_RNA" sheetId="13" r:id="rId6"/>
  </sheets>
  <calcPr calcId="181029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F30" i="12" l="1"/>
  <c r="D31" i="9"/>
  <c r="C31" i="9"/>
  <c r="B31" i="9"/>
</calcChain>
</file>

<file path=xl/sharedStrings.xml><?xml version="1.0" encoding="utf-8"?>
<sst xmlns="http://schemas.openxmlformats.org/spreadsheetml/2006/main" count="3799" uniqueCount="1979">
  <si>
    <t>cluster</t>
  </si>
  <si>
    <t>NtC</t>
  </si>
  <si>
    <t>confal_score</t>
  </si>
  <si>
    <t>chi_1</t>
  </si>
  <si>
    <t>chi_2</t>
  </si>
  <si>
    <t>mu_2</t>
  </si>
  <si>
    <t>AA00</t>
  </si>
  <si>
    <t>AAA</t>
  </si>
  <si>
    <t>AAw</t>
  </si>
  <si>
    <t>AAu</t>
  </si>
  <si>
    <t>AB05</t>
  </si>
  <si>
    <t>A-B</t>
  </si>
  <si>
    <t>OP25</t>
  </si>
  <si>
    <t>OPN</t>
  </si>
  <si>
    <t>OP11</t>
  </si>
  <si>
    <t>B-A pucker and χ torsions, unusual combination of ε, ζ, α, β, bases distant, perpendicular</t>
  </si>
  <si>
    <t>OP04</t>
  </si>
  <si>
    <t>OP32</t>
  </si>
  <si>
    <t>OP22</t>
  </si>
  <si>
    <t>B pucker and χ torsions, unusual combination of ε, ζ, α, β, bases distant angled</t>
  </si>
  <si>
    <t>ZZ1S</t>
  </si>
  <si>
    <t>ZZZ</t>
  </si>
  <si>
    <t>OP20</t>
  </si>
  <si>
    <t>AA10</t>
  </si>
  <si>
    <t>OP17</t>
  </si>
  <si>
    <t>ZZ01</t>
  </si>
  <si>
    <t>OP21</t>
  </si>
  <si>
    <t>AA11</t>
  </si>
  <si>
    <t>OP15</t>
  </si>
  <si>
    <t>ICL</t>
  </si>
  <si>
    <t>BA16</t>
  </si>
  <si>
    <t>B-A</t>
  </si>
  <si>
    <t>pdb_id</t>
  </si>
  <si>
    <t>nuc</t>
  </si>
  <si>
    <t>d1</t>
  </si>
  <si>
    <t>e1</t>
  </si>
  <si>
    <t>z1</t>
  </si>
  <si>
    <t>a2</t>
  </si>
  <si>
    <t>b2</t>
  </si>
  <si>
    <t>g2</t>
  </si>
  <si>
    <t>d2</t>
  </si>
  <si>
    <t>SugarPucker_1</t>
  </si>
  <si>
    <t>SugarPucker_2</t>
  </si>
  <si>
    <t>GlycoBond_1</t>
  </si>
  <si>
    <t>GlycoBond_2</t>
  </si>
  <si>
    <t>NN</t>
  </si>
  <si>
    <t>CC</t>
  </si>
  <si>
    <t>mu</t>
  </si>
  <si>
    <t>CANA</t>
  </si>
  <si>
    <t>Sec_1</t>
  </si>
  <si>
    <t>Sec_2</t>
  </si>
  <si>
    <t>centroid_score</t>
  </si>
  <si>
    <t>C3'-endo</t>
  </si>
  <si>
    <t>anti</t>
  </si>
  <si>
    <t>)</t>
  </si>
  <si>
    <t>AA01</t>
  </si>
  <si>
    <t>1U0B</t>
  </si>
  <si>
    <t>.</t>
  </si>
  <si>
    <t>6VRD</t>
  </si>
  <si>
    <t>B G 19 G 20</t>
  </si>
  <si>
    <t>C2'-endo</t>
  </si>
  <si>
    <t>(</t>
  </si>
  <si>
    <t>1J1U</t>
  </si>
  <si>
    <t>]</t>
  </si>
  <si>
    <t>NANT</t>
  </si>
  <si>
    <t>NAN</t>
  </si>
  <si>
    <t>C1'-exo</t>
  </si>
  <si>
    <t>7PLI</t>
  </si>
  <si>
    <t>1G2E</t>
  </si>
  <si>
    <t>6JVX</t>
  </si>
  <si>
    <t>syn</t>
  </si>
  <si>
    <t>6H9H</t>
  </si>
  <si>
    <t>E G 1 U 2</t>
  </si>
  <si>
    <t>5ELR</t>
  </si>
  <si>
    <t>8H1B</t>
  </si>
  <si>
    <t>C C 32 U 33</t>
  </si>
  <si>
    <t>2R8S</t>
  </si>
  <si>
    <t>R C 166 U 167</t>
  </si>
  <si>
    <t>5F5H</t>
  </si>
  <si>
    <t>7P0V</t>
  </si>
  <si>
    <t>B G 146 C 147</t>
  </si>
  <si>
    <t>5HR7</t>
  </si>
  <si>
    <t>5WZJ</t>
  </si>
  <si>
    <t>4ILL</t>
  </si>
  <si>
    <t>R U 6 C 7</t>
  </si>
  <si>
    <t>7ZHH</t>
  </si>
  <si>
    <t>8AF0</t>
  </si>
  <si>
    <t>2Q66</t>
  </si>
  <si>
    <t>5UD5</t>
  </si>
  <si>
    <t>1QTQ</t>
  </si>
  <si>
    <t>2BGG</t>
  </si>
  <si>
    <t>4H5P</t>
  </si>
  <si>
    <t>1SDS</t>
  </si>
  <si>
    <t>C2'-exo</t>
  </si>
  <si>
    <t>3NMR</t>
  </si>
  <si>
    <t>7C45</t>
  </si>
  <si>
    <t>5DET</t>
  </si>
  <si>
    <t>1ZH5</t>
  </si>
  <si>
    <t>O4'-endo</t>
  </si>
  <si>
    <t>7XPL</t>
  </si>
  <si>
    <t>3RW6</t>
  </si>
  <si>
    <t>7R9G</t>
  </si>
  <si>
    <t>3K5Q</t>
  </si>
  <si>
    <t>7OS0</t>
  </si>
  <si>
    <t>1M5O</t>
  </si>
  <si>
    <t>5AOX</t>
  </si>
  <si>
    <t>[</t>
  </si>
  <si>
    <t>A C 44 U 45</t>
  </si>
  <si>
    <t>2GXB</t>
  </si>
  <si>
    <t>7KKV</t>
  </si>
  <si>
    <t>3VJR</t>
  </si>
  <si>
    <t>B C 35 A 36</t>
  </si>
  <si>
    <t>C3'-exo</t>
  </si>
  <si>
    <t>1F7U</t>
  </si>
  <si>
    <t>2ANR</t>
  </si>
  <si>
    <t>3IEV</t>
  </si>
  <si>
    <t>R A 123 C 124</t>
  </si>
  <si>
    <t>PR_chains</t>
  </si>
  <si>
    <t>Complex_Protein_Name</t>
  </si>
  <si>
    <t>Residues_Count</t>
  </si>
  <si>
    <t>RNA_Name</t>
  </si>
  <si>
    <t>Nucleotides_Count</t>
  </si>
  <si>
    <t>Resolution</t>
  </si>
  <si>
    <t>Structural_Class</t>
  </si>
  <si>
    <t>BSA</t>
  </si>
  <si>
    <t>BSA_Protein</t>
  </si>
  <si>
    <t>BSA_RNA</t>
  </si>
  <si>
    <t>A:BC</t>
  </si>
  <si>
    <t>C</t>
  </si>
  <si>
    <t>ABCD:EF</t>
  </si>
  <si>
    <t>20</t>
  </si>
  <si>
    <t>D</t>
  </si>
  <si>
    <t>A:CD</t>
  </si>
  <si>
    <t>siRNA</t>
  </si>
  <si>
    <t>A:G</t>
  </si>
  <si>
    <t>36</t>
  </si>
  <si>
    <t>22</t>
  </si>
  <si>
    <t>rRNA</t>
  </si>
  <si>
    <t>AB:C</t>
  </si>
  <si>
    <t>253+253</t>
  </si>
  <si>
    <t>14+14</t>
  </si>
  <si>
    <t>A:B</t>
  </si>
  <si>
    <t>tRNA-Arg</t>
  </si>
  <si>
    <t>77</t>
  </si>
  <si>
    <t>A</t>
  </si>
  <si>
    <t>CrRNA</t>
  </si>
  <si>
    <t>43</t>
  </si>
  <si>
    <t>B:D</t>
  </si>
  <si>
    <t>15</t>
  </si>
  <si>
    <t>B</t>
  </si>
  <si>
    <t>duplex RNA</t>
  </si>
  <si>
    <t>6</t>
  </si>
  <si>
    <t>A:E</t>
  </si>
  <si>
    <t>409</t>
  </si>
  <si>
    <t>tRNA-Cys</t>
  </si>
  <si>
    <t>A:R</t>
  </si>
  <si>
    <t>24+24</t>
  </si>
  <si>
    <t>dsRNA</t>
  </si>
  <si>
    <t>8+8</t>
  </si>
  <si>
    <t>TRNA</t>
  </si>
  <si>
    <t>76</t>
  </si>
  <si>
    <t>tRNA-Asp</t>
  </si>
  <si>
    <t>75</t>
  </si>
  <si>
    <t>A:C</t>
  </si>
  <si>
    <t>tRNA-Tyr</t>
  </si>
  <si>
    <t>86</t>
  </si>
  <si>
    <t>AB:E</t>
  </si>
  <si>
    <t>642</t>
  </si>
  <si>
    <t>tRNA-Thr</t>
  </si>
  <si>
    <t>94</t>
  </si>
  <si>
    <t>tRNA-Leu</t>
  </si>
  <si>
    <t>83</t>
  </si>
  <si>
    <t>polyA</t>
  </si>
  <si>
    <t>5</t>
  </si>
  <si>
    <t>tRNA-Ile</t>
  </si>
  <si>
    <t>B:A</t>
  </si>
  <si>
    <t>74</t>
  </si>
  <si>
    <t>A:PT</t>
  </si>
  <si>
    <t>6+6</t>
  </si>
  <si>
    <t>266</t>
  </si>
  <si>
    <t>crRNA</t>
  </si>
  <si>
    <t>19+19</t>
  </si>
  <si>
    <t>Synthetic RNA</t>
  </si>
  <si>
    <t>10</t>
  </si>
  <si>
    <t>Human T-STAR proteins</t>
  </si>
  <si>
    <t>113</t>
  </si>
  <si>
    <t>RNA</t>
  </si>
  <si>
    <t>bulge-helix-bulge RNA</t>
  </si>
  <si>
    <t>C:D</t>
  </si>
  <si>
    <t>tRNA-Phe</t>
  </si>
  <si>
    <t>72</t>
  </si>
  <si>
    <t>9</t>
  </si>
  <si>
    <t>AB:CD</t>
  </si>
  <si>
    <t>21+21</t>
  </si>
  <si>
    <t>tRNA-Sec</t>
  </si>
  <si>
    <t>90</t>
  </si>
  <si>
    <t>35</t>
  </si>
  <si>
    <t>92</t>
  </si>
  <si>
    <t>B:C</t>
  </si>
  <si>
    <t>11</t>
  </si>
  <si>
    <t>124</t>
  </si>
  <si>
    <t>piRNA</t>
  </si>
  <si>
    <t>14</t>
  </si>
  <si>
    <t>12</t>
  </si>
  <si>
    <t>258</t>
  </si>
  <si>
    <t>13</t>
  </si>
  <si>
    <t>substrate RNA</t>
  </si>
  <si>
    <t>Nucleocapsid</t>
  </si>
  <si>
    <t>polyU</t>
  </si>
  <si>
    <t>18</t>
  </si>
  <si>
    <t>Cas13b</t>
  </si>
  <si>
    <t>CRISPR RNA</t>
  </si>
  <si>
    <t>34</t>
  </si>
  <si>
    <t>664</t>
  </si>
  <si>
    <t>7</t>
  </si>
  <si>
    <t>AB:R</t>
  </si>
  <si>
    <t>349</t>
  </si>
  <si>
    <t>18+18</t>
  </si>
  <si>
    <t>6-mer RNA</t>
  </si>
  <si>
    <t>50</t>
  </si>
  <si>
    <t>A:D</t>
  </si>
  <si>
    <t>182</t>
  </si>
  <si>
    <t>26</t>
  </si>
  <si>
    <t>217</t>
  </si>
  <si>
    <t>17</t>
  </si>
  <si>
    <t>16</t>
  </si>
  <si>
    <t>P:R</t>
  </si>
  <si>
    <t>A:M</t>
  </si>
  <si>
    <t>16S rRNA</t>
  </si>
  <si>
    <t>37</t>
  </si>
  <si>
    <t>AC:BD</t>
  </si>
  <si>
    <t>149</t>
  </si>
  <si>
    <t>73+73</t>
  </si>
  <si>
    <t>A:X</t>
  </si>
  <si>
    <t>8</t>
  </si>
  <si>
    <t>162</t>
  </si>
  <si>
    <t>B:E</t>
  </si>
  <si>
    <t>8AXF</t>
  </si>
  <si>
    <t>ABCD:Q</t>
  </si>
  <si>
    <t>E. Fici Nucleocapsid protein</t>
  </si>
  <si>
    <t>315</t>
  </si>
  <si>
    <t>SsRNA</t>
  </si>
  <si>
    <t>42</t>
  </si>
  <si>
    <t>1MJI</t>
  </si>
  <si>
    <t>T. thermophilus ribosomal protein L5</t>
  </si>
  <si>
    <t>5S rRNA fragment</t>
  </si>
  <si>
    <t>1N35</t>
  </si>
  <si>
    <t>Reovirus polymerase</t>
  </si>
  <si>
    <t>1267</t>
  </si>
  <si>
    <t>5+10</t>
  </si>
  <si>
    <t>2G4B</t>
  </si>
  <si>
    <t>Splicing factor U2AF</t>
  </si>
  <si>
    <t>172</t>
  </si>
  <si>
    <t>Polypyrimidine</t>
  </si>
  <si>
    <t>2YKG</t>
  </si>
  <si>
    <t>RIG-I</t>
  </si>
  <si>
    <t>696</t>
  </si>
  <si>
    <t>10+10</t>
  </si>
  <si>
    <t>3OL6</t>
  </si>
  <si>
    <t>A:BCD</t>
  </si>
  <si>
    <t>Poliovirus polymerase</t>
  </si>
  <si>
    <t>471</t>
  </si>
  <si>
    <t>26+14+9</t>
  </si>
  <si>
    <t>4QU7</t>
  </si>
  <si>
    <t>A:U</t>
  </si>
  <si>
    <t>Human GRSF1</t>
  </si>
  <si>
    <t>81</t>
  </si>
  <si>
    <t>7KFN</t>
  </si>
  <si>
    <t>AD:BC</t>
  </si>
  <si>
    <t>H. sapiens adenosine deaminase</t>
  </si>
  <si>
    <t>403</t>
  </si>
  <si>
    <t>dsRNA Gli1 8AZ+1W5</t>
  </si>
  <si>
    <t>23+23</t>
  </si>
  <si>
    <t>E. Coli K-12 ATP-dependent RNA helicase DbpA</t>
  </si>
  <si>
    <t>459</t>
  </si>
  <si>
    <t>single stranded RNA</t>
  </si>
  <si>
    <t>24</t>
  </si>
  <si>
    <t>AB:RC</t>
  </si>
  <si>
    <t>endoribonuclease Cas6</t>
  </si>
  <si>
    <t>289+289</t>
  </si>
  <si>
    <t>6U6Y</t>
  </si>
  <si>
    <t>AD:EH</t>
  </si>
  <si>
    <t>H. sapiens deoxynucleoside triphosphate triphosphohydrolase SAMHD1</t>
  </si>
  <si>
    <t>533</t>
  </si>
  <si>
    <t>ribo(CGCCU)-oligonucleotide</t>
  </si>
  <si>
    <t>4M59</t>
  </si>
  <si>
    <t>Chloroplast ppr10</t>
  </si>
  <si>
    <t>718+718</t>
  </si>
  <si>
    <t>psaJ RNA</t>
  </si>
  <si>
    <t>1KNZ</t>
  </si>
  <si>
    <t>AB:W</t>
  </si>
  <si>
    <t>Rotavirus NSP3</t>
  </si>
  <si>
    <t>164</t>
  </si>
  <si>
    <t>mRNA</t>
  </si>
  <si>
    <t>1OOA</t>
  </si>
  <si>
    <t>NF-kappaB p50</t>
  </si>
  <si>
    <t>326</t>
  </si>
  <si>
    <t>aptamer RNA</t>
  </si>
  <si>
    <t>29</t>
  </si>
  <si>
    <t>6A4E</t>
  </si>
  <si>
    <t>Oligoribonuclease</t>
  </si>
  <si>
    <t>181</t>
  </si>
  <si>
    <t>U-rich RNA</t>
  </si>
  <si>
    <t>7A9X</t>
  </si>
  <si>
    <t>S. cerevisiae protein RMD9, mitochondrial</t>
  </si>
  <si>
    <t>603</t>
  </si>
  <si>
    <t>3'-UTRs  mRNA</t>
  </si>
  <si>
    <t>2QUX</t>
  </si>
  <si>
    <t>Pseudomonas phage PP7 coat protein</t>
  </si>
  <si>
    <t>125+125</t>
  </si>
  <si>
    <t>hairpin RNA</t>
  </si>
  <si>
    <t>25</t>
  </si>
  <si>
    <t>3BT7</t>
  </si>
  <si>
    <t>Methyltransferase TrmA</t>
  </si>
  <si>
    <t>369</t>
  </si>
  <si>
    <t>T-arm analogue</t>
  </si>
  <si>
    <t>19</t>
  </si>
  <si>
    <t>5N94</t>
  </si>
  <si>
    <t>DHX36 helicase</t>
  </si>
  <si>
    <t>944</t>
  </si>
  <si>
    <t>PolyU</t>
  </si>
  <si>
    <t>H. Sapiens Angiogenin</t>
  </si>
  <si>
    <t>123</t>
  </si>
  <si>
    <t>7Z42</t>
  </si>
  <si>
    <t>AB:V</t>
  </si>
  <si>
    <t>Influenza B virus Type B and type A influenza polymerases</t>
  </si>
  <si>
    <t>751+772</t>
  </si>
  <si>
    <t>vRNA</t>
  </si>
  <si>
    <t>1C0A</t>
  </si>
  <si>
    <t>E. coli aspartyl-tRNA synthetase</t>
  </si>
  <si>
    <t>585</t>
  </si>
  <si>
    <t>2A8V</t>
  </si>
  <si>
    <t>RHO</t>
  </si>
  <si>
    <t>118</t>
  </si>
  <si>
    <t>Cytosine rich RNA</t>
  </si>
  <si>
    <t>2DLC</t>
  </si>
  <si>
    <t>XA:YG</t>
  </si>
  <si>
    <t>Tyrosyl-tRNA synthetase</t>
  </si>
  <si>
    <t>394</t>
  </si>
  <si>
    <t>2XZO</t>
  </si>
  <si>
    <t>Upf1 helicase</t>
  </si>
  <si>
    <t>623</t>
  </si>
  <si>
    <t>3KS8</t>
  </si>
  <si>
    <t>AB:EF</t>
  </si>
  <si>
    <t>Polymerase cofactor VP35</t>
  </si>
  <si>
    <t>184+184</t>
  </si>
  <si>
    <t>Peptidyl-tRNA hydrolase</t>
  </si>
  <si>
    <t>197</t>
  </si>
  <si>
    <t>tRNA CCA-acceptor</t>
  </si>
  <si>
    <t>4L8H</t>
  </si>
  <si>
    <t>bacteriophage Qβ coat protein</t>
  </si>
  <si>
    <t>132+132</t>
  </si>
  <si>
    <t>operator hairpin RNA</t>
  </si>
  <si>
    <t>RNA methyltransferase RlmN</t>
  </si>
  <si>
    <t>404</t>
  </si>
  <si>
    <t>TRNA-Glu</t>
  </si>
  <si>
    <t>7NDJ</t>
  </si>
  <si>
    <t>M. musculus CCCH Zn-finger domains</t>
  </si>
  <si>
    <t>192</t>
  </si>
  <si>
    <t>single-stranded RNA heptamer</t>
  </si>
  <si>
    <t>S. cerevisiae tRNA pseudouridine synthase 1</t>
  </si>
  <si>
    <t>544</t>
  </si>
  <si>
    <t xml:space="preserve"> tRNA</t>
  </si>
  <si>
    <t>5ID6</t>
  </si>
  <si>
    <t>L. bacterium Cpf1</t>
  </si>
  <si>
    <t>1228</t>
  </si>
  <si>
    <t>21</t>
  </si>
  <si>
    <t>7VSJ</t>
  </si>
  <si>
    <t>M. Musculus Insulin-like growth factor 2 mRNA-binding protein 3</t>
  </si>
  <si>
    <t>9-mer RNA</t>
  </si>
  <si>
    <t>Pyrrolysyl-tRNA synthetase</t>
  </si>
  <si>
    <t>109</t>
  </si>
  <si>
    <t>tRNA(Pyl)</t>
  </si>
  <si>
    <t>7EIU</t>
  </si>
  <si>
    <t>S. pombe Meiosis protein mei2 RRM3</t>
  </si>
  <si>
    <t>155</t>
  </si>
  <si>
    <t>meiRNA</t>
  </si>
  <si>
    <t>2JEA</t>
  </si>
  <si>
    <t>S. solfataricus exosome</t>
  </si>
  <si>
    <t>277+250</t>
  </si>
  <si>
    <t>1FEU</t>
  </si>
  <si>
    <t>Ribosomal protein L5</t>
  </si>
  <si>
    <t>206</t>
  </si>
  <si>
    <t>5s rRNA</t>
  </si>
  <si>
    <t>19+21</t>
  </si>
  <si>
    <t>RRMdomain of the HuD protein</t>
  </si>
  <si>
    <t>167</t>
  </si>
  <si>
    <t>class II ARE fragment</t>
  </si>
  <si>
    <t>1LNG</t>
  </si>
  <si>
    <t>M. jannaschii SRP19</t>
  </si>
  <si>
    <t>87</t>
  </si>
  <si>
    <t>7S SRP RNA</t>
  </si>
  <si>
    <t>97</t>
  </si>
  <si>
    <t>E.coli cysteinyl-tRNA synthetase</t>
  </si>
  <si>
    <t>461</t>
  </si>
  <si>
    <t>1WSU</t>
  </si>
  <si>
    <t>Elongation Factor SelB</t>
  </si>
  <si>
    <t>SECIS RNA</t>
  </si>
  <si>
    <t>23</t>
  </si>
  <si>
    <t>2PJP</t>
  </si>
  <si>
    <t>E.coli  SelB</t>
  </si>
  <si>
    <t>121</t>
  </si>
  <si>
    <t>2VNU</t>
  </si>
  <si>
    <t>D:B</t>
  </si>
  <si>
    <t>Exonuclease  Rrp44</t>
  </si>
  <si>
    <t>760</t>
  </si>
  <si>
    <t>ssRNA</t>
  </si>
  <si>
    <t>A:H</t>
  </si>
  <si>
    <t>Nuclear RNA export factor 1</t>
  </si>
  <si>
    <t>267</t>
  </si>
  <si>
    <t>CTE RNA</t>
  </si>
  <si>
    <t>62</t>
  </si>
  <si>
    <t>5ELK</t>
  </si>
  <si>
    <t>CCCH Zinc fingers from Unkempt homolog</t>
  </si>
  <si>
    <t>133</t>
  </si>
  <si>
    <t>UAG trimer containing RNA</t>
  </si>
  <si>
    <t>C:B</t>
  </si>
  <si>
    <t>136</t>
  </si>
  <si>
    <t>5TF6</t>
  </si>
  <si>
    <t>S. cerevisiae U4/U6 snRNA-associated splicing factor Prp24</t>
  </si>
  <si>
    <t>374</t>
  </si>
  <si>
    <t>U6 snRNA</t>
  </si>
  <si>
    <t>5W0M</t>
  </si>
  <si>
    <t>TUT7 catalytic module</t>
  </si>
  <si>
    <t>389</t>
  </si>
  <si>
    <t>RBM38</t>
  </si>
  <si>
    <t>128</t>
  </si>
  <si>
    <t>single-stranded RNA</t>
  </si>
  <si>
    <t>6A6J</t>
  </si>
  <si>
    <t>cold shock domain of Ybx1</t>
  </si>
  <si>
    <t>93</t>
  </si>
  <si>
    <t>6mer m5C RNA</t>
  </si>
  <si>
    <t>E. Coli Glutaminyl-tRNA synthetase</t>
  </si>
  <si>
    <t>553</t>
  </si>
  <si>
    <t>tRNA-Gln</t>
  </si>
  <si>
    <t>A:EF</t>
  </si>
  <si>
    <t>Z alpha domain of adenosine deaminase</t>
  </si>
  <si>
    <t>66</t>
  </si>
  <si>
    <t>7+7</t>
  </si>
  <si>
    <t>7XWZ</t>
  </si>
  <si>
    <t>SARS-CoV-2 N-NTD Nucleoprotein</t>
  </si>
  <si>
    <t>125</t>
  </si>
  <si>
    <t xml:space="preserve">  dsRNA</t>
  </si>
  <si>
    <t>6L5N</t>
  </si>
  <si>
    <t>H. sapiens nucleolar RNA helicase 2</t>
  </si>
  <si>
    <t>377</t>
  </si>
  <si>
    <t>poly(U)-15mer</t>
  </si>
  <si>
    <t>Roquin-2</t>
  </si>
  <si>
    <t>180</t>
  </si>
  <si>
    <t>MRNA</t>
  </si>
  <si>
    <t>6PZQ</t>
  </si>
  <si>
    <t>AB:IJ</t>
  </si>
  <si>
    <t>H. Respiratory Syncytial Virus M2-1 Protein</t>
  </si>
  <si>
    <t>194</t>
  </si>
  <si>
    <t>Short Positive-Sense Gene-End RNA</t>
  </si>
  <si>
    <t>3MDG</t>
  </si>
  <si>
    <t>CFI(m)25</t>
  </si>
  <si>
    <t>227+227</t>
  </si>
  <si>
    <t>pre-mRNA</t>
  </si>
  <si>
    <t>8JOZ</t>
  </si>
  <si>
    <t>E. Coli CmoM</t>
  </si>
  <si>
    <t>282</t>
  </si>
  <si>
    <t>tRNA Ser</t>
  </si>
  <si>
    <t>88</t>
  </si>
  <si>
    <t>2J0S</t>
  </si>
  <si>
    <t>ACDT:E</t>
  </si>
  <si>
    <t>Exon junction complex</t>
  </si>
  <si>
    <t>410+146+89+150</t>
  </si>
  <si>
    <t>6D12</t>
  </si>
  <si>
    <t>xRRM domain of human Larp7</t>
  </si>
  <si>
    <t>7SK stem-loop 4 RNA</t>
  </si>
  <si>
    <t>38</t>
  </si>
  <si>
    <t>ABEF:GHIJ</t>
  </si>
  <si>
    <t>S. Solfataricus C/D box methylation guide ribonucleoprotein complex aNOP56 subunit</t>
  </si>
  <si>
    <t>388+232</t>
  </si>
  <si>
    <t>BMG3 RNA strand AB+guide RNA</t>
  </si>
  <si>
    <t>29+29+11</t>
  </si>
  <si>
    <t>arginyl-tRNA synthetase</t>
  </si>
  <si>
    <t>607</t>
  </si>
  <si>
    <t>1FFY</t>
  </si>
  <si>
    <t>A:T</t>
  </si>
  <si>
    <t>Isoleucyl-tRNA synthetase</t>
  </si>
  <si>
    <t>917</t>
  </si>
  <si>
    <t>C:AB</t>
  </si>
  <si>
    <t>U1 Snp</t>
  </si>
  <si>
    <t>100</t>
  </si>
  <si>
    <t>Hairpin ribozyme</t>
  </si>
  <si>
    <t>1M8W</t>
  </si>
  <si>
    <t>A:CE</t>
  </si>
  <si>
    <t>Pumilio-homology domain</t>
  </si>
  <si>
    <t>Nre1-19  RNA</t>
  </si>
  <si>
    <t>1YVP</t>
  </si>
  <si>
    <t>B:EFH</t>
  </si>
  <si>
    <t>Ro autoantigen</t>
  </si>
  <si>
    <t>538</t>
  </si>
  <si>
    <t>Y RNA</t>
  </si>
  <si>
    <t>10+10+10</t>
  </si>
  <si>
    <t>A:PQ</t>
  </si>
  <si>
    <t>A. fulgidus PIWI</t>
  </si>
  <si>
    <t>427</t>
  </si>
  <si>
    <t>2DB3</t>
  </si>
  <si>
    <t>DEAD-box helicase vasa</t>
  </si>
  <si>
    <t>434</t>
  </si>
  <si>
    <t>FBF</t>
  </si>
  <si>
    <t>412</t>
  </si>
  <si>
    <t>3ZJT</t>
  </si>
  <si>
    <t>E.coli leucyl-tRNA synthetase</t>
  </si>
  <si>
    <t>880</t>
  </si>
  <si>
    <t>4ATO</t>
  </si>
  <si>
    <t>ABC:GHI</t>
  </si>
  <si>
    <t>B. thuringiensis ToxN</t>
  </si>
  <si>
    <t>194+194+194</t>
  </si>
  <si>
    <t>B. thuringiensis ToxI</t>
  </si>
  <si>
    <t>5Z98</t>
  </si>
  <si>
    <t>CpzA3H</t>
  </si>
  <si>
    <t>185+185</t>
  </si>
  <si>
    <t>5ZSC</t>
  </si>
  <si>
    <t>Toll-like receptor 7</t>
  </si>
  <si>
    <t>823+823</t>
  </si>
  <si>
    <t>CCUUCC RNA</t>
  </si>
  <si>
    <t>6RTI</t>
  </si>
  <si>
    <t>H. sapiens glutamate carboxypeptidase 2</t>
  </si>
  <si>
    <t>707</t>
  </si>
  <si>
    <t>A9gRNA aptamer (43-MER)</t>
  </si>
  <si>
    <t>A:F</t>
  </si>
  <si>
    <t>R. capsulatus Cas13a</t>
  </si>
  <si>
    <t>1304</t>
  </si>
  <si>
    <t>54</t>
  </si>
  <si>
    <t>6L1W</t>
  </si>
  <si>
    <t>Zinc finger CCCH-type antiviral protein 1</t>
  </si>
  <si>
    <t>228</t>
  </si>
  <si>
    <t>CG rich RNA</t>
  </si>
  <si>
    <t>7K98</t>
  </si>
  <si>
    <t>ABDE:CF</t>
  </si>
  <si>
    <t xml:space="preserve">M. tuberculosis phenylalanine-tRNA ligase alpha subunit </t>
  </si>
  <si>
    <t>344+840</t>
  </si>
  <si>
    <t>5ZQ8</t>
  </si>
  <si>
    <t>RlmCD</t>
  </si>
  <si>
    <t>454</t>
  </si>
  <si>
    <t>U747 stemloop RNA</t>
  </si>
  <si>
    <t>7OM6</t>
  </si>
  <si>
    <t>AB:CDEF</t>
  </si>
  <si>
    <t>T. asigna virus RdRP domain</t>
  </si>
  <si>
    <t>684</t>
  </si>
  <si>
    <t>RNA oligonucleotide</t>
  </si>
  <si>
    <t>1UVI</t>
  </si>
  <si>
    <t>phi6 RNA polymerase</t>
  </si>
  <si>
    <t>2BH2</t>
  </si>
  <si>
    <t>Methyltransferase RumA</t>
  </si>
  <si>
    <t>433</t>
  </si>
  <si>
    <t>23S rRNA</t>
  </si>
  <si>
    <t>245+245</t>
  </si>
  <si>
    <t>1MSW</t>
  </si>
  <si>
    <t>D:R</t>
  </si>
  <si>
    <t>T7 RNA polymerase</t>
  </si>
  <si>
    <t>883</t>
  </si>
  <si>
    <t>RNA transcript</t>
  </si>
  <si>
    <t>1N78</t>
  </si>
  <si>
    <t xml:space="preserve">T. thermophilus glutamyl-tRNA synthetase </t>
  </si>
  <si>
    <t>468</t>
  </si>
  <si>
    <t>tRNA-Glu</t>
  </si>
  <si>
    <t>1R3E</t>
  </si>
  <si>
    <t>A:CDE</t>
  </si>
  <si>
    <t>Pseudouridine Synthase TruB</t>
  </si>
  <si>
    <t>309</t>
  </si>
  <si>
    <t>tRNA fragment</t>
  </si>
  <si>
    <t>2HW8</t>
  </si>
  <si>
    <t>Ribosomal protein L1</t>
  </si>
  <si>
    <t>5THE</t>
  </si>
  <si>
    <t>V. polyspora catalytic C-terminal lobe of yeast Argonaute</t>
  </si>
  <si>
    <t>549</t>
  </si>
  <si>
    <t>guide RNA</t>
  </si>
  <si>
    <t>At Pumilio homolog 23</t>
  </si>
  <si>
    <t>582</t>
  </si>
  <si>
    <t>18S rRNA</t>
  </si>
  <si>
    <t>6WXY</t>
  </si>
  <si>
    <t>BC:A</t>
  </si>
  <si>
    <t>T. succinifaciens card1 nuclease</t>
  </si>
  <si>
    <t>382</t>
  </si>
  <si>
    <t>CrRNA cA6-bound</t>
  </si>
  <si>
    <t>7V4G</t>
  </si>
  <si>
    <t>H. sapiens RNA demethylase ALKBH5</t>
  </si>
  <si>
    <t>220</t>
  </si>
  <si>
    <t>m6A-containing ssRNA</t>
  </si>
  <si>
    <t>8DZK</t>
  </si>
  <si>
    <t>E. Histolytica RNA lariat debranching enzyme, putative</t>
  </si>
  <si>
    <t>356</t>
  </si>
  <si>
    <t>5-mer RNA</t>
  </si>
  <si>
    <t>8BH9</t>
  </si>
  <si>
    <t>C. Tropicalis Est1</t>
  </si>
  <si>
    <t>532</t>
  </si>
  <si>
    <t>LC1 telomerase RNA fragment 427-435 / 496-504</t>
  </si>
  <si>
    <t>5AOR</t>
  </si>
  <si>
    <t>D. melanogaster RNA Helicase Mle</t>
  </si>
  <si>
    <t>1293</t>
  </si>
  <si>
    <t>2EZ6</t>
  </si>
  <si>
    <t>RNase III</t>
  </si>
  <si>
    <t>221+221</t>
  </si>
  <si>
    <t>28-mer RNA</t>
  </si>
  <si>
    <t>28+28</t>
  </si>
  <si>
    <t>2I82</t>
  </si>
  <si>
    <t>Pseudouridine synthase  RluA</t>
  </si>
  <si>
    <t>7Y7Q</t>
  </si>
  <si>
    <t>AB:CED</t>
  </si>
  <si>
    <t>N. Crasa RNA-dependent RNA polymerase</t>
  </si>
  <si>
    <t>1026</t>
  </si>
  <si>
    <t>SiRNAs</t>
  </si>
  <si>
    <t>14+7</t>
  </si>
  <si>
    <t>2JLU</t>
  </si>
  <si>
    <t>Serine protease subunit NS3</t>
  </si>
  <si>
    <t>451</t>
  </si>
  <si>
    <t>Human SRP</t>
  </si>
  <si>
    <t>85+94</t>
  </si>
  <si>
    <t>2B3J</t>
  </si>
  <si>
    <t>TadA</t>
  </si>
  <si>
    <t>159</t>
  </si>
  <si>
    <t>tRNA-Arg2</t>
  </si>
  <si>
    <t>3EQT</t>
  </si>
  <si>
    <t>Helicase DHX58</t>
  </si>
  <si>
    <t>145</t>
  </si>
  <si>
    <t>3O8C</t>
  </si>
  <si>
    <t>HCV NS3 helicase</t>
  </si>
  <si>
    <t>666</t>
  </si>
  <si>
    <t>5UDZ</t>
  </si>
  <si>
    <t>A:V</t>
  </si>
  <si>
    <t>LIN28A</t>
  </si>
  <si>
    <t>148</t>
  </si>
  <si>
    <t>let-7f-1 microRNA pre-element</t>
  </si>
  <si>
    <t>5WWX</t>
  </si>
  <si>
    <t>KH2 domain of MEX-3C</t>
  </si>
  <si>
    <t>6DCB</t>
  </si>
  <si>
    <t>methylphosphate capping enzyme</t>
  </si>
  <si>
    <t xml:space="preserve"> 5' end of 7SK RNA</t>
  </si>
  <si>
    <t>6JIM</t>
  </si>
  <si>
    <t>Chikungunya virus nsP2 helicase</t>
  </si>
  <si>
    <t>465</t>
  </si>
  <si>
    <t>7DOL</t>
  </si>
  <si>
    <t>M. genitalium Ribonuclease R</t>
  </si>
  <si>
    <t>747</t>
  </si>
  <si>
    <t>A. halodurans OapB protein</t>
  </si>
  <si>
    <t>98</t>
  </si>
  <si>
    <t>OLE RNA target</t>
  </si>
  <si>
    <t>60</t>
  </si>
  <si>
    <t>7WKP</t>
  </si>
  <si>
    <t>V. Phage ICP1  Csy4</t>
  </si>
  <si>
    <t>189</t>
  </si>
  <si>
    <t>3' stem loop crRNA</t>
  </si>
  <si>
    <t>7KL3</t>
  </si>
  <si>
    <t>Influenza A virus california PA endonuclease</t>
  </si>
  <si>
    <t>RNA oligomer AG*CAUC</t>
  </si>
  <si>
    <t>1JBS</t>
  </si>
  <si>
    <t>Restrictocin</t>
  </si>
  <si>
    <t>SRD RNA Analogue</t>
  </si>
  <si>
    <t>8PE3</t>
  </si>
  <si>
    <t>S. Thermophilus CRISPR  Csm6'</t>
  </si>
  <si>
    <t>390+390</t>
  </si>
  <si>
    <t>AC:BE</t>
  </si>
  <si>
    <t>M. jannaschii Tyrosyl-tRNA synthetase</t>
  </si>
  <si>
    <t>306+306</t>
  </si>
  <si>
    <t>LH:R</t>
  </si>
  <si>
    <t>synthetic FAB</t>
  </si>
  <si>
    <t>214+224</t>
  </si>
  <si>
    <t>Ribozyme</t>
  </si>
  <si>
    <t>AB:PQ</t>
  </si>
  <si>
    <t>Human RBPMS</t>
  </si>
  <si>
    <t>CAC containing RNA</t>
  </si>
  <si>
    <t>5+4</t>
  </si>
  <si>
    <t>5I4A</t>
  </si>
  <si>
    <t>M. piezophila KA3 Argonaute protein</t>
  </si>
  <si>
    <t>5ZUU</t>
  </si>
  <si>
    <t>C:F</t>
  </si>
  <si>
    <t>A. thaliana AtCPSF30 YTH domain</t>
  </si>
  <si>
    <t xml:space="preserve"> m6A-modified RNA</t>
  </si>
  <si>
    <t>7VKL</t>
  </si>
  <si>
    <t>zipcode RNA</t>
  </si>
  <si>
    <t>Nova-1 KH1/KH2 domain</t>
  </si>
  <si>
    <t>178</t>
  </si>
  <si>
    <t>1C9S</t>
  </si>
  <si>
    <t>L:W</t>
  </si>
  <si>
    <t>TRAP</t>
  </si>
  <si>
    <t>1DI2</t>
  </si>
  <si>
    <t>dsRBD A</t>
  </si>
  <si>
    <t>69+69</t>
  </si>
  <si>
    <t>3DD2</t>
  </si>
  <si>
    <t>H:B</t>
  </si>
  <si>
    <t>Thrombin</t>
  </si>
  <si>
    <t>26-mer RNA</t>
  </si>
  <si>
    <t>3I5X</t>
  </si>
  <si>
    <t>Mss116p</t>
  </si>
  <si>
    <t>563</t>
  </si>
  <si>
    <t>GTPase era</t>
  </si>
  <si>
    <t>308</t>
  </si>
  <si>
    <t>3R2C</t>
  </si>
  <si>
    <t>AJ:R</t>
  </si>
  <si>
    <t>NusB-NusE</t>
  </si>
  <si>
    <t>148+83</t>
  </si>
  <si>
    <t>BoxA RNA</t>
  </si>
  <si>
    <t>6FQ3</t>
  </si>
  <si>
    <t>E3 ubiquitin-protein ligase TRIM71</t>
  </si>
  <si>
    <t>lin-29A 5'UTR</t>
  </si>
  <si>
    <t>6GC5</t>
  </si>
  <si>
    <t>HuR RRM3</t>
  </si>
  <si>
    <t>AU-rich RNA</t>
  </si>
  <si>
    <t>6YRQ</t>
  </si>
  <si>
    <t>A. orthohantavirus tetramerization domain of the glycoprotein Gn</t>
  </si>
  <si>
    <t>7VTI</t>
  </si>
  <si>
    <t>P. Bacterium Cas13bt3</t>
  </si>
  <si>
    <t>777</t>
  </si>
  <si>
    <t>41</t>
  </si>
  <si>
    <t>4HOR</t>
  </si>
  <si>
    <t>IFIT</t>
  </si>
  <si>
    <t>482</t>
  </si>
  <si>
    <t>polyC</t>
  </si>
  <si>
    <t>6HAU</t>
  </si>
  <si>
    <t>AB:D</t>
  </si>
  <si>
    <t>mRNA export factor ICP27 homolog</t>
  </si>
  <si>
    <t>273+273</t>
  </si>
  <si>
    <t xml:space="preserve"> MRE fragment of PAN RNA</t>
  </si>
  <si>
    <t>6IV9</t>
  </si>
  <si>
    <t>Cas13d</t>
  </si>
  <si>
    <t>930</t>
  </si>
  <si>
    <t>1K8W</t>
  </si>
  <si>
    <t>Pseudouridine synthase B</t>
  </si>
  <si>
    <t>327</t>
  </si>
  <si>
    <t>T stem-loop RNA</t>
  </si>
  <si>
    <t>1R9F</t>
  </si>
  <si>
    <t>p19</t>
  </si>
  <si>
    <t>136+136</t>
  </si>
  <si>
    <t>1ZBI</t>
  </si>
  <si>
    <t>RNase H</t>
  </si>
  <si>
    <t>142+142</t>
  </si>
  <si>
    <t>A form RNA</t>
  </si>
  <si>
    <t>12+12</t>
  </si>
  <si>
    <t>La autoantigen</t>
  </si>
  <si>
    <t>195+195</t>
  </si>
  <si>
    <t>3'-terminii mRNA</t>
  </si>
  <si>
    <t>CUG-binding protein 1</t>
  </si>
  <si>
    <t>175</t>
  </si>
  <si>
    <t>UGU-rich mRNA</t>
  </si>
  <si>
    <t>5HO4</t>
  </si>
  <si>
    <t>hnRNP A2/B1</t>
  </si>
  <si>
    <t>179</t>
  </si>
  <si>
    <t>6I0V</t>
  </si>
  <si>
    <t>DmTailor</t>
  </si>
  <si>
    <t>384</t>
  </si>
  <si>
    <t>8-mer RNA</t>
  </si>
  <si>
    <t>8T66</t>
  </si>
  <si>
    <t>N. halophilus Nc 4 Cam1</t>
  </si>
  <si>
    <t>166</t>
  </si>
  <si>
    <t>8EDJ</t>
  </si>
  <si>
    <t>Macaca mulatta APOBEC3G</t>
  </si>
  <si>
    <t>386</t>
  </si>
  <si>
    <t>RA3G-ssRNA-GA</t>
  </si>
  <si>
    <t>1DFU</t>
  </si>
  <si>
    <t>P:MN</t>
  </si>
  <si>
    <t>Ribosomal Protein L25</t>
  </si>
  <si>
    <t>1JID</t>
  </si>
  <si>
    <t>H. sapiens SRP19</t>
  </si>
  <si>
    <t>SRP RNA</t>
  </si>
  <si>
    <t>CA:FG</t>
  </si>
  <si>
    <t>50S ribosomal protein L7Ae</t>
  </si>
  <si>
    <t>117</t>
  </si>
  <si>
    <t>box H/ACA sRNA</t>
  </si>
  <si>
    <t>S.cerevisiae poly(A) polymerase</t>
  </si>
  <si>
    <t>525</t>
  </si>
  <si>
    <t>2Y8W</t>
  </si>
  <si>
    <t>Endoribonuclease Cse3</t>
  </si>
  <si>
    <t>215</t>
  </si>
  <si>
    <t>3BSN</t>
  </si>
  <si>
    <t>Norwalk virus polymerase</t>
  </si>
  <si>
    <t>510</t>
  </si>
  <si>
    <t>8+9</t>
  </si>
  <si>
    <t>5ELH</t>
  </si>
  <si>
    <t>B:R</t>
  </si>
  <si>
    <t>UUA trimer containing RNA</t>
  </si>
  <si>
    <t>5GXH</t>
  </si>
  <si>
    <t>Gemin5</t>
  </si>
  <si>
    <t>757</t>
  </si>
  <si>
    <t>Pre-snRNAs</t>
  </si>
  <si>
    <t>5WLH</t>
  </si>
  <si>
    <t>LbaCas13a</t>
  </si>
  <si>
    <t>1440</t>
  </si>
  <si>
    <t>Pre-crRNA</t>
  </si>
  <si>
    <t>5WWW</t>
  </si>
  <si>
    <t>KH1 domain of MEX-3C</t>
  </si>
  <si>
    <t>3T5N</t>
  </si>
  <si>
    <t>Lassa virus nucleoprotein</t>
  </si>
  <si>
    <t>354</t>
  </si>
  <si>
    <t>7L6T</t>
  </si>
  <si>
    <t>SARS-CoV-2 Nsp16/10 Heterodimer</t>
  </si>
  <si>
    <t>300</t>
  </si>
  <si>
    <t>T. brucei  RNase D ribonuclease</t>
  </si>
  <si>
    <t>302</t>
  </si>
  <si>
    <t>Guide RNA U12</t>
  </si>
  <si>
    <t>4QU6</t>
  </si>
  <si>
    <t>107</t>
  </si>
  <si>
    <t>Csf5</t>
  </si>
  <si>
    <t>2ZKO</t>
  </si>
  <si>
    <t>NS1 protein of influenza A</t>
  </si>
  <si>
    <t>A-form dsRNA</t>
  </si>
  <si>
    <t>3D2S</t>
  </si>
  <si>
    <t>MBNL1 ZnF3/4</t>
  </si>
  <si>
    <t>70</t>
  </si>
  <si>
    <t>4J7M</t>
  </si>
  <si>
    <t>Dom3Z</t>
  </si>
  <si>
    <t>378</t>
  </si>
  <si>
    <t>5ZW4</t>
  </si>
  <si>
    <t>TrmR</t>
  </si>
  <si>
    <t>225</t>
  </si>
  <si>
    <t>6DU4</t>
  </si>
  <si>
    <t>hMettl16 catalytic domain</t>
  </si>
  <si>
    <t>313</t>
  </si>
  <si>
    <t>Hp1x-RNA</t>
  </si>
  <si>
    <t>6DTD</t>
  </si>
  <si>
    <t>1127</t>
  </si>
  <si>
    <t>7VKI</t>
  </si>
  <si>
    <t>H Sapiens Epithelial splicing regulatory protein 1 (ESRP1)</t>
  </si>
  <si>
    <t>119</t>
  </si>
  <si>
    <t>12-mer RNA</t>
  </si>
  <si>
    <t>2XNR</t>
  </si>
  <si>
    <t>Nab3-RRM</t>
  </si>
  <si>
    <t>UCUU recognition sequence</t>
  </si>
  <si>
    <t>4Z4D</t>
  </si>
  <si>
    <t>A:BD</t>
  </si>
  <si>
    <t>Human Argonaute-2</t>
  </si>
  <si>
    <t>859</t>
  </si>
  <si>
    <t>Guide and t1G target RNAs</t>
  </si>
  <si>
    <t>21+11</t>
  </si>
  <si>
    <t>6M6S</t>
  </si>
  <si>
    <t>C. elegans dicer Related Helicase /(DRH-3)</t>
  </si>
  <si>
    <t>170</t>
  </si>
  <si>
    <t>D. Melanogaster Upstream of N-ras, isoform A</t>
  </si>
  <si>
    <t>236</t>
  </si>
  <si>
    <t>poly(A) RNA</t>
  </si>
  <si>
    <t>H. sapiens SF3A1 ubiquitin-like domain</t>
  </si>
  <si>
    <t>U1 snRNA stem-loop 4</t>
  </si>
  <si>
    <t>S. Aureus YtqB</t>
  </si>
  <si>
    <t>195</t>
  </si>
  <si>
    <t>17+17</t>
  </si>
  <si>
    <t>5EIM</t>
  </si>
  <si>
    <t>YTH domain containing protein Mmi1</t>
  </si>
  <si>
    <t>163</t>
  </si>
  <si>
    <t>1HQ1</t>
  </si>
  <si>
    <t>E.coli SRP</t>
  </si>
  <si>
    <t>105</t>
  </si>
  <si>
    <t>4.5S RNA domain IV</t>
  </si>
  <si>
    <t>49</t>
  </si>
  <si>
    <t>2ASB</t>
  </si>
  <si>
    <t>Nus A</t>
  </si>
  <si>
    <t>251</t>
  </si>
  <si>
    <t>4MDX</t>
  </si>
  <si>
    <t>mRNA interferase MazF</t>
  </si>
  <si>
    <t>117+117</t>
  </si>
  <si>
    <t>5SZE</t>
  </si>
  <si>
    <t>Aquifex aeolicus Hfq-RNA</t>
  </si>
  <si>
    <t>1WPU</t>
  </si>
  <si>
    <t>HutP antitermination protein</t>
  </si>
  <si>
    <t>147</t>
  </si>
  <si>
    <t>hut mRNA</t>
  </si>
  <si>
    <t>7MJW</t>
  </si>
  <si>
    <t>B. uniformis tRNA-2-methylthio-N(6)-dimethylallyladenosine synthase</t>
  </si>
  <si>
    <t>457</t>
  </si>
  <si>
    <t>3PF4</t>
  </si>
  <si>
    <t>CspB</t>
  </si>
  <si>
    <t>67+67</t>
  </si>
  <si>
    <t>7K5L</t>
  </si>
  <si>
    <t>E. virus Matrix protein VP40</t>
  </si>
  <si>
    <t>8TG4</t>
  </si>
  <si>
    <t>A. PernixTpt1</t>
  </si>
  <si>
    <t xml:space="preserve"> 2'-OH RNA</t>
  </si>
  <si>
    <t>2XS2</t>
  </si>
  <si>
    <t>Murine Dazl</t>
  </si>
  <si>
    <t>102</t>
  </si>
  <si>
    <t>3'-UTRs of mRNA</t>
  </si>
  <si>
    <t>H. sapiens Ribonuclease H1</t>
  </si>
  <si>
    <t>294</t>
  </si>
  <si>
    <t>20+20</t>
  </si>
  <si>
    <t>PDB_ID</t>
  </si>
  <si>
    <t>Data</t>
  </si>
  <si>
    <t>Old</t>
  </si>
  <si>
    <t>1EC6</t>
  </si>
  <si>
    <t>RNA-BINDING PROTEIN NOVA-2</t>
  </si>
  <si>
    <t>20-MER RNA HAIRPIN</t>
  </si>
  <si>
    <t>New</t>
  </si>
  <si>
    <t>1TFW</t>
  </si>
  <si>
    <t>A:GJ</t>
  </si>
  <si>
    <t>tRNA nucleotidyltransferase</t>
  </si>
  <si>
    <t>5'-R(*GP*CP*GP*GP*AP*UP*CP*CP*GP*CP*AP*C)-3'+5'-R(*GP*CP*GP*GP*AP*UP*CP*CP*GP*CP*AP*CP*C)-3'</t>
  </si>
  <si>
    <t>2F8K</t>
  </si>
  <si>
    <t>Protein VTS1</t>
  </si>
  <si>
    <t>5'-R(*UP*AP*AP*UP*CP*UP*UP*UP*GP*AP*CP*AP*GP*AP*UP*U)-3'</t>
  </si>
  <si>
    <t>2PO1</t>
  </si>
  <si>
    <t>Probable exosome complex exonuclease 1+2</t>
  </si>
  <si>
    <t>249+277</t>
  </si>
  <si>
    <t>10-mer poly(A)</t>
  </si>
  <si>
    <t>2X1F</t>
  </si>
  <si>
    <t>MRNA 3'-END-PROCESSING PROTEIN RNA15</t>
  </si>
  <si>
    <t>5'-R(*GP*UP*UP*GP*UP)-3'</t>
  </si>
  <si>
    <t>2XLK</t>
  </si>
  <si>
    <t>CSY4 ENDORIBONUCLEASE</t>
  </si>
  <si>
    <t>5'-R(*CP*UP*GP*CP*CP*GP*UP*AP*UP*AP*GP*GP*CP*A*DG*C)-3'</t>
  </si>
  <si>
    <t>2ZUE</t>
  </si>
  <si>
    <t>Arginyl-tRNA synthetase</t>
  </si>
  <si>
    <t>3ADD</t>
  </si>
  <si>
    <t>L-seryl-tRNA(Sec) kinase</t>
  </si>
  <si>
    <t>TRNA-Sel</t>
  </si>
  <si>
    <t>3AGV</t>
  </si>
  <si>
    <t>B:U</t>
  </si>
  <si>
    <t>Ig gamma-1 chain C region</t>
  </si>
  <si>
    <t>5'-R(*GP*GP*AP*GP*GP*(UFT)P*GP*(CFZ)P*(UFT)P*(CFZ)P*(CFZ)P*GP*AP*AP*A*GP*GP*AP*AP*(CFZ)P*(UFT)P*(CFZ)P*(CFZ)P*A)-3'</t>
  </si>
  <si>
    <t>3AHU</t>
  </si>
  <si>
    <t>ABC:X</t>
  </si>
  <si>
    <t>Protein hfq</t>
  </si>
  <si>
    <t>5'-R(*AP*GP*AP*GP*AP*G)-3'</t>
  </si>
  <si>
    <t>3AVX</t>
  </si>
  <si>
    <t>A:GT</t>
  </si>
  <si>
    <t>Elongation factor Ts, Elongation factor Tu, LINKER, Q beta replicase</t>
  </si>
  <si>
    <t>RNA (5'-R(*GP*GP*GP*UP*CP*CP*AP*UP*C)-3')+ RNA (5'-R(*AP*AP*CP*GP*AP*UP*GP*GP*AP*CP*CP*CP*A)-3')</t>
  </si>
  <si>
    <t>9+13</t>
  </si>
  <si>
    <t>3BOY</t>
  </si>
  <si>
    <t>ABC:D</t>
  </si>
  <si>
    <t>Hut operon positive regulatory protein</t>
  </si>
  <si>
    <t>5'-R(*UP*UP*UP*AP*GP*UP*UP*UP*UP*UP*AP*GP*UP*UP*UP*UP*UP*AP*GP*UP*UP*U)-3'</t>
  </si>
  <si>
    <t>3FHT</t>
  </si>
  <si>
    <t>ATP-dependent RNA helicase DDX19B</t>
  </si>
  <si>
    <t>RNA (5'-R(*UP*UP*UP*UP*UP*UP*UP*UP*UP*U)-3')</t>
  </si>
  <si>
    <t>3G9Y</t>
  </si>
  <si>
    <t>Zinc finger Ran-binding domain-containing protein 2</t>
  </si>
  <si>
    <t>RNA (5'-R(*AP*GP*GP*UP*AP*A)-3')</t>
  </si>
  <si>
    <t>3IEM</t>
  </si>
  <si>
    <t>A:GJLN</t>
  </si>
  <si>
    <t>Ribonuclease TTHA0252</t>
  </si>
  <si>
    <t>RNA (5'-R(*(SSU)P*(SSU)P*(SSU)P*(SSU)P*(SSU)P*(SSU))-3')</t>
  </si>
  <si>
    <t>3KMS</t>
  </si>
  <si>
    <t>A:CB</t>
  </si>
  <si>
    <t>3D polymerase</t>
  </si>
  <si>
    <t>RNA (5'-R(*GP*GP*CP*CP*C)-3')+ RNA (5'-R(*AP*UP*GP*GP*GP*CP*C)-3')</t>
  </si>
  <si>
    <t>5+7</t>
  </si>
  <si>
    <t>3MJ0</t>
  </si>
  <si>
    <t>Protein argonaute-2</t>
  </si>
  <si>
    <t>RNA (5'-R(*CP*GP*UP*UP*AP*CP*GP*CP*(OMU))-3')</t>
  </si>
  <si>
    <t>3O7V</t>
  </si>
  <si>
    <t>CX:AB</t>
  </si>
  <si>
    <t>Piwi-like protein 1</t>
  </si>
  <si>
    <t>124+124</t>
  </si>
  <si>
    <t>RNA (5'-R(*GP*CP*GP*AP*AP*UP*AP*UP*UP*CP*GP*CP*UP*(OMU))-3')</t>
  </si>
  <si>
    <t>3OIN</t>
  </si>
  <si>
    <t>Ribosomal RNA small subunit methyltransferase NEP1</t>
  </si>
  <si>
    <t>5'-R(*GP*GP*GP*CP*UP*UP*CP*AP*AP*CP*GP*CP*CP*C)-3'</t>
  </si>
  <si>
    <t>3OVB</t>
  </si>
  <si>
    <t>CCA-Adding Enzyme</t>
  </si>
  <si>
    <t>RNA (35-MER)</t>
  </si>
  <si>
    <t>3WBM</t>
  </si>
  <si>
    <t>ABCD:XY</t>
  </si>
  <si>
    <t>DNA/RNA-binding protein Alba 1</t>
  </si>
  <si>
    <r>
      <rPr>
        <sz val="10"/>
        <rFont val="Arial"/>
        <family val="2"/>
        <charset val="1"/>
      </rPr>
      <t>97+97+97+</t>
    </r>
    <r>
      <rPr>
        <sz val="12"/>
        <rFont val="Arial"/>
        <family val="2"/>
        <charset val="1"/>
      </rPr>
      <t>97</t>
    </r>
  </si>
  <si>
    <t>RNA (25-MER)</t>
  </si>
  <si>
    <t>25+25</t>
  </si>
  <si>
    <t>4C8Y</t>
  </si>
  <si>
    <t>CRISPR-associated protein Cas6 C-terminal domain-containing protein</t>
  </si>
  <si>
    <t>R1 REPEAT RNA SUBSTRATE MIMIC</t>
  </si>
  <si>
    <t>4F02</t>
  </si>
  <si>
    <t>Polyadenylate-binding protein 1</t>
  </si>
  <si>
    <t>RNA (5'-R(*AP*AP*AP*AP*AP*AP*AP*AP*AP*AP*A)-3')</t>
  </si>
  <si>
    <t>4GV3</t>
  </si>
  <si>
    <t>Nucleoprotein</t>
  </si>
  <si>
    <t>RNA (5'-R(P*CP*GP*CP*CP*C)-3')</t>
  </si>
  <si>
    <t>5+5</t>
  </si>
  <si>
    <t>4IQX</t>
  </si>
  <si>
    <t xml:space="preserve">RNA (5'-R(*GP*GP*CP*CP*C)-3')+RNA (5'-R(*AP*UP*GP*GP*GP*CP*C)-3')
</t>
  </si>
  <si>
    <t>4JNG</t>
  </si>
  <si>
    <t>ABCD:L</t>
  </si>
  <si>
    <t>Nucleocapsid protein</t>
  </si>
  <si>
    <t>RNA (42-MER)</t>
  </si>
  <si>
    <t>4LGT</t>
  </si>
  <si>
    <t>Ribosomal large subunit pseudouridine synthase B</t>
  </si>
  <si>
    <t>stem-loop of 23S rRNA</t>
  </si>
  <si>
    <t>4LJ0</t>
  </si>
  <si>
    <t>Nab2</t>
  </si>
  <si>
    <t>polyadenosine RNA</t>
  </si>
  <si>
    <t>8+8+8</t>
  </si>
  <si>
    <t>4M4O</t>
  </si>
  <si>
    <t>Lysozyme C</t>
  </si>
  <si>
    <t>RNA (59-MER)</t>
  </si>
  <si>
    <t>4NGD</t>
  </si>
  <si>
    <t>Endoribonuclease Dicer</t>
  </si>
  <si>
    <t>5'-R(P*GP*CP*GP*AP*AP*UP*UP*CP*GP*CP*UP*U)-3'</t>
  </si>
  <si>
    <r>
      <rPr>
        <sz val="10"/>
        <rFont val="Arial"/>
        <family val="2"/>
        <charset val="1"/>
      </rPr>
      <t>12+</t>
    </r>
    <r>
      <rPr>
        <sz val="12"/>
        <rFont val="Arial"/>
        <family val="2"/>
        <charset val="1"/>
      </rPr>
      <t>12</t>
    </r>
  </si>
  <si>
    <t>4O8J</t>
  </si>
  <si>
    <t>RNA 3'-terminal phosphate cyclase</t>
  </si>
  <si>
    <t>4OAV</t>
  </si>
  <si>
    <t>BD:AC</t>
  </si>
  <si>
    <t>PROTEIN (RNase L)</t>
  </si>
  <si>
    <r>
      <rPr>
        <sz val="10"/>
        <rFont val="Arial"/>
        <family val="2"/>
        <charset val="1"/>
      </rPr>
      <t>699+</t>
    </r>
    <r>
      <rPr>
        <sz val="12"/>
        <rFont val="Arial"/>
        <family val="2"/>
        <charset val="1"/>
      </rPr>
      <t>699</t>
    </r>
  </si>
  <si>
    <t>RNA (5'-R(P*(PO4)P*(PO4)P*AP*AP*AP*AP*(PO4))-2')</t>
  </si>
  <si>
    <r>
      <rPr>
        <sz val="10"/>
        <rFont val="Arial"/>
        <family val="2"/>
        <charset val="1"/>
      </rPr>
      <t>7+</t>
    </r>
    <r>
      <rPr>
        <sz val="12"/>
        <rFont val="Arial"/>
        <family val="2"/>
        <charset val="1"/>
      </rPr>
      <t>7</t>
    </r>
  </si>
  <si>
    <t>4OOG</t>
  </si>
  <si>
    <t>Ribonuclease 3</t>
  </si>
  <si>
    <t>110+110+261</t>
  </si>
  <si>
    <t>34-mer RNA</t>
  </si>
  <si>
    <t>4QM6</t>
  </si>
  <si>
    <t>Metallophosphoesterase</t>
  </si>
  <si>
    <t>4QOZ</t>
  </si>
  <si>
    <t>Histone RNA hairpin-binding protein+3'-5' exoribonuclease 1</t>
  </si>
  <si>
    <t>120+303</t>
  </si>
  <si>
    <t>histone mRNA stem-loop</t>
  </si>
  <si>
    <t>4R8I</t>
  </si>
  <si>
    <t>C-C motif chemokine 2</t>
  </si>
  <si>
    <t>Mirror-Image RNA Oligonucleotide Aptamer NOXE36</t>
  </si>
  <si>
    <t>4RCJ</t>
  </si>
  <si>
    <t>YTH domain-containing family protein 1</t>
  </si>
  <si>
    <t>RNA (5'-R(*GP*GP*(6MZ)P*CP*U)-3')</t>
  </si>
  <si>
    <t>4RMO</t>
  </si>
  <si>
    <t>AE:BF</t>
  </si>
  <si>
    <t>CptN Toxin</t>
  </si>
  <si>
    <r>
      <rPr>
        <sz val="10"/>
        <rFont val="Arial"/>
        <family val="2"/>
        <charset val="1"/>
      </rPr>
      <t>155+</t>
    </r>
    <r>
      <rPr>
        <sz val="12"/>
        <rFont val="Arial"/>
        <family val="2"/>
        <charset val="1"/>
      </rPr>
      <t>155</t>
    </r>
  </si>
  <si>
    <t>RNA (45-MER)</t>
  </si>
  <si>
    <t>45+45</t>
  </si>
  <si>
    <t>4RWN</t>
  </si>
  <si>
    <t>2'-5'-oligoadenylate synthase 1</t>
  </si>
  <si>
    <t>RNA (5'-R(*UP*UP*CP*AP*UP*AP*AP*AP*GP*GP*UP*CP*AP*AP*AP*AP*GP*CP*C)-3')</t>
  </si>
  <si>
    <r>
      <rPr>
        <sz val="10"/>
        <rFont val="Arial"/>
        <family val="2"/>
        <charset val="1"/>
      </rPr>
      <t>19+</t>
    </r>
    <r>
      <rPr>
        <sz val="12"/>
        <rFont val="Arial"/>
        <family val="2"/>
        <charset val="1"/>
      </rPr>
      <t>19</t>
    </r>
  </si>
  <si>
    <t>4S3N</t>
  </si>
  <si>
    <t>2'-5'-oligoadenylate synthase 3</t>
  </si>
  <si>
    <t>4WAN</t>
  </si>
  <si>
    <t>Branchpoint-bridging protein</t>
  </si>
  <si>
    <t>RNA (5'-R(P*UP*AP*CP*UP*AP*AP*CP*A)-3')</t>
  </si>
  <si>
    <t>4XWW</t>
  </si>
  <si>
    <t>DR2417</t>
  </si>
  <si>
    <t>RNA (5'-D(UP*UP*UP*UP*UP*UP*U)-3')</t>
  </si>
  <si>
    <t>4YB1</t>
  </si>
  <si>
    <t>U1 small nuclear ribonucleoprotein A</t>
  </si>
  <si>
    <t>RNA (91-MER)</t>
  </si>
  <si>
    <t>4YCO</t>
  </si>
  <si>
    <t>tRNA-dihydrouridine synthase C</t>
  </si>
  <si>
    <t>tRNAphe</t>
  </si>
  <si>
    <t>4YYE</t>
  </si>
  <si>
    <t>Threonine--tRNA ligase, mitochondrial</t>
  </si>
  <si>
    <t>4Z0C</t>
  </si>
  <si>
    <t>Toll-like receptor 13</t>
  </si>
  <si>
    <t>DNA (5'-R(P*AP*CP*GP*GP*AP*AP*AP*GP*AP*CP*CP*CP*C)-3')</t>
  </si>
  <si>
    <t>5A0T</t>
  </si>
  <si>
    <t>RIBONUCLEASE J</t>
  </si>
  <si>
    <t>5'-R(*CP*GP*CP*CP*UP)-3'</t>
  </si>
  <si>
    <t>5AXM</t>
  </si>
  <si>
    <t>AB:P</t>
  </si>
  <si>
    <t>tRNA(His)-5'-guanylyltransferase (Thg1) like protein</t>
  </si>
  <si>
    <t>tRNA-His</t>
  </si>
  <si>
    <t>5BUD</t>
  </si>
  <si>
    <t>Decapping nuclease RAI1</t>
  </si>
  <si>
    <t>RNA (5'-R(P*UP*UP*UP*U)-3')</t>
  </si>
  <si>
    <t>5BZ1</t>
  </si>
  <si>
    <t>Suppressor protein MPT5</t>
  </si>
  <si>
    <t>RNA (5'-R(*UP*GP*UP*AP*UP*UP*UP*GP*UP*A)-3')</t>
  </si>
  <si>
    <t>5C0Y</t>
  </si>
  <si>
    <t>Exosome complex exonuclease RRP6</t>
  </si>
  <si>
    <t>poly U RNA</t>
  </si>
  <si>
    <t>5CCB</t>
  </si>
  <si>
    <t>AB:N</t>
  </si>
  <si>
    <t>tRNA (adenine(58)-N(1))-methyltransferase catalytic subunit TRMT61A + non-catalytic subunit TRM6</t>
  </si>
  <si>
    <t>289+497</t>
  </si>
  <si>
    <t>tRNA-Lys</t>
  </si>
  <si>
    <t>5D0A</t>
  </si>
  <si>
    <t>Epoxyqueuosine reductase</t>
  </si>
  <si>
    <t xml:space="preserve">cleaved tRNA-Tyr anticodon stem loop </t>
  </si>
  <si>
    <t>5GUH</t>
  </si>
  <si>
    <t>PIWI</t>
  </si>
  <si>
    <t>5HAB</t>
  </si>
  <si>
    <t>Ribonuclease J</t>
  </si>
  <si>
    <t>RNA (5'-R(P*AP*AP*AP*AP*A)-3')</t>
  </si>
  <si>
    <t>5HJZ</t>
  </si>
  <si>
    <t>Endoribonuclease MazF9</t>
  </si>
  <si>
    <t>RNA (5'-R(*CP*AP*UP*C)-D(P*U)-R(P*AP*CP*CP*UP*GP*A)-3')</t>
  </si>
  <si>
    <t>5JAJ</t>
  </si>
  <si>
    <t>A:XY</t>
  </si>
  <si>
    <t>LGP2</t>
  </si>
  <si>
    <t>RNA (5'-R(P*GP*GP*UP*AP*CP*GP*UP*AP*CP*CP*C)-3')+RNA (5'-R(P*GP*GP*UP*AP*CP*GP*UP*AP*CP*C)-3')</t>
  </si>
  <si>
    <t>11+10</t>
  </si>
  <si>
    <t>5JRC</t>
  </si>
  <si>
    <t>ABCD:EJ</t>
  </si>
  <si>
    <t>NEQ131</t>
  </si>
  <si>
    <t>5L2L</t>
  </si>
  <si>
    <t>ABEF:CDGH</t>
  </si>
  <si>
    <t>Nab2p</t>
  </si>
  <si>
    <r>
      <rPr>
        <sz val="10"/>
        <rFont val="Arial"/>
        <family val="2"/>
        <charset val="1"/>
      </rPr>
      <t>77+77+77+</t>
    </r>
    <r>
      <rPr>
        <sz val="12"/>
        <rFont val="Arial"/>
        <family val="2"/>
        <charset val="1"/>
      </rPr>
      <t>77</t>
    </r>
  </si>
  <si>
    <t>RNA (5'-R(*AP*AP*AP*AP*AP*AP*AP*AP*AP*G)-3')</t>
  </si>
  <si>
    <t>12+12+12+12</t>
  </si>
  <si>
    <t>5M0I</t>
  </si>
  <si>
    <t>SWI5-dependent HO expression protein 2</t>
  </si>
  <si>
    <t>ASH1-E3 element RNA</t>
  </si>
  <si>
    <r>
      <rPr>
        <sz val="10"/>
        <rFont val="Arial"/>
        <family val="2"/>
        <charset val="1"/>
      </rPr>
      <t>28+</t>
    </r>
    <r>
      <rPr>
        <sz val="12"/>
        <rFont val="Arial"/>
        <family val="2"/>
        <charset val="1"/>
      </rPr>
      <t>28</t>
    </r>
  </si>
  <si>
    <t>5M3H</t>
  </si>
  <si>
    <t>ABC:RV</t>
  </si>
  <si>
    <t>Polymerase acidic protein+RNA-directed RNA polymerase catalytic subunit+Polymerase basic protein 2</t>
  </si>
  <si>
    <t>728+776+797</t>
  </si>
  <si>
    <t>RNA 5'-pAGUAGUAACAAGAGGG+RNA (5'-R(*UP*AP*UP*AP*CP*CP*UP*CP*UP*GP*CP*UP*U)-3')</t>
  </si>
  <si>
    <t>16, 18</t>
  </si>
  <si>
    <t>6CMN</t>
  </si>
  <si>
    <t>TAR-Binding Protein 6.7</t>
  </si>
  <si>
    <t>Trans-Activation Response RNA Element</t>
  </si>
  <si>
    <t>6GVY</t>
  </si>
  <si>
    <t>Genome polyprotein</t>
  </si>
  <si>
    <t>RNA (5'-R(*UP*UP*UP*UP*UP*A)-3')</t>
  </si>
  <si>
    <t>5+8</t>
  </si>
  <si>
    <t>6PPQ</t>
  </si>
  <si>
    <t>ABCD:H</t>
  </si>
  <si>
    <t>U6 snRNA-associated Sm-like protein Lsm1,2,3,4</t>
  </si>
  <si>
    <t>synthetic construct</t>
  </si>
  <si>
    <t>6XH2</t>
  </si>
  <si>
    <t>TAR-BINDING PROTEIN 6.6</t>
  </si>
  <si>
    <t>TRANS-ACTIVATION RESPONSE ELEMENT</t>
  </si>
  <si>
    <t>6ZM2</t>
  </si>
  <si>
    <t>Putative mRNA splicing factor</t>
  </si>
  <si>
    <t>RNA (5'-R(P*UP*UP*UP*UP*UP*UP*U)-3')</t>
  </si>
  <si>
    <t>7D8O</t>
  </si>
  <si>
    <t>ACE:BDF</t>
  </si>
  <si>
    <t>Type III toxin-antitoxin system ToxN/AbiQ family toxin</t>
  </si>
  <si>
    <t>Pseudoknot Antitoxin RNA (Toxl)</t>
  </si>
  <si>
    <t>8G9Z</t>
  </si>
  <si>
    <t>O-phosphoseryl-tRNA(Sec) selenium transferase</t>
  </si>
  <si>
    <r>
      <rPr>
        <sz val="10"/>
        <rFont val="Arial"/>
        <family val="2"/>
        <charset val="1"/>
      </rPr>
      <t>521+</t>
    </r>
    <r>
      <rPr>
        <sz val="12"/>
        <rFont val="Arial"/>
        <family val="2"/>
        <charset val="1"/>
      </rPr>
      <t>521</t>
    </r>
  </si>
  <si>
    <t>8OIV</t>
  </si>
  <si>
    <t>Cap-specific mRNA (nucleoside-2'-O-)-methyltransferase</t>
  </si>
  <si>
    <t>mGpppGAAAAA</t>
  </si>
  <si>
    <t>8RBJ</t>
  </si>
  <si>
    <t>tRNA ligase</t>
  </si>
  <si>
    <t xml:space="preserve">pre-tRNA exon </t>
  </si>
  <si>
    <t>9AVR</t>
  </si>
  <si>
    <t>Eukaryotic initiation factor 4A-I</t>
  </si>
  <si>
    <t>RNA oligonucleotide (AG)5</t>
  </si>
  <si>
    <t>9C68</t>
  </si>
  <si>
    <t>Adenosine deaminase domain-containing protein</t>
  </si>
  <si>
    <t>RNA (5'-R(P*AP*AP*AP*AP*AP*A)-3')</t>
  </si>
  <si>
    <t>9D9O</t>
  </si>
  <si>
    <t>Protease 3C</t>
  </si>
  <si>
    <t xml:space="preserve">RNA stem-loop D </t>
  </si>
  <si>
    <t>9F37</t>
  </si>
  <si>
    <t>Polymerase acidic protein+RNA-directed RNA polymerase catalytic subunit+Polymerase basic protein 2+Polymerase basic protein 2</t>
  </si>
  <si>
    <t>738+776+809</t>
  </si>
  <si>
    <r>
      <rPr>
        <sz val="10"/>
        <rFont val="Arial"/>
        <family val="2"/>
        <charset val="1"/>
      </rPr>
      <t>5' end and 3' end</t>
    </r>
    <r>
      <rPr>
        <sz val="12"/>
        <rFont val="Arial"/>
        <family val="2"/>
        <charset val="1"/>
      </rPr>
      <t xml:space="preserve"> of the vRNA promoter</t>
    </r>
  </si>
  <si>
    <t>16+21</t>
  </si>
  <si>
    <t>9H1K</t>
  </si>
  <si>
    <t>23S rRNA methyltransferase</t>
  </si>
  <si>
    <r>
      <rPr>
        <sz val="10"/>
        <rFont val="Arial"/>
        <family val="2"/>
        <charset val="1"/>
      </rPr>
      <t>280+</t>
    </r>
    <r>
      <rPr>
        <sz val="12"/>
        <rFont val="Arial"/>
        <family val="2"/>
        <charset val="1"/>
      </rPr>
      <t>280</t>
    </r>
  </si>
  <si>
    <t>9HX7</t>
  </si>
  <si>
    <t>Ubiquitin-like protein SMT3,Serine/arginine-rich splicing factor 6</t>
  </si>
  <si>
    <t>RNA (5'-R(P*GP*GP*A)-3')</t>
  </si>
  <si>
    <t>9JKD</t>
  </si>
  <si>
    <t>RNA dependent RNA polymerase</t>
  </si>
  <si>
    <t>30+9</t>
  </si>
  <si>
    <t>9QS9</t>
  </si>
  <si>
    <t>AB:G</t>
  </si>
  <si>
    <t>Crn4 H15A</t>
  </si>
  <si>
    <t>Cyclic polyA</t>
  </si>
  <si>
    <t>9RVP</t>
  </si>
  <si>
    <t>RNA pseudoknot</t>
  </si>
  <si>
    <t>9SFQ</t>
  </si>
  <si>
    <t>Tyrosine--tRNA ligase</t>
  </si>
  <si>
    <t>Wild-type, fully modified Thermus thermopilus tRNATyr(GUC)</t>
  </si>
  <si>
    <t>9T99</t>
  </si>
  <si>
    <t>Dicer-related helicase</t>
  </si>
  <si>
    <t>blunt end 5'P-dsRNA</t>
  </si>
  <si>
    <t>9TEL</t>
  </si>
  <si>
    <t>RNA helicase</t>
  </si>
  <si>
    <t>mismatched non-canonical duplex vRNA</t>
  </si>
  <si>
    <r>
      <rPr>
        <sz val="10"/>
        <rFont val="Arial"/>
        <family val="2"/>
        <charset val="1"/>
      </rPr>
      <t>10+</t>
    </r>
    <r>
      <rPr>
        <sz val="12"/>
        <rFont val="Arial"/>
        <family val="2"/>
        <charset val="1"/>
      </rPr>
      <t>10</t>
    </r>
  </si>
  <si>
    <t>9W2K</t>
  </si>
  <si>
    <t>AB:FI</t>
  </si>
  <si>
    <t>tRNA intron endonuclease VSENs</t>
  </si>
  <si>
    <r>
      <rPr>
        <sz val="10"/>
        <rFont val="Arial"/>
        <family val="2"/>
        <charset val="1"/>
      </rPr>
      <t>395+</t>
    </r>
    <r>
      <rPr>
        <sz val="12"/>
        <rFont val="Arial"/>
        <family val="2"/>
        <charset val="1"/>
      </rPr>
      <t>395</t>
    </r>
  </si>
  <si>
    <t>8+13</t>
  </si>
  <si>
    <t>count</t>
  </si>
  <si>
    <t>BB16</t>
  </si>
  <si>
    <t>BBw</t>
  </si>
  <si>
    <t>B like conformer, χ2 A like</t>
  </si>
  <si>
    <t>BB04</t>
  </si>
  <si>
    <t>B12</t>
  </si>
  <si>
    <t>Conformer bridging BI and BII forms, both χ are B like</t>
  </si>
  <si>
    <t>AA07</t>
  </si>
  <si>
    <t>AB06</t>
  </si>
  <si>
    <t>A-B: δ1 C3'-endo, δ2 C2'-endo, χ1/χ2 have A-B pattern, low α</t>
  </si>
  <si>
    <t>BB21</t>
  </si>
  <si>
    <t>miB</t>
  </si>
  <si>
    <t>B form with switch (ε/α) high ε, and low α 60</t>
  </si>
  <si>
    <t>IC02</t>
  </si>
  <si>
    <t>A-B backbone, parallel distant bases can be intercalated, χ2 B like</t>
  </si>
  <si>
    <t>B-A pucker and χ torsions, very low ζ, α, ɣ</t>
  </si>
  <si>
    <t xml:space="preserve">B-A pucker and A like χ1 torsions, </t>
  </si>
  <si>
    <t>IC09</t>
  </si>
  <si>
    <t>A-like intercalated, α/ɣ switch (60/300)</t>
  </si>
  <si>
    <t>OP29</t>
  </si>
  <si>
    <t>OP26</t>
  </si>
  <si>
    <t>BB22</t>
  </si>
  <si>
    <t>B like pucker, both χ are B like</t>
  </si>
  <si>
    <t>IC08</t>
  </si>
  <si>
    <t>B like, parallel distant bases can be intercalated, extremely low ɣ</t>
  </si>
  <si>
    <t>A-B: δ1 O4'-exo, low α, χ1 is A like and χ2 is B like</t>
  </si>
  <si>
    <t>count_I</t>
  </si>
  <si>
    <t>count_N</t>
  </si>
  <si>
    <t>interface_percent</t>
  </si>
  <si>
    <t>non_interface_percent</t>
  </si>
  <si>
    <t>total_check</t>
  </si>
  <si>
    <t>ch1</t>
  </si>
  <si>
    <t>ch2</t>
  </si>
  <si>
    <t>Bfac_mean</t>
  </si>
  <si>
    <t>Bfac_std</t>
  </si>
  <si>
    <t>D G 4 U 5</t>
  </si>
  <si>
    <t>G C 18 C 19</t>
  </si>
  <si>
    <t>Y A 1 G 2</t>
  </si>
  <si>
    <t>E A 3 A 4</t>
  </si>
  <si>
    <t>B G 3 U 4</t>
  </si>
  <si>
    <t>B G 11 C 12</t>
  </si>
  <si>
    <t>F G 18 G 19</t>
  </si>
  <si>
    <t>N U 6 A 7</t>
  </si>
  <si>
    <t>}</t>
  </si>
  <si>
    <t>D C 11 A 12</t>
  </si>
  <si>
    <t>C G 3 A 4</t>
  </si>
  <si>
    <t>D G 32 G 33</t>
  </si>
  <si>
    <t>E C 3 G 4</t>
  </si>
  <si>
    <t>R G 2 C 3</t>
  </si>
  <si>
    <t>B G 55 A 56</t>
  </si>
  <si>
    <t>E C 27 G 28</t>
  </si>
  <si>
    <t>B U 908 C 909</t>
  </si>
  <si>
    <t>N C 48 C 49</t>
  </si>
  <si>
    <t>C A 16 U 17</t>
  </si>
  <si>
    <t>D U 23 C 24</t>
  </si>
  <si>
    <t>E U 5 C 6</t>
  </si>
  <si>
    <t>C A 4 A 5</t>
  </si>
  <si>
    <t>H A 10 A 11</t>
  </si>
  <si>
    <t>C U 18 U 19</t>
  </si>
  <si>
    <t>X G 18 C 19</t>
  </si>
  <si>
    <t>B A 951 G 952</t>
  </si>
  <si>
    <t>D A 3 A 4</t>
  </si>
  <si>
    <t>D G 35 U 36</t>
  </si>
  <si>
    <t>D U 13 U 14</t>
  </si>
  <si>
    <t>B G 19 A 20</t>
  </si>
  <si>
    <t>V A 22 G 23</t>
  </si>
  <si>
    <t>I G 66 A 67</t>
  </si>
  <si>
    <t>T A 22 A 23</t>
  </si>
  <si>
    <t>OP07</t>
  </si>
  <si>
    <t>F C 3 G 4</t>
  </si>
  <si>
    <t>D C 2 A 3</t>
  </si>
  <si>
    <t>F A 58 U 59</t>
  </si>
  <si>
    <t>C A 13 U 14</t>
  </si>
  <si>
    <t>F U 8 A 9</t>
  </si>
  <si>
    <t>D U 48 U 49</t>
  </si>
  <si>
    <t>D U 8 U 9</t>
  </si>
  <si>
    <t>L G 13 A 14</t>
  </si>
  <si>
    <t>C G 2548 G 2549</t>
  </si>
  <si>
    <t>L U 8 U 9</t>
  </si>
  <si>
    <t>J A 31 A 32</t>
  </si>
  <si>
    <t>E A 5 A 6</t>
  </si>
  <si>
    <t>F C 17 G 18</t>
  </si>
  <si>
    <t>AB07</t>
  </si>
  <si>
    <t>OP33</t>
  </si>
  <si>
    <t>NtC description</t>
  </si>
  <si>
    <r>
      <t xml:space="preserve">82.88 </t>
    </r>
    <r>
      <rPr>
        <sz val="10"/>
        <rFont val="Symbol"/>
        <family val="1"/>
        <charset val="2"/>
      </rPr>
      <t>±</t>
    </r>
    <r>
      <rPr>
        <sz val="8.5"/>
        <rFont val="Arial"/>
        <family val="2"/>
        <charset val="1"/>
      </rPr>
      <t xml:space="preserve"> </t>
    </r>
  </si>
  <si>
    <t>the most frequent, canonical A form</t>
  </si>
  <si>
    <t>Z like conformer similar to ZZS2, both bases antiZ like conformer similar to ZZS2, both bases anti</t>
  </si>
  <si>
    <t>A like, α/ɣ switch (150/180)</t>
  </si>
  <si>
    <t>A form with distant bases, low ζ</t>
  </si>
  <si>
    <t>A like, α/ɣ switch (210/140)</t>
  </si>
  <si>
    <t>A like, α/ɣ switch (90/190)</t>
  </si>
  <si>
    <t>A-B: δ1 C3'-endo, δ2 C2'-endo, χ1/χ2 have A/B pattern</t>
  </si>
  <si>
    <t>BII-A: χ2 A like</t>
  </si>
  <si>
    <t>B pucker and χ torsions, unusual combination of ε, ζ, α, β, bases distant in 5'-end dsDNA</t>
  </si>
  <si>
    <t>B-A open, perpendicular bases</t>
  </si>
  <si>
    <t>B-A pucker and χ torsions, unusual combination of ε, ζ, α, β, bases can pair with each other</t>
  </si>
  <si>
    <t xml:space="preserve"> A pucker and χ torsions, unusual combination of backbone torsions, bases distant</t>
  </si>
  <si>
    <t>B-A open, δ1 C1'-exo, δ2 C3'-endo, perpendicular bases</t>
  </si>
  <si>
    <t>d1_std</t>
  </si>
  <si>
    <t>e1_std</t>
  </si>
  <si>
    <t>z1_std</t>
  </si>
  <si>
    <t>a2_std</t>
  </si>
  <si>
    <t>b2_std</t>
  </si>
  <si>
    <t>g2_std</t>
  </si>
  <si>
    <t>d2_std</t>
  </si>
  <si>
    <t>chi1_std</t>
  </si>
  <si>
    <t>chi2_std</t>
  </si>
  <si>
    <t>mu2_std</t>
  </si>
  <si>
    <t>Chain ID</t>
  </si>
  <si>
    <t>RNA molecules</t>
  </si>
  <si>
    <t>Length</t>
  </si>
  <si>
    <t>Method</t>
  </si>
  <si>
    <t>Release_Date</t>
  </si>
  <si>
    <t>Title</t>
  </si>
  <si>
    <t>Sequence</t>
  </si>
  <si>
    <t>1DUH</t>
  </si>
  <si>
    <t>4.5S RNA DOMAIN IV</t>
  </si>
  <si>
    <t>X-RAY DIFFRACTION</t>
  </si>
  <si>
    <t>2000-05-08T00:00:00Z</t>
  </si>
  <si>
    <t>CRYSTAL STRUCTURE OF THE CONSERVED DOMAIN IV OF E. COLI 4.5S RNA</t>
  </si>
  <si>
    <t>CUCUGUUUACCAGGUCAGGUCCGGAAGGAAGCAGCCAAGGCAGAG</t>
  </si>
  <si>
    <t>1EHZ</t>
  </si>
  <si>
    <t>TRANSFER RNA (PHE)</t>
  </si>
  <si>
    <t>2000-10-02T00:00:00Z</t>
  </si>
  <si>
    <t>The crystal structure of yeast phenylalanine tRNA at 1.93 A resolution</t>
  </si>
  <si>
    <t>GCGGAUUUAGCUCAGUUGGGAGAGCGCCAGACUGAAGAUCUGGAGGUCCUGUGUUCGAUCCACAGAAUUCGCACCA</t>
  </si>
  <si>
    <t>1ET4</t>
  </si>
  <si>
    <t>RNA APTAMER, 35-MER</t>
  </si>
  <si>
    <t>2000-11-13T00:00:00Z</t>
  </si>
  <si>
    <t>CRYSTAL STRUCTURE OF A VITAMIN B12 BINDING RNA APTAMER WITH LIGAND AT 2.3 A</t>
  </si>
  <si>
    <t>GGAACCGGUGCGCAUAACCACCUCAGUGCGAGCAA</t>
  </si>
  <si>
    <t>1F1T</t>
  </si>
  <si>
    <t>MALACHITE GREEN APTAMER RNA</t>
  </si>
  <si>
    <t>2000-09-04T00:00:00Z</t>
  </si>
  <si>
    <t>CRYSTAL STRUCTURE OF THE MALACHITE GREEN APTAMER COMPLEXED WITH TETRAMETHYL-ROSAMINE</t>
  </si>
  <si>
    <t>GGAUCCCGACUGGCGAGAGCCAGGUAACGAAUGGAUCC</t>
  </si>
  <si>
    <t>1KH6</t>
  </si>
  <si>
    <t>JIIIabc</t>
  </si>
  <si>
    <t>2002-04-26T00:00:00Z</t>
  </si>
  <si>
    <t>Crystal Structure of an RNA Tertiary Domain Essential to HCV IRES-mediated Translation Initiation.</t>
  </si>
  <si>
    <t>GGCGGAACCGGUGAGUACACCGGAAUCCGAAAGGAUUUGGGCGUGCCCCCGCC</t>
  </si>
  <si>
    <t>1KXK</t>
  </si>
  <si>
    <t>ai5g group II Self-splicing intron</t>
  </si>
  <si>
    <t>2002-03-22T00:00:00Z</t>
  </si>
  <si>
    <t>Crystal Structure of a RNA Molecule Containing Domain 5 and 6 of the Yeast ai5g Group II Self-splicing Intron</t>
  </si>
  <si>
    <t>GUCUACCUAUCGGGCUAAGGAGCCGUAUGCGAUGAAAGUCGCACGUACGGUUCUAUGCCCGGGGGAAAAC</t>
  </si>
  <si>
    <t>1L2X</t>
  </si>
  <si>
    <t>Atomic Resolution Crystal Structure of a Viral RNA Pseudoknot</t>
  </si>
  <si>
    <t>GGCGCGGCACCGUCCGCGGAACAAACGG</t>
  </si>
  <si>
    <t>1U9S</t>
  </si>
  <si>
    <t>RIBONUCLEASE P</t>
  </si>
  <si>
    <t>2004-10-26T00:00:00Z</t>
  </si>
  <si>
    <t>Crystal structure of the specificity domain of Ribonuclease P of the A-type</t>
  </si>
  <si>
    <t>GGGUGCCAGGUAACGCCUGGGCGGGGUAACCCGACGGAAAGUGCCACAGAGAAGAGACCGCCAGCGGCCGGGGCUUCCCCCGGUGCGGGCAAGGGUGAAACGGCGGGGUAAGAGCCCACCGCCUGGCCUGGCAACAGGCCGGGGCACGGCAAACCCCACCC</t>
  </si>
  <si>
    <t>1XJR</t>
  </si>
  <si>
    <t>s2m RNA</t>
  </si>
  <si>
    <t>2005-02-01T00:00:00Z</t>
  </si>
  <si>
    <t>The Structure of a Rigorously Conserved RNA Element Within the SARS Virus Genome</t>
  </si>
  <si>
    <t>GGAGUUCACCGAGGCCACGCGGAGUACGAUCGAGGGUACAGUGAAUU</t>
  </si>
  <si>
    <t>1YFG</t>
  </si>
  <si>
    <t>YEAST INITIATOR TRNA</t>
  </si>
  <si>
    <t>1997-09-03T00:00:00Z</t>
  </si>
  <si>
    <t>AGCGCCGUGGCGCAGUGGAAGCGCGCAGGGCUCAUAACCCUGAUGUCCUCGGAUCGAAACCGAGCGGCGCUACCA</t>
  </si>
  <si>
    <t>1Z43</t>
  </si>
  <si>
    <t>RNA (101-MER)</t>
  </si>
  <si>
    <t>2005-06-14T00:00:00Z</t>
  </si>
  <si>
    <t>Crystal structure of 7S.S SRP RNA of M. jannaschii</t>
  </si>
  <si>
    <t>GCUCGGCGGUGGGGGAGCAUCUCCUGUAGGGGAGAUGUAACCCCCUUUACCUGCCGAACCCCGCCAGGCCCGGAAGGGAGCAACGGUAGGCAGGACGUCGG</t>
  </si>
  <si>
    <t>2EEW</t>
  </si>
  <si>
    <t>Guanine riboswitch</t>
  </si>
  <si>
    <t>2007-11-13T00:00:00Z</t>
  </si>
  <si>
    <t>Guanine Riboswitch U47C mutant bound to hypoxanthine</t>
  </si>
  <si>
    <t>GGACAUAUAAUCGCGUGGAUAUGGCACGCAAGCUUCUACCGGGCACCGUAAAUGUCCGACUAUGUCC</t>
  </si>
  <si>
    <t>2OIU</t>
  </si>
  <si>
    <t>P</t>
  </si>
  <si>
    <t>L1 Ribozyme RNA Ligase</t>
  </si>
  <si>
    <t>2007-03-13T00:00:00Z</t>
  </si>
  <si>
    <t>L1 Ribozyme Ligase circular adduct</t>
  </si>
  <si>
    <t>GGACCUCGGCGAAAGCCGUUCGACCAGCGAAAGCUCUUAGACAGGAGGUUAGGUGCUCCGAAAGGAGCACU</t>
  </si>
  <si>
    <t>2QBZ</t>
  </si>
  <si>
    <t>X</t>
  </si>
  <si>
    <t>M-Box RNA, ykoK riboswitch aptamer</t>
  </si>
  <si>
    <t>2007-09-18T00:00:00Z</t>
  </si>
  <si>
    <t>Structure of the M-Box Riboswitch Aptamer Domain</t>
  </si>
  <si>
    <t>GGGCUUCGUUAGGUGAGGCUCCUGUAUGGAGAUACGCUGCUGCCCAAAAAUGUCCAAAGACGCCAAUGGGUCAACAGAAAUCAUCGACAUAAGGUGAUUUUUAAUGCAGCUGGAUGCUUGUCCUAUGCCAUACAGUGCUAAAGCUCUACGAUUGAAGCCCA</t>
  </si>
  <si>
    <t>2QWY</t>
  </si>
  <si>
    <t>SAM-II riboswitch</t>
  </si>
  <si>
    <t>2008-01-22T00:00:00Z</t>
  </si>
  <si>
    <t>SAM-II riboswitch bound to S-adenosylmethionine</t>
  </si>
  <si>
    <t>GCGCGGCGAUUUAACCGUAUUGCAGUCGCGUGAUAAAUGUAGCUAAAAAGGA</t>
  </si>
  <si>
    <t>2ZY6</t>
  </si>
  <si>
    <t>phenylalanyl transfer RNA</t>
  </si>
  <si>
    <t>2009-06-30T00:00:00Z</t>
  </si>
  <si>
    <t>Crystal structure of a truncated tRNA, TPHE39A</t>
  </si>
  <si>
    <t>GCCCGGAUAGUGUCCUUGGGAAACCGAGUCCGGGCACCA</t>
  </si>
  <si>
    <t>3D0X</t>
  </si>
  <si>
    <t>RNA (161-MER)</t>
  </si>
  <si>
    <t>2008-07-01T00:00:00Z</t>
  </si>
  <si>
    <t>Crystal Structure of the unbound lysine riboswitch</t>
  </si>
  <si>
    <t>GGACGGAGGCGCGCCCGAGAUGAGUAGGCUGUCCCAUCAGGGGAGGAAUCGGGGACGGCUGAAAGGCGAGGGCGCCGAAGCGAGCAGAGUUCCUCCCGCUCUGCUUGGCUGGGGGUGAGGGGAAUACCCUUACCACUGUCGCGAAAGCGGAGAGCCGUCCA</t>
  </si>
  <si>
    <t>3D2V</t>
  </si>
  <si>
    <t>TPP-specific riboswitch</t>
  </si>
  <si>
    <t>Structure of the eukaryotic TPP-specific riboswitch bound to the antibacterial compound pyrithiamine pyrophosphate</t>
  </si>
  <si>
    <t>GGGACCAGGGGUGCUUGUUCACAGGCUGAGAAAGUCCCUUUGAACCUGAACAGGGUAAUGCCUGCGCAGGGAGUGUC</t>
  </si>
  <si>
    <t>3E5C</t>
  </si>
  <si>
    <t>SMK box (SAM-III) Riboswitch</t>
  </si>
  <si>
    <t>2008-10-07T00:00:00Z</t>
  </si>
  <si>
    <t>Crystal Structure of the SMK box (SAM-III) Riboswitch with SAM</t>
  </si>
  <si>
    <t>GUUCCCGAAAGGAUGGCGGAAACGCCAGAUGCCUUGUAACCGAAAGGGGGAAU</t>
  </si>
  <si>
    <t>3FU2</t>
  </si>
  <si>
    <t>PreQ1 riboswitch</t>
  </si>
  <si>
    <t>2009-03-03T00:00:00Z</t>
  </si>
  <si>
    <t>Cocrystal structure of a class-I preQ1 riboswitch</t>
  </si>
  <si>
    <t>AGAGGUUCUAGCUACACCCUCUAUAAAAAACUAA</t>
  </si>
  <si>
    <t>3GOG</t>
  </si>
  <si>
    <t>2009-06-23T00:00:00Z</t>
  </si>
  <si>
    <t>Guanine riboswitch A21G,U75C mutant bound to 6-chloroguanine</t>
  </si>
  <si>
    <t>GGACAUGUAAUCGCGUGGAUAUGGCACGCAAGUUUCUACCGGGCACCGUAAAUGUCCGACCAUGUCC</t>
  </si>
  <si>
    <t>3K1V</t>
  </si>
  <si>
    <t>2009-10-06T00:00:00Z</t>
  </si>
  <si>
    <t>Cocrystal structure of a mutant class-I preQ1 riboswitch</t>
  </si>
  <si>
    <t>AGAGGUUCUAGCACAUCCCUCUAUAAAAAACUAA</t>
  </si>
  <si>
    <t>3L0U</t>
  </si>
  <si>
    <t>Unmodified tRNAPhe</t>
  </si>
  <si>
    <t>2010-03-16T00:00:00Z</t>
  </si>
  <si>
    <t>The crystal structure of unmodified tRNAPhe from Escherichia coli</t>
  </si>
  <si>
    <t>GCGCGGAUAGCUCAGUCGGUAGAGCAGGGGAUUGAAAAUCCCCGUGUCCUUGGUUCGAUUCCGAGUCCGCGCACCA</t>
  </si>
  <si>
    <t>3LA5</t>
  </si>
  <si>
    <t>Adenosine RIboswitch</t>
  </si>
  <si>
    <t>2010-01-26T00:00:00Z</t>
  </si>
  <si>
    <t>X-ray crystal structure of mc6 RNA Riboswitch bound to azacytosine</t>
  </si>
  <si>
    <t>GGCUUCAUAUAAUCCGAAUGAUAUGGUUUCGGAGCUUCCACCAAGAGCCUUAAACUCUUGACUAUGGAGUC</t>
  </si>
  <si>
    <t>3NPN</t>
  </si>
  <si>
    <t>S-ADENOSYLHOMOCYSTEINE RIBOSWITCH</t>
  </si>
  <si>
    <t>2010-10-06T00:00:00Z</t>
  </si>
  <si>
    <t>Structure of the s-adenosylhomocysteine riboswitch at 3.0A</t>
  </si>
  <si>
    <t>GGACGAGGAGCGUUGCAAGCGAAAGCCCAGGCUAGUCCGUUCAAACGGCGCUCA</t>
  </si>
  <si>
    <t>3NPQ</t>
  </si>
  <si>
    <t>Structure of the S-adenosylhomocysteine riboswitch at 2.18 A</t>
  </si>
  <si>
    <t>GGACGAGGAGCGCUGCAAGCGAGAGCCCAGGCUCGUCCGUUCAAACGGCGCUCA</t>
  </si>
  <si>
    <t>3Q3Z</t>
  </si>
  <si>
    <t>V</t>
  </si>
  <si>
    <t>c-di-GMP-II riboswitch</t>
  </si>
  <si>
    <t>2011-05-11T00:00:00Z</t>
  </si>
  <si>
    <t>Structure of a c-di-GMP-II riboswitch from C. acetobutylicum bound to c-di-GMP</t>
  </si>
  <si>
    <t>GCGCGGAAACAAUGAUGAAUGGGUUUAAAUUGGGCACUUGACUCAUUUUGAGUUAGUAGUGCAACCGACCGUGCU</t>
  </si>
  <si>
    <t>3RG5</t>
  </si>
  <si>
    <t>tRNA(Sec)</t>
  </si>
  <si>
    <t>2011-06-08T00:00:00Z</t>
  </si>
  <si>
    <t>Crystal Structure of Mouse tRNA(Sec)</t>
  </si>
  <si>
    <t>GCCCGGAUGAUCCUCAGUGGUCUGGGGUGCAGGCUUCAAACCUGUAGCUGUUUAGCGACAGAGUGGUUCAAUUCCACCUUUCGGGC</t>
  </si>
  <si>
    <t>3RKF</t>
  </si>
  <si>
    <t>2011-08-17T00:00:00Z</t>
  </si>
  <si>
    <t>Crystal structure of guanine riboswitch C61U/G37A double mutant bound to thio-guanine</t>
  </si>
  <si>
    <t>GGCCAUAUAACUGCGUGGAUAUAGCACGCAGGUUUCUACCGGGCACUGUAAAUGUCCGACUAUGGUC</t>
  </si>
  <si>
    <t>3SKZ</t>
  </si>
  <si>
    <t>RNA (68-MER)</t>
  </si>
  <si>
    <t>Crystal structure of the 2'- deoxyguanosine riboswitch bound to guanosine</t>
  </si>
  <si>
    <t>GGCCUUAUACAGGGUAGCAUAAUGGGCUACUGACCCCGCCUUCAAACCUAUUUGGAGACUAUAAGGUC</t>
  </si>
  <si>
    <t>3SUH</t>
  </si>
  <si>
    <t>Riboswitch</t>
  </si>
  <si>
    <t>2011-09-14T00:00:00Z</t>
  </si>
  <si>
    <t>Crystal structure of THF riboswitch, bound with 5-formyl-THF</t>
  </si>
  <si>
    <t>GGACAGAGUAGGUAAACGUGCGUAAAGUGCCUGAGGGACGGGGAGUUGUCCUCAGGACGAACACCGAAAGGUGGCGGUACGUUUACCGCAUCUCGCUGUUC</t>
  </si>
  <si>
    <t>3TRA</t>
  </si>
  <si>
    <t>TRNAASP</t>
  </si>
  <si>
    <t>1987-11-06T00:00:00Z</t>
  </si>
  <si>
    <t>RESTRAINED REFINEMENT OF TWO CRYSTALLINE FORMS OF YEAST ASPARTIC ACID AND PHENYLALANINE TRANSFER RNA CRYSTALS</t>
  </si>
  <si>
    <t>UCCGUGAUAGUUUAAUGGUCAGAAUGGGCGCUUGUCGCGUGCCAGAUCGGGGUUCAAUUCCCCGUCGCGGAGCCA</t>
  </si>
  <si>
    <t>430D</t>
  </si>
  <si>
    <t>SARCIN/RICIN LOOP FROM RAT 28S R-RNA</t>
  </si>
  <si>
    <t>1998-10-07T00:00:00Z</t>
  </si>
  <si>
    <t>STRUCTURE OF SARCIN/RICIN LOOP FROM RAT 28S RRNA</t>
  </si>
  <si>
    <t>GGGUGCUCAGUACGAGAGGAACCGCACCC</t>
  </si>
  <si>
    <t>4AOB</t>
  </si>
  <si>
    <t>SAM-I RIBOSWITCH</t>
  </si>
  <si>
    <t>2012-05-09T00:00:00Z</t>
  </si>
  <si>
    <t>SAM-I riboswitch containing the T. solenopsae Kt-23 in complex with S- adenosyl methionine</t>
  </si>
  <si>
    <t>GGCUUAUCAAGAGAGGGCAAGAGACUGGCUUGAUGACCCCCGGCAACCAAAAAUGGUGCCAAUUCCUGCAGAGGAAACGUUGAAAGAUGAGCCA</t>
  </si>
  <si>
    <t>4ENA</t>
  </si>
  <si>
    <t>Fluoride riboswitch</t>
  </si>
  <si>
    <t>Crystal structure of fluoride riboswitch, soaked in Cs+</t>
  </si>
  <si>
    <t>GGGCGAUGAGGCCCGCCCAAACUGCCCUGAAAAGGGCUGAUGGCCUCUACUG</t>
  </si>
  <si>
    <t>4FRG</t>
  </si>
  <si>
    <t>cobalamin riboswitch aptamer domain</t>
  </si>
  <si>
    <t>2012-10-17T00:00:00Z</t>
  </si>
  <si>
    <t>Crystal structure of the cobalamin riboswitch aptamer domain</t>
  </si>
  <si>
    <t>GGCCUAAAAGCAUAGUGGGAAAGUGACGUGAAAUUCGUCCAGAUGCGAAAGCAUACGGUUAUACUCCGAAUGCCACCUAGGCCA</t>
  </si>
  <si>
    <t>4JRC</t>
  </si>
  <si>
    <t>Distal Stem I region of the glyQS T box leader RNA</t>
  </si>
  <si>
    <t>2013-04-24T00:00:00Z</t>
  </si>
  <si>
    <t>Distal Stem I region from G. kaustophilus glyQS T box RNA</t>
  </si>
  <si>
    <t>GGAACCCUCUCUUCCGAAGCGAGCCGGGGGCGGUGGGAGCCCGGUGAAGACGGUUCC</t>
  </si>
  <si>
    <t>4K27</t>
  </si>
  <si>
    <t>U</t>
  </si>
  <si>
    <t>Myotonic Dystrophy Type 2 RNA</t>
  </si>
  <si>
    <t>2013-11-27T00:00:00Z</t>
  </si>
  <si>
    <t>Myotonic Dystrophy Type 2 RNA: Structural Studies and Designed Small Molecules that Modulate RNA Function</t>
  </si>
  <si>
    <t>GCCCCUGCCUGCCUGCAGCUAAGGAUGAAAGUCUAUGCUGCCUGCCUGCCUGGGC</t>
  </si>
  <si>
    <t>4L81</t>
  </si>
  <si>
    <t>SAM-I/IV variant riboswitch aptamer domain</t>
  </si>
  <si>
    <t>2014-05-28T00:00:00Z</t>
  </si>
  <si>
    <t>Structure of the SAM-I/IV riboswitch (env87(deltaU92, deltaG93))</t>
  </si>
  <si>
    <t>GGAUCACGAGGGGGAGACCCCGGCAACCUGGGACGGACACCCAAGGUGCUCACACCGGAGACGGUGGAUCCGGCCCGAGAGGGCAACGAAGUCCGU</t>
  </si>
  <si>
    <t>4LW0</t>
  </si>
  <si>
    <t>THF riboswitch</t>
  </si>
  <si>
    <t>2014-03-19T00:00:00Z</t>
  </si>
  <si>
    <t>Structure of the THF riboswitch bound to adenine</t>
  </si>
  <si>
    <t>GGAGAGUAGAUGAUUCGCGUUAAGUGUGUGUGAAUGGGAUGUCGUCACACAACGAAGCGAGAGCGCGGUGAAUCAUUGCAUCCGCUCCA</t>
  </si>
  <si>
    <t>4NYD</t>
  </si>
  <si>
    <t>thiM TPP riboswitch</t>
  </si>
  <si>
    <t>2014-06-04T00:00:00Z</t>
  </si>
  <si>
    <t>Crystal structure of the E. coli thiM riboswitch in complex with hypoxanthine</t>
  </si>
  <si>
    <t>GCGACUCGGGGUGCCCUUCUGCGUGAAGGCUGAGAAAUACCCGUAUCACCUGAUCUGGAUAAUGCCAGCGUAGGGAAGUCGCA</t>
  </si>
  <si>
    <t>4OJI</t>
  </si>
  <si>
    <t>RNA (52-MER)</t>
  </si>
  <si>
    <t>2014-07-23T00:00:00Z</t>
  </si>
  <si>
    <t>Crystal Structure of Twister Ribozyme</t>
  </si>
  <si>
    <t>CCGCCUAACACUGCCAAUGCCGGUCCCAAGCCCGGAUAAAAGUGGAGGGGGCGG</t>
  </si>
  <si>
    <t>4P5J</t>
  </si>
  <si>
    <t>Turnip yellow mosaic virus mRNA for the coat protein</t>
  </si>
  <si>
    <t>Crystal structure of the tRNA-like structure from Turnip Yellow Mosaic Virus (TYMV), a tRNA mimicking RNA</t>
  </si>
  <si>
    <t>UUAGCUCGCCAGUUAGCGAGGUCUGUCUCGACACGACAGAUAAUCGGGUGCAACUCCCGCCCCUCUUCCGAGGGUCAUCGGAACCA</t>
  </si>
  <si>
    <t>4PCJ</t>
  </si>
  <si>
    <t>trCUG-3('5)</t>
  </si>
  <si>
    <t>2014-10-29T00:00:00Z</t>
  </si>
  <si>
    <t>Modifications to toxic CUG RNAs induce structural stability and rescue mis-splicing in Myotonic Dystrophy</t>
  </si>
  <si>
    <t>CUGCUGGCUAAGGCAUGAAAGUGCUAUGCCUGCUG</t>
  </si>
  <si>
    <t>4PQV</t>
  </si>
  <si>
    <t>XRN1-resistant flaviviral RNA</t>
  </si>
  <si>
    <t>2014-04-30T00:00:00Z</t>
  </si>
  <si>
    <t>Crystal structure of an Xrn1-resistant RNA from the 3' untranslated region of a flavivirus (Murray Valley Encephalitis virus)</t>
  </si>
  <si>
    <t>GGGUCAGAUCGGCGAAAGUCGCCACUUCGCCGAGGAGUGCAAUCUGUGAGGCCCCAGGAGGACUGGGU</t>
  </si>
  <si>
    <t>4QLM</t>
  </si>
  <si>
    <t>RNA (108-MER)</t>
  </si>
  <si>
    <t>2014-08-13T00:00:00Z</t>
  </si>
  <si>
    <t>ydao riboswitch binding to c-di-AMP</t>
  </si>
  <si>
    <t>GGAUCGCUGAACCCGAAAGGGGCGGGGGACCCAGAAAUGGGGCGAAUCUCUUCCGAAAGGAAGAGUAGGGUUACUCCUUCGACCCGAGCCCGUCAGCUAACCUCGCAAGCGUCCGAAGGAGAAUC</t>
  </si>
  <si>
    <t>4RGE</t>
  </si>
  <si>
    <t>env22 twister ribozyme</t>
  </si>
  <si>
    <t>2014-12-03T00:00:00Z</t>
  </si>
  <si>
    <t>Crystal structure of the in-line aligned env22 twister ribozyme</t>
  </si>
  <si>
    <t>UUUUUAAUGAAGCCACAGGCCUGUGAGGGUCCUAAGCCCCUAAUUCAGAAGGGAAA</t>
  </si>
  <si>
    <t>4RUM</t>
  </si>
  <si>
    <t>NiCo riboswitch RNA</t>
  </si>
  <si>
    <t>2015-04-08T00:00:00Z</t>
  </si>
  <si>
    <t>Crystal structure of the NiCo transition-metal riboswitch bound to cobalt</t>
  </si>
  <si>
    <t>GGGAACUGAGCAGGCAAUGACCAGAGCGGUCAUGCAGCCGGGCUGCGAAAGCGGCAACAGAUGAUUACACGCACAUCUGUGGGACAGUUCCCAC</t>
  </si>
  <si>
    <t>4RZD</t>
  </si>
  <si>
    <t>PreQ1-III Riboswitch (Class 3)</t>
  </si>
  <si>
    <t>2015-07-01T00:00:00Z</t>
  </si>
  <si>
    <t>Crystal Structure of a PreQ1 Riboswitch</t>
  </si>
  <si>
    <t>GAGCAACUUAGGAUUUUAGGCUCCCCGGCGUGUCUCGAACCAUGCCGGGCCAAACCCAUAGGGCUGGCGGUCCCUGUGCGGUCAAAAUUCAUCCGCCGGAG</t>
  </si>
  <si>
    <t>4TS2</t>
  </si>
  <si>
    <t>XY</t>
  </si>
  <si>
    <t>Spinach aptamer RNA, bimolecular construct</t>
  </si>
  <si>
    <t>Crystal structure of the Spinach RNA aptamer in complex with DFHBI, magnesium ions</t>
  </si>
  <si>
    <t>GACGCGACCGAAUGAAAUGGUGAAGGACGGGUCCAGCCGGCUGC</t>
  </si>
  <si>
    <t>4WFL</t>
  </si>
  <si>
    <t>2014-10-15T00:00:00Z</t>
  </si>
  <si>
    <t>Structure of the complete bacterial SRP Alu domain</t>
  </si>
  <si>
    <t>GGCCGUGCUAAGCGGGGAGGUAGCGGUGCCCUGUACCUGCAAUCCGCUCUAGCAGGGCCGAAUCCCUUCUCGAGGUUCGGUAACGAAUCGACAGAAGGUGCACGGUC</t>
  </si>
  <si>
    <t>4XWF</t>
  </si>
  <si>
    <t>pfl RNA</t>
  </si>
  <si>
    <t>2015-09-09T00:00:00Z</t>
  </si>
  <si>
    <t>Crystal structure of the ZMP riboswitch at 1.80 angstrom</t>
  </si>
  <si>
    <t>GGGUCGUGACUGGCGAACAGGUGGGAAACCACCGGGGAGCGACCCUUGCCGCCCGCCUGGGCAA</t>
  </si>
  <si>
    <t>4Y1M</t>
  </si>
  <si>
    <t>E. coli yybP-ykoY riboswitch</t>
  </si>
  <si>
    <t>An Escherichia coli yybP-ykoY Mn riboswitch in the Mn2+-free state</t>
  </si>
  <si>
    <t>GAUUUGGGGAGUAGCCGAUUUCCGAAAGGAAAUGUACGUGUCAACAUUUUCGUUGAAAAACGUGGCACGUACGGACUGAAGAAAUUCAGUCAGGCGAGACCAUAUCC</t>
  </si>
  <si>
    <t>4YB0</t>
  </si>
  <si>
    <t>R</t>
  </si>
  <si>
    <t>RNA (84-MER)</t>
  </si>
  <si>
    <t>2015-04-15T00:00:00Z</t>
  </si>
  <si>
    <t>3',3'-cGAMP riboswitch bound with c-di-GMP</t>
  </si>
  <si>
    <t>GUACACGACAAUACUAAACCAUCCGCGAGGAUGGGGCGGAAAGCCUAAGGGUCUCCCUGAGACAGCCGGGCUGCCGAAAUAUC</t>
  </si>
  <si>
    <t>4ZNP</t>
  </si>
  <si>
    <t>pfI Riboswitch</t>
  </si>
  <si>
    <t>2015-08-26T00:00:00Z</t>
  </si>
  <si>
    <t>The structure of A pfI Riboswitch Bound to ZMP</t>
  </si>
  <si>
    <t>GGGAUACAGGACUGGCGGAUUAGUGGGAAACCACGUGGACUGUAUCCGAAAAAAAGCCGACCGCCUGGGCAUC</t>
  </si>
  <si>
    <t>5BTM</t>
  </si>
  <si>
    <t>RNA (55-mer)</t>
  </si>
  <si>
    <t>2015-07-15T00:00:00Z</t>
  </si>
  <si>
    <t>Crystal structure of AUUCU repeating RNA that causes spinocerebellar ataxia type 10 (SCA10)</t>
  </si>
  <si>
    <t>GUCAUUCUAUUCUAUCGGCUAAGGAUGAAAGUCUAUGCCGAUUCUAUUCUAUGGC</t>
  </si>
  <si>
    <t>5BTP</t>
  </si>
  <si>
    <t>RNA (62-MER)</t>
  </si>
  <si>
    <t>2015-08-12T00:00:00Z</t>
  </si>
  <si>
    <t>Fusobacterium ulcerans ZTP riboswitch bound to ZMP</t>
  </si>
  <si>
    <t>UAUCAGUUAUAUGACUGACGGAACGUGGAAUUAACCACAUGAAGUAUAACGAUGACAAUGCCGACCGUCUGGGCG</t>
  </si>
  <si>
    <t>5D5L</t>
  </si>
  <si>
    <t>PreQ1-II riboswitch</t>
  </si>
  <si>
    <t>2016-08-10T00:00:00Z</t>
  </si>
  <si>
    <t>PreQ1-II riboswitch with an engineered G-U wobble pair bound to Cs+</t>
  </si>
  <si>
    <t>GGAAGGCCGAAAGGUCUUCCACGACGAUACUUAUUUCCUUUGAUCGUCGUUAUUACUGGCUUCGGCCACAAAGGAGA</t>
  </si>
  <si>
    <t>5FJC</t>
  </si>
  <si>
    <t>2016-05-25T00:00:00Z</t>
  </si>
  <si>
    <t>SAM-I riboswitch bearing the H. marismortui Kt-7 variant C-2bU</t>
  </si>
  <si>
    <t>GGCUUAUCAAGAGAGGGGGAGUGACUGGCGCGAAGAACCCCGGCAACCAGAAAUGGUGCCAAUUCCUGCAGCGGAAACGUUGAAAGAUGAGCCG</t>
  </si>
  <si>
    <t>5KPY</t>
  </si>
  <si>
    <t>5-hydroxytryptophan RNA aptamer</t>
  </si>
  <si>
    <t>2017-01-11T00:00:00Z</t>
  </si>
  <si>
    <t>Structure of a 5-hydroxytryptophan aptamer</t>
  </si>
  <si>
    <t>GGACACUGAUGAUCGCGUGGAUAUGGCACGCAUUGAAUUGUUGGACACCGUAAAUGUCCUAACACGUGUCC</t>
  </si>
  <si>
    <t>5L4O</t>
  </si>
  <si>
    <t>tRNA (76-MER)</t>
  </si>
  <si>
    <t>2017-03-01T00:00:00Z</t>
  </si>
  <si>
    <t>Structure of an E.coli initiator tRNAfMet A1-U72 variant</t>
  </si>
  <si>
    <t>AGCGGGGUGGAGCAGCCUGGUAGCUCGUCGGGCUCAUAACCCGAAGAUCGUCGGUUCAAAUCCGGCCCCCGCUACCA</t>
  </si>
  <si>
    <t>5LYU</t>
  </si>
  <si>
    <t>7SK RNA</t>
  </si>
  <si>
    <t>2017-01-25T00:00:00Z</t>
  </si>
  <si>
    <t>The native crystal structure of 7SK 5'-hairpin</t>
  </si>
  <si>
    <t>GGGGAUCUGUCACCCCAUUGAUCGCCUUCGGGCUGAUCUGGCUGGCUAGGCGGGUCCC</t>
  </si>
  <si>
    <t>5M0H</t>
  </si>
  <si>
    <t>ASH1 E3 (42 nt-TL/TLR)</t>
  </si>
  <si>
    <t>2017-01-18T00:00:00Z</t>
  </si>
  <si>
    <t>Crystal structure of the central flexible region of ASH1 mRNA E3-localization element</t>
  </si>
  <si>
    <t>GAUAACUGAAUCGCUAAGGAUGAAAGUCUAUGCGACAUUAUC</t>
  </si>
  <si>
    <t>5NWQ</t>
  </si>
  <si>
    <t>Guanidine III riboswitch</t>
  </si>
  <si>
    <t>2017-10-18T00:00:00Z</t>
  </si>
  <si>
    <t>The structure of the thermobifida fusca guanidine III riboswitch with guanidine.</t>
  </si>
  <si>
    <t>CCGGACGAGGUGCGCCGUACCCGGUCAGGACAAGACGGCGC</t>
  </si>
  <si>
    <t>5OB3</t>
  </si>
  <si>
    <t>RNA aptamer (69-MER)</t>
  </si>
  <si>
    <t>2017-10-04T00:00:00Z</t>
  </si>
  <si>
    <t>iSpinach aptamer</t>
  </si>
  <si>
    <t>GGGAGUACGGUGAGGGUCGGGUCCAGUAGGUACGCCUACUGUUGAGUAGAGUGUGGGCUCCGUACUCCC</t>
  </si>
  <si>
    <t>5SWE</t>
  </si>
  <si>
    <t>Vibrio vulnificus strain 93U204 chromosome II, adenine riboswitch aptamer domain</t>
  </si>
  <si>
    <t>2016-11-23T00:00:00Z</t>
  </si>
  <si>
    <t>Ligand-bound structure of adenine riboswitch aptamer domain converted in crystal from its ligand-free state using ligand mixing serial femtosecond crystallography</t>
  </si>
  <si>
    <t>GGGAAGAUAUAAUCCUAAUGAUAUGGUUUGGGAGUUUCUACCAAGAGCCUUAAACUCUUGAUUAUCUUCCC</t>
  </si>
  <si>
    <t>5T83</t>
  </si>
  <si>
    <t>RNA (95-MER)</t>
  </si>
  <si>
    <t>Structure of a guanidine-I riboswitch from S. acidophilus</t>
  </si>
  <si>
    <t>GUCUAAAGUUUGCUAGGGUUCCGCGUCAUAGGUGGUCUGGUCCAAGAGCAAACGGCUUUCACAAAGCCACACGGAAGGAUAAAAGCCUGGGAGAU</t>
  </si>
  <si>
    <t>5TPY</t>
  </si>
  <si>
    <t>RNA (71-MER)</t>
  </si>
  <si>
    <t>2016-12-14T00:00:00Z</t>
  </si>
  <si>
    <t>Crystal structure of an exonuclease resistant RNA from Zika virus</t>
  </si>
  <si>
    <t>GGGUCAGGCCGGCGAAAGUCGCCACAGUUUGGGGAAAGCUGUGCAGCCUGUAACCCCCCCACGAAAGUGGG</t>
  </si>
  <si>
    <t>5U3G</t>
  </si>
  <si>
    <t>ykkC riboswitch</t>
  </si>
  <si>
    <t>2017-02-01T00:00:00Z</t>
  </si>
  <si>
    <t>Structure of the Dickeya dadantii ykkC riboswitch bound to guanidinium</t>
  </si>
  <si>
    <t>GGUGACUAGGGUUCCGGCGAAAGCCGGUCCGAGAGUUACCGACCGCCGAAAGGCGGUUACACGGCGGGAAAAAAGCCCGGGAGGA</t>
  </si>
  <si>
    <t>5UNE</t>
  </si>
  <si>
    <t>AB</t>
  </si>
  <si>
    <t>RNA (47-MER)</t>
  </si>
  <si>
    <t>2017-03-29T00:00:00Z</t>
  </si>
  <si>
    <t>Dimerized Structure Gives Further Insight Into the Function of the Novel RNA Gene: HAR1</t>
  </si>
  <si>
    <t>GGGAAAUGAUGGGCGUAGACGCACGUCAGCGGCGGAAAUGGUUUCCC</t>
  </si>
  <si>
    <t>5V3F</t>
  </si>
  <si>
    <t>RNA (31-MER)</t>
  </si>
  <si>
    <t>2017-05-24T00:00:00Z</t>
  </si>
  <si>
    <t>Co-crystal structure of the fluorogenic RNA Mango</t>
  </si>
  <si>
    <t>GUGCGAAGGGACGGUGCGGAGAGGAGAGCAC</t>
  </si>
  <si>
    <t>6CB3</t>
  </si>
  <si>
    <t>RNA (99-MER)</t>
  </si>
  <si>
    <t>2018-06-13T00:00:00Z</t>
  </si>
  <si>
    <t>Crystal structure of the L.Lactis YkoY riboswitch bound to cadmium</t>
  </si>
  <si>
    <t>GAAAGGGGAGUAGCGUCGGGAAACCGAAACAAAGUCGUCAAUUCGUGAGGAAACUCACCGGCUUUGUUGACAUACGAAAGUAUGUUUAGCAAGACCUUUCC</t>
  </si>
  <si>
    <t>6CK5</t>
  </si>
  <si>
    <t>PRPP riboswitch</t>
  </si>
  <si>
    <t>2018-06-20T00:00:00Z</t>
  </si>
  <si>
    <t>PRPP riboswitch from T. mathranii bound to PRPP</t>
  </si>
  <si>
    <t>GUGAAAGUGUACCUAGGGUUCCAGCCUAUUUGUAGGUGUUCGGACCGAGCGGUACAGGUAUAUUUUUAUAUACCACACCUUAGGGACAAAAGCCCGGGAGGAUAGGUUUCACUCGUA</t>
  </si>
  <si>
    <t>6CU1</t>
  </si>
  <si>
    <t>YrlA effector-binding module</t>
  </si>
  <si>
    <t>2018-10-31T00:00:00Z</t>
  </si>
  <si>
    <t>X-ray structure of the S. typhimurium YrlA effector-binding module</t>
  </si>
  <si>
    <t>GGGUGGCUCUACAUUUGUUGCGGGUUCGAGACCCGUCAGAGCGAAAGCUCUGUAGCUCAAUGGUAGAGCGGUGUAGUCACC</t>
  </si>
  <si>
    <t>6D3P</t>
  </si>
  <si>
    <t>Crystal structure of an exoribonuclease-resistant RNA from Sweet clover necrotic mosaic virus (SCNMV)</t>
  </si>
  <si>
    <t>GGGCGUAACCUCCAUCCGAGUUGCAAGAGAGGGAAACGCAGUCUC</t>
  </si>
  <si>
    <t>6DMC</t>
  </si>
  <si>
    <t>ppGpp Riboswitch</t>
  </si>
  <si>
    <t>2018-11-14T00:00:00Z</t>
  </si>
  <si>
    <t>ppGpp Riboswitch bound to ppGpp, native structure</t>
  </si>
  <si>
    <t>GGAAGUGUACCUAGGGAUCCACCUCGAGAGAGGAAGGACCAAGCGGUACAGGCCUACUUCGGUAGGUUACACCGUGGGGAUAAAAGACCCGUGGCAAGUUUC</t>
  </si>
  <si>
    <t>6DNR</t>
  </si>
  <si>
    <t>PRPP Riboswitch</t>
  </si>
  <si>
    <t>PRPP Riboswitch bound to PRPP, ligand-free structure</t>
  </si>
  <si>
    <t>GGAAAGUGUGUCUAGGGUUCCGCGUGCUUCGGCACGGACUGGUCCAAGUGACACAGACGCAUUCGUGCGUUACACCGGAGGGAUAGAAGCCCAGGCGGGUAGGUUUC</t>
  </si>
  <si>
    <t>6DVK</t>
  </si>
  <si>
    <t>H</t>
  </si>
  <si>
    <t>2019-06-26T00:00:00Z</t>
  </si>
  <si>
    <t>Computationally designed mini tetraloop-tetraloop receptor by the RNAMake program - construct 6 (miniTTR 6)</t>
  </si>
  <si>
    <t>GUUGAUAUGGAUUUACUCCGAGGAGACGAACUACCACGAACAGGGGAAACUCUACCCGUGGCGUCUCCGUUUGACGAGUAAGUCCUAAGUCAACA</t>
  </si>
  <si>
    <t>RNA (36-MER)</t>
  </si>
  <si>
    <t>2019-07-31T00:00:00Z</t>
  </si>
  <si>
    <t>Crystal structure of the Corn aptamer in complex with TO</t>
  </si>
  <si>
    <t>GGCGCGAGGAAGGAGGUCUGAGGAGGUCACUGCGCC</t>
  </si>
  <si>
    <t>6E8S</t>
  </si>
  <si>
    <t>iMango-III aptamer</t>
  </si>
  <si>
    <t>2019-04-17T00:00:00Z</t>
  </si>
  <si>
    <t>Structure of the iMango-III aptamer bound to TO1-Biotin</t>
  </si>
  <si>
    <t>GCUACGAAGGAAGGAUUGGUAUGUGGUAUAUUCGUAGC</t>
  </si>
  <si>
    <t>6E8T</t>
  </si>
  <si>
    <t>Structure of the Mango-III (A10U) aptamer bound to TO1-Biotin</t>
  </si>
  <si>
    <t>GUACGAAGGAAGGUUUGGUAUGUGGUAUAUUCGUAC</t>
  </si>
  <si>
    <t>6FZ0</t>
  </si>
  <si>
    <t>metY SAM V  (53-MER)</t>
  </si>
  <si>
    <t>2018-07-04T00:00:00Z</t>
  </si>
  <si>
    <t>Crystal structure of the metY SAM V riboswitch</t>
  </si>
  <si>
    <t>AGGCGCAUUUGAACUGUAUUGUACGCCUUGCAUAAAGCAAAAGUACUAAAAAA</t>
  </si>
  <si>
    <t>6GYV</t>
  </si>
  <si>
    <t>Lariat-capping ribozyme</t>
  </si>
  <si>
    <t>2018-08-22T00:00:00Z</t>
  </si>
  <si>
    <t>Lariat-capping ribozyme (circular permutation form)</t>
  </si>
  <si>
    <t>CAUCCGGUAUCCCAAGACAAUCUUCGGGUUGGGUUGGGAAGUAUCAUGGCUAAUCACCAUGAUGCAAUCGGGUUGAACACUUAAUUGGGUUAAAACGGUGGGGGACGAUCCCGUAACAUCCGUCCUAACGGCGACAGACUGCACGGCCCUGCCUCUUAGGUGUGUCCAAUGAACAGUCGUUCCGAAAGGAAG</t>
  </si>
  <si>
    <t>6H0R</t>
  </si>
  <si>
    <t>SRS2 fragment of Rgs4 3' UTR, RNA (31-MER)</t>
  </si>
  <si>
    <t>X-ray structure of SRS2 fragment of Rgs4 3' UTR</t>
  </si>
  <si>
    <t>ACAUGCACAUGCAAUUUGUGUAUGUGUAUGU</t>
  </si>
  <si>
    <t>6JQ5</t>
  </si>
  <si>
    <t>RNA (82-MER)</t>
  </si>
  <si>
    <t>2019-06-12T00:00:00Z</t>
  </si>
  <si>
    <t>The structure of Hatchet Ribozyme</t>
  </si>
  <si>
    <t>UUACUGUGAGAAUCAGUAACAAACAUGUGGGGCUUAUAUCUAAUCGAAAGAUUAGUAUUAGUGCAGACGUUAAAACCAUGUC</t>
  </si>
  <si>
    <t>6N2V</t>
  </si>
  <si>
    <t>X. oryzae Mn riboswitch optimized construct</t>
  </si>
  <si>
    <t>2019-10-02T00:00:00Z</t>
  </si>
  <si>
    <t>Manganese riboswitch from Xanthmonas oryzae bound to Mn(II)</t>
  </si>
  <si>
    <t>GGCUUGGGGAGUAGCCUGCUUUCGGAAACGAAAGCGCCUGUAUCAACAUACUCGGCGAAAGCCGUGGUGCAGGACCGAAAGGUCUGGCGAGACCAGGCC</t>
  </si>
  <si>
    <t>6N5O</t>
  </si>
  <si>
    <t>RNA (126-MER)</t>
  </si>
  <si>
    <t>2019-11-27T00:00:00Z</t>
  </si>
  <si>
    <t>Structure of Human pir-miRNA-202 Apical Loop and One-base-pair Fused to the YdaO Riboswitch Scaffold</t>
  </si>
  <si>
    <t>GGUUGCCGAAUCCGAUCUGGCGGUACGGAGGAACCGCUUUUUGGGGUUAAUCUGCAGUGAAGCUGCAGUAGGGAUACCUUCUGUCCCGCACCCGACAGCUAACUCCGGAGGCAAUAAAGGAAGGAG</t>
  </si>
  <si>
    <t>6OL3</t>
  </si>
  <si>
    <t>Adenovirus Virus-Associated (VA) RNA I apical and central domains</t>
  </si>
  <si>
    <t>2019-07-03T00:00:00Z</t>
  </si>
  <si>
    <t>Crystal structure of an adenovirus virus-associated RNA</t>
  </si>
  <si>
    <t>GGACCUCGCAAGGGUAUCAUGGCGGACGACCGGGGUUCGAACCCCGGAUCCGGCCGUCCGCCGUGAUCCAUGCGGUUACCGCCCGCGUGUCGAACCCAGGUGUGCGAGGUCC</t>
  </si>
  <si>
    <t>6P2H</t>
  </si>
  <si>
    <t>RNA (69-MER)</t>
  </si>
  <si>
    <t>2019-10-23T00:00:00Z</t>
  </si>
  <si>
    <t>Structural basis for 2'-deoxyguanosine recognition by the 2'-dG-II class of riboswitches</t>
  </si>
  <si>
    <t>GGGUGUAAUCUCCAAAAUAUGGUUGGGGAGCCUCCACCAGUGAACCGUAAAAUCGCUGUCACCACCCAG</t>
  </si>
  <si>
    <t>6PMO</t>
  </si>
  <si>
    <t>tRNA-Gly</t>
  </si>
  <si>
    <t>2019-11-20T00:00:00Z</t>
  </si>
  <si>
    <t>Co-crystal structure of the Geobacillus kaustophilus glyQ T-box riboswitch discriminator domain in complex with tRNA-Gly</t>
  </si>
  <si>
    <t>GCGGAAGUAGUUCAGUGGUAGAACACCACCUUGCCAAGGUGGGGGUCGCGGGUUCGAAUCCCGUCUUCCGCUCCA</t>
  </si>
  <si>
    <t>6PQ7</t>
  </si>
  <si>
    <t>RNA (37-MER)</t>
  </si>
  <si>
    <t>Structure of the iMango-III fluorescent aptamer at room temperature.</t>
  </si>
  <si>
    <t>GUACGAAGGAAGGUUUGGUAUGGGGUAGUUGUCGUAC</t>
  </si>
  <si>
    <t>6PRV</t>
  </si>
  <si>
    <t>2020-01-08T00:00:00Z</t>
  </si>
  <si>
    <t>58nt RNA L11-binding domain from E. coli 23S rRNA</t>
  </si>
  <si>
    <t>GCCAGGAUGUUGGCUUAGAAGCAGCCAUCAUUUAAAGAAAGCGUAAUAGCUCACUGGU</t>
  </si>
  <si>
    <t>6QN3</t>
  </si>
  <si>
    <t>RNA (51-MER)</t>
  </si>
  <si>
    <t>Structure of the Glutamine II Riboswitch</t>
  </si>
  <si>
    <t>CGUUCACCCUUCGGGGCGCAUGAAAUGGGAGUAGGGAACGGGAUUCUCAU</t>
  </si>
  <si>
    <t>6TFG</t>
  </si>
  <si>
    <t>Chains: A</t>
  </si>
  <si>
    <t>2020-09-23T00:00:00Z</t>
  </si>
  <si>
    <t>Crystal structure of the ADP-binding domain of the NAD+ riboswitch with Adenosine 3-phosphate 5-phosphosulfate (APPS)</t>
  </si>
  <si>
    <t>GGCUUCAACAACCCCGUAGGUUGGGCCGAAAGGCAGCGAAUCUACUGGAGCC</t>
  </si>
  <si>
    <t>6UFG</t>
  </si>
  <si>
    <t>RNA (77-MER)</t>
  </si>
  <si>
    <t>Co-crystal structure of M. tuberculosis ileS T-box in complex with tRNA-3'-OH</t>
  </si>
  <si>
    <t>GGGCCUAUAGCUCAGGCGGUUAGAGCGCUUCGCUGAUAACGAAGAGGUCGGAGGUUCAAGUCCUCCUAGGCCCGCCA</t>
  </si>
  <si>
    <t>6UGG</t>
  </si>
  <si>
    <t>tRNAasp</t>
  </si>
  <si>
    <t>2020-01-01T00:00:00Z</t>
  </si>
  <si>
    <t>Structure of unmodified E. coli tRNA(Asp)</t>
  </si>
  <si>
    <t>GGAGCGGUAGUUCAGUCGGUUAGAAUACCUGCCUGUCACGCAGGGGGUCGCGGGUUCGAGUCCCGUCCGUUCCGCCA</t>
  </si>
  <si>
    <t>6UGJ</t>
  </si>
  <si>
    <t>tRNA(Asp) acceptor stem/T stem-loop</t>
  </si>
  <si>
    <t>Crystal structure of a fragment of E. coli tRNA(Asp) consisting of its acceptor stem/T stem-loop. Short unit cell.</t>
  </si>
  <si>
    <t>GGAGCGGGCGGGUUCGAGUCCCGUCCGUUCC</t>
  </si>
  <si>
    <t>6V9B</t>
  </si>
  <si>
    <t>BD</t>
  </si>
  <si>
    <t>RNA (28-MER)</t>
  </si>
  <si>
    <t>2020-05-20T00:00:00Z</t>
  </si>
  <si>
    <t>Co-crystal structure of the fluorogenic Mango-IV homodimer bound to TO1-Biotin</t>
  </si>
  <si>
    <t>AUCGAGGGAGUGGUGAGGAUGAGGCGAU</t>
  </si>
  <si>
    <t>6YL5</t>
  </si>
  <si>
    <t>ABCDEFGHIJKL</t>
  </si>
  <si>
    <t>Chains: A,B,C,D,E,F,G,H,I,J,K,L</t>
  </si>
  <si>
    <t>2020-07-22T00:00:00Z</t>
  </si>
  <si>
    <t>Crystal structure of the SAM-SAH riboswitch with SAH</t>
  </si>
  <si>
    <t>GGUCACAACGGCUUCCUGGCGUGACCAUUGGAGCA</t>
  </si>
  <si>
    <t>7D7W</t>
  </si>
  <si>
    <t>18GAAA (52-MER)</t>
  </si>
  <si>
    <t>2020-11-25T00:00:00Z</t>
  </si>
  <si>
    <t>Crystal Structure of the Domain1 of NAD+ Riboswitch with nicotinamide adenine dinucleotide (NAD+)</t>
  </si>
  <si>
    <t>GCUUCAACAACCCCGUAGGUGGGGACGAAAGUCAGCGCACCUACUGGAGCC</t>
  </si>
  <si>
    <t>7D82</t>
  </si>
  <si>
    <t>832GAAA (50-MER)</t>
  </si>
  <si>
    <t>Crystal Structure of the Domain2 of NAD+ Riboswitch with nicotinamide adenine dinucleotide (NAD+), soaked in Mn2+</t>
  </si>
  <si>
    <t>GGUUUCAACAUCCCCGUUCGGCGCUCGAAAGAGGUGGCCGGACUGAAGCC</t>
  </si>
  <si>
    <t>7E9I</t>
  </si>
  <si>
    <t>33-mer RNA</t>
  </si>
  <si>
    <t>2021-11-17T00:00:00Z</t>
  </si>
  <si>
    <t>Crystal structure of a class I PreQ1 riboswitch aptamer (wild-type) complexed with a cognate ligand-derived photoaffinity probe</t>
  </si>
  <si>
    <t>CUGGGUCGCAGUAACCCCAGUUAACAAAACAAG</t>
  </si>
  <si>
    <t>7ELR</t>
  </si>
  <si>
    <t>NMT1 (46-MER)</t>
  </si>
  <si>
    <t>2021-06-30T00:00:00Z</t>
  </si>
  <si>
    <t>Crystal structure of xanthine riboswitch with xanthine</t>
  </si>
  <si>
    <t>GAGUAGAAGCGUUCAGCGGCCGAAAGGCCGCCCGGAAAUUGCUCC</t>
  </si>
  <si>
    <t>7EON</t>
  </si>
  <si>
    <t>Pepper (49-MER)</t>
  </si>
  <si>
    <t>2021-11-24T00:00:00Z</t>
  </si>
  <si>
    <t>Crystal structure of the Pepper aptamer in complex with HBC514</t>
  </si>
  <si>
    <t>GCGCACUGGCGCUGCGCCUUCGGGCGCCAAUCGUAGCGUGUCGGCGCC</t>
  </si>
  <si>
    <t>7EQJ</t>
  </si>
  <si>
    <t>RNA (76-MER)</t>
  </si>
  <si>
    <t>2022-01-19T00:00:00Z</t>
  </si>
  <si>
    <t>crystal structure of E. coli Valine tRNA</t>
  </si>
  <si>
    <t>GGGUGAUUAGCUCAGCUGGGAGAGCACCUCCCUUACAAGGAGGGGGUCGGCGGUUCGAUCCCGUCAUCACCCACCA</t>
  </si>
  <si>
    <t>7JJU</t>
  </si>
  <si>
    <t>Potato leafroll virus xrRNA</t>
  </si>
  <si>
    <t>2020-09-09T00:00:00Z</t>
  </si>
  <si>
    <t>Crystal structure of en exoribonuclease-resistant RNA (xrRNA) from Potato leafroll virus (PLRV)</t>
  </si>
  <si>
    <t>GGAACUAGCUCAGCAUACACGAGUUGCAAGCAUGGGAAGUUCAAGCCUCGU</t>
  </si>
  <si>
    <t>7JRR</t>
  </si>
  <si>
    <t>RNA (50-MER)</t>
  </si>
  <si>
    <t>2021-09-08T00:00:00Z</t>
  </si>
  <si>
    <t>Crystal structures of artificially designed homomeric RNA nanoarchitectures</t>
  </si>
  <si>
    <t>GGACGGGAGCUGAACCAUCCAGCGAAGAACGUCCCGACGGAUGGUUCGUCG</t>
  </si>
  <si>
    <t>7KGA</t>
  </si>
  <si>
    <t>RNA (90-MER)</t>
  </si>
  <si>
    <t>2021-06-23T00:00:00Z</t>
  </si>
  <si>
    <t>Crystal structure of a mosquito-borne flavivirus dumbbell RNA</t>
  </si>
  <si>
    <t>GGGGGCCAGAUGUCAUGUCUCUCAAGCCUAGGAGACACUAGACACUCUGGACUAUCGGUUAGAGGAAACCCCCCCAAAAAUGUAUAGGCU</t>
  </si>
  <si>
    <t>7KVT</t>
  </si>
  <si>
    <t>Squash RNA aptamer bound to DFHBI-1T with iridium (III) ions</t>
  </si>
  <si>
    <t>Crystal structure of Squash RNA aptamer in complex with DFHBI-1T with iridium (III) ions</t>
  </si>
  <si>
    <t>GGGAAGAUACAAGGUGAGCCCAAUAAUAUGGUUUGGGUUAGGAUAGGAAGUAGAGCCUUAAACUCUCUAAGCGGUAUCUUCCC</t>
  </si>
  <si>
    <t>7MKY</t>
  </si>
  <si>
    <t>RNA (66-MER)</t>
  </si>
  <si>
    <t>2021-05-26T00:00:00Z</t>
  </si>
  <si>
    <t>SARS-CoV-2 frameshifting pseudoknot RNA</t>
  </si>
  <si>
    <t>CGGUGUAAGUGCAGCCCGUCUUACACCGUGCGGCACAGCGGAAACGCUGAUGUCGUAUACAGGGCU</t>
  </si>
  <si>
    <t>7MLW</t>
  </si>
  <si>
    <t>F</t>
  </si>
  <si>
    <t>Guanidine-I riboswitch</t>
  </si>
  <si>
    <t>2022-01-12T00:00:00Z</t>
  </si>
  <si>
    <t>Burkholderia sp. TJI49 Guanidine-I riboswitch</t>
  </si>
  <si>
    <t>GGAUCGCUAGGGUUCCGGUCGUGCGGCGUUCGCGCCGCACGAUGCUGGUCCGAGAGCAAUCCGGUCUUGCCUUCGCCUCGUUCGCGAGGAAACGGCGAGGCUCCACGGAGGGAUAAAAGCCCGGGAGG</t>
  </si>
  <si>
    <t>7OA3</t>
  </si>
  <si>
    <t>Chili RNA Aptamer</t>
  </si>
  <si>
    <t>2021-06-16T00:00:00Z</t>
  </si>
  <si>
    <t>Crystal structure of Chili RNA aptamer in complex with DMHBO+ (Iridium hexammine co-crystallized form)</t>
  </si>
  <si>
    <t>GGCUAGCUGGAGGGGCGCCAGUUCGCUGGUGGUUGGGUGCGGUCGGCUAGCC</t>
  </si>
  <si>
    <t>7UQ6</t>
  </si>
  <si>
    <t>RNA (86-MER)</t>
  </si>
  <si>
    <t>2022-06-15T00:00:00Z</t>
  </si>
  <si>
    <t>tRNA T-box antiterminator fusion, construct #4</t>
  </si>
  <si>
    <t>GCGGAAGUAGUUCAGUGGUAGAACACCGGGUGGAACCCCAGGAAACUGGCCCGGGUCGCGCGGGUUCGAGUCCCGUCUUCCGCUCC</t>
  </si>
  <si>
    <t>7UR5</t>
  </si>
  <si>
    <t>vwy</t>
  </si>
  <si>
    <t>allo-tRNAUTu1</t>
  </si>
  <si>
    <t>ELECTRON MICROSCOPY</t>
  </si>
  <si>
    <t>2022-08-10T00:00:00Z</t>
  </si>
  <si>
    <t>allo-tRNAUTu1 in the A, P, and E sites of the E. coli ribosome</t>
  </si>
  <si>
    <t>GGAGGGGAACUUCUAUCUGGUGAUAGACGGGAACUCUAAAUUCCUUGAAAUGCCUCGCCGCAUUGGGUUCGAUUCCCUUCCCCUCCGCCA</t>
  </si>
  <si>
    <t>7V9E</t>
  </si>
  <si>
    <t>2022-03-23T00:00:00Z</t>
  </si>
  <si>
    <t>Crystal structure of a methyl transferase ribozyme</t>
  </si>
  <si>
    <t>CGGGCUGACCGACCCCCCGAGUUCGCUCGGGGACAACUAGACAUACAGUAUGAAAAUACUGAGCCCGC</t>
  </si>
  <si>
    <t>7WIE</t>
  </si>
  <si>
    <t>2023-01-18T00:00:00Z</t>
  </si>
  <si>
    <t>The THF-II riboswitch bound to 7DG</t>
  </si>
  <si>
    <t>GGCGUGGUCCGUUCAACUCGUUCCUCGAAAGAGGAACUACGGGAGACGCC</t>
  </si>
  <si>
    <t>8D2B</t>
  </si>
  <si>
    <t>RNA (33-MER)</t>
  </si>
  <si>
    <t>2022-11-30T00:00:00Z</t>
  </si>
  <si>
    <t>Crystal structure of theophylline aptamer in complex with TAL2</t>
  </si>
  <si>
    <t>GGCGAUACCAGCCGAAAGGCCCUUGGCAGCGCC</t>
  </si>
  <si>
    <t>8EYU</t>
  </si>
  <si>
    <t>RNA (49-MER)</t>
  </si>
  <si>
    <t>2023-05-31T00:00:00Z</t>
  </si>
  <si>
    <t>Structure of Beetroot dimer bound to DFAME</t>
  </si>
  <si>
    <t>GCGCCGGUUAGGCAGAGGUGGGUGGUGUGGAGGAGUAUCUGUCCGGCGC</t>
  </si>
  <si>
    <t>8F0N</t>
  </si>
  <si>
    <t>Wobble Beetroot (A16U-U38G) dimer bound to DFHO</t>
  </si>
  <si>
    <t>GCGCCGGUUAGGCAGUGGUGGGUGGUGUGGAGGAGUAGCUGUCCGGCGC</t>
  </si>
  <si>
    <t>8FZA</t>
  </si>
  <si>
    <t>PreQ1 Riboswitch (30-MER)</t>
  </si>
  <si>
    <t>2023-08-30T00:00:00Z</t>
  </si>
  <si>
    <t>Class I type III preQ1 riboswitch from E. coli</t>
  </si>
  <si>
    <t>UUGGGUUCCCUCACCCCAAUCAUAAAAAGG</t>
  </si>
  <si>
    <t>8HB8</t>
  </si>
  <si>
    <t>RNA (55-MER)</t>
  </si>
  <si>
    <t>2023-03-22T00:00:00Z</t>
  </si>
  <si>
    <t>Crystal structure of NAD-II riboswitch (single strand) with NMN</t>
  </si>
  <si>
    <t>GCGGCGUUGCGUCCGAAAGUCUAAACAGACACGGCCGCUUAAAAACAAAAGGAGA</t>
  </si>
  <si>
    <t>8HZE</t>
  </si>
  <si>
    <t>2024-06-19T00:00:00Z</t>
  </si>
  <si>
    <t>A new fluorescent RNA aptamer bound with N</t>
  </si>
  <si>
    <t>GAAGAUUGUAAACAUGCCGAAAGGCAGACACUUCC</t>
  </si>
  <si>
    <t>8ITS</t>
  </si>
  <si>
    <t>RNA (46-MER)</t>
  </si>
  <si>
    <t>2024-03-27T00:00:00Z</t>
  </si>
  <si>
    <t>Crystal structure of DUF-3268 k-junction</t>
  </si>
  <si>
    <t>GGGAGUUAGACUCGCGAAAGCGAGGAACUGCGAAAGCAGUACUUCC</t>
  </si>
  <si>
    <t>8K30</t>
  </si>
  <si>
    <t>RNA (56-MER)</t>
  </si>
  <si>
    <t>2025-01-15T00:00:00Z</t>
  </si>
  <si>
    <t>Crystal structure of a medaka mascRNA U23G</t>
  </si>
  <si>
    <t>GACGCCGGUGGUGGCACUCCUGGUUUUCAGGACGGGGUUCAAUUCCCUGCGGUGUC</t>
  </si>
  <si>
    <t>8K7W</t>
  </si>
  <si>
    <t>2025-01-29T00:00:00Z</t>
  </si>
  <si>
    <t>Crystal structure of Broccoli aptamer with DFHBI-1T</t>
  </si>
  <si>
    <t>GGGACGGUCGGGUCCAGAUAUUCGUAUCUGUCGAGUAGAGUGUGGGCUC</t>
  </si>
  <si>
    <t>8K85</t>
  </si>
  <si>
    <t>2025-02-12T00:00:00Z</t>
  </si>
  <si>
    <t>Crystal structure of Red Broccoli aptamer with OBI</t>
  </si>
  <si>
    <t>GGAGACGGUCGGGUCCAGUCGCAACGAUGUUGGCUGUUGAGUAGUGUGUGGGCUCC</t>
  </si>
  <si>
    <t>8KED</t>
  </si>
  <si>
    <t>RNA (72-MER)</t>
  </si>
  <si>
    <t>2025-02-19T00:00:00Z</t>
  </si>
  <si>
    <t>Crystal structure of 2'-dG-III riboswitch with guanine</t>
  </si>
  <si>
    <t>GGAUUCGUAUAUCCUUAAUGAUAUGGUUUAAGGGCAAUACAUAGAGACCACAAAUUUCUUACUGCGAAUUCU</t>
  </si>
  <si>
    <t>8SA3</t>
  </si>
  <si>
    <t>adenosylcobalamin riboswitch form 2</t>
  </si>
  <si>
    <t>2023-07-26T00:00:00Z</t>
  </si>
  <si>
    <t>Adenosylcobalamin-bound riboswitch dimer, form 2</t>
  </si>
  <si>
    <t>GGUUAAAGCCUUAUGGUCGCUACCAUUGCACUCCGGUAGCGUUAAAAGGGAAGACGGGUGAGAAUCCCGCGCAGCCCCCGCUACUGUGAGGGAGGACGAAGCCCUAGUAAGCCACUGCCGAAAGGUGGGAAGGCAGGGUGGAGGAUGAGUCCCGAGCCAGGAGACCUGCCAUAAGGUUUUAGAAGUUCGCCUUCGGGGGGAAGGUGAACA</t>
  </si>
  <si>
    <t>8SP9</t>
  </si>
  <si>
    <t>tRNA scaffold,CVB3 Cloverleaf RNA</t>
  </si>
  <si>
    <t>2023-08-09T00:00:00Z</t>
  </si>
  <si>
    <t>Crystal Structure of Coxsackievirus B3 (CVB3) Cloverleaf RNA with tRNA scaffold</t>
  </si>
  <si>
    <t>GCCCGGAUAGCUCAGUCGGUAGAGCAGCGGUAAAACAGCCUGUGGGUUGAUCCCACCCACAGGGCCCAUUGGGCGCUAGCACUCUGGUAUCACGGUACCUUUGUGCGCCUGUUUUACCGCGGGUCCAGGGUUCAAGUCCCUGUUCGGGCGCCA</t>
  </si>
  <si>
    <t>8T5O</t>
  </si>
  <si>
    <t>RNA Device 43</t>
  </si>
  <si>
    <t>Cryo-EM structure of RNA device 43, holo state</t>
  </si>
  <si>
    <t>GUGAGGUGCAGGUACAUCCAGCUGAUGAGUCCCAAAUAGGACAAAAAGGGAGAGGUGAAGAAUACGACCACCUAGGCUCGAAAGAGCCUAAAACAUACCUUUCCUGGAUUCCACUGCUAUCCAC</t>
  </si>
  <si>
    <t>8U5J</t>
  </si>
  <si>
    <t>Mango III variant</t>
  </si>
  <si>
    <t>Structure of Mango III variant aptamer bound to T01-07M-B</t>
  </si>
  <si>
    <t>GUACGAAGGAAGGUUUGGUAUGUGGUAGAUUCGUAC</t>
  </si>
  <si>
    <t>8U5Z</t>
  </si>
  <si>
    <t>Mango II variant</t>
  </si>
  <si>
    <t>Structure of Mango II variant aptamer bound to T01-7M-B</t>
  </si>
  <si>
    <t>GCGUACGAAGGUGAGGAGAGGCGAGGAAGAGUACGC</t>
  </si>
  <si>
    <t>8UO6</t>
  </si>
  <si>
    <t>HIV-1 Rev Response Element Stem-Loop II with tRNA scaffold</t>
  </si>
  <si>
    <t>2024-06-05T00:00:00Z</t>
  </si>
  <si>
    <t>HIV-1 Rev Response Element (RRE) Stem-Loop II (SLII)</t>
  </si>
  <si>
    <t>GCCCGGAUAGCUCAGUCGGUAGAGCAGCGGGCACUAUGGGCGCAGUGUCAAUGGACGCUGACGGUACAGGCCAGACAAUUAUUGUCUGGUAUAGUGCCCGCGGGUCCAGGGUUCAAGUCCCUGUUCGGGCGCCA</t>
  </si>
  <si>
    <t>8UPT</t>
  </si>
  <si>
    <t>2024-01-10T00:00:00Z</t>
  </si>
  <si>
    <t>Candidatus Methanomethylophilus alvus tRNAPyl in A-site of ribosome</t>
  </si>
  <si>
    <t>GGGGGACGGUCCGGCGACCAGCGGGUCUCUAAAACCUAGCCAGCGGGGUUCGACGCCCCGGUCUCUCGCCA</t>
  </si>
  <si>
    <t>8UPY</t>
  </si>
  <si>
    <t>2024-09-04T00:00:00Z</t>
  </si>
  <si>
    <t>Methanosarcine mazei tRNAPyl in A-site of ribosome</t>
  </si>
  <si>
    <t>GGAAACCUGAUCAUGUAGAUCGAAUGGACUCUAAAUCCGUUCAGCCGGGUUAGAUUCCCGGGGUUUCCGCCA</t>
  </si>
  <si>
    <t>8V1H</t>
  </si>
  <si>
    <t>pre-mascRNA</t>
  </si>
  <si>
    <t>2024-07-10T00:00:00Z</t>
  </si>
  <si>
    <t>Crystal structure of human pre-mascRNA</t>
  </si>
  <si>
    <t>GGCCCGGACGAUGCUGGUGGUUGGCACUCCUGGUUUCCAGGACGGGGUUCAAAUCCCUGCGGCGUCGUCCGGGCC</t>
  </si>
  <si>
    <t>8VT5</t>
  </si>
  <si>
    <t>menRNA</t>
  </si>
  <si>
    <t>2024-07-24T00:00:00Z</t>
  </si>
  <si>
    <t>Crystal structure of human menRNA</t>
  </si>
  <si>
    <t>GGGCGCUGGUGGUGGCACGUCCAGCACGGCUGGGCCGGGGUUCGAGUCCCCGCAGUGUUC</t>
  </si>
  <si>
    <t>8VXZ</t>
  </si>
  <si>
    <t>Chains: A,B,C</t>
  </si>
  <si>
    <t>Mango II bound to 365A-084</t>
  </si>
  <si>
    <t>GCGUACGAAGGAGAGGAGAGGAAGAGGAGAGUACGC</t>
  </si>
  <si>
    <t>8XZQ</t>
  </si>
  <si>
    <t>RNA (53-MER)</t>
  </si>
  <si>
    <t>Crystal structure of folE riboswitch with 8-N Guanine</t>
  </si>
  <si>
    <t>GGGUGUGUACCGUUCAACUCGUCCCAGCUUCGACUGGGACUACGGGAGCGCCU</t>
  </si>
  <si>
    <t>8Z8U</t>
  </si>
  <si>
    <t>RNA (41-MER)</t>
  </si>
  <si>
    <t>2025-03-19T00:00:00Z</t>
  </si>
  <si>
    <t>Crystal structure of LINE-1 ribozyme mutant - C39U</t>
  </si>
  <si>
    <t>GGGCAGAGCCCAACACAGCGAAAGCUGUGGCUAGACUGUCC</t>
  </si>
  <si>
    <t>9BUN</t>
  </si>
  <si>
    <t>RNA (48-MER)</t>
  </si>
  <si>
    <t>RhoBAST aptamer RNA in complex with 5(6)-carboxytetramethylrhodamine</t>
  </si>
  <si>
    <t>GGACUCGGAAACGUGAAGGAGAGGCGCAAGGUUAACCGCCUCAGUCCA</t>
  </si>
  <si>
    <t>9BZ1</t>
  </si>
  <si>
    <t>2024-11-27T00:00:00Z</t>
  </si>
  <si>
    <t>Cocrystal structure of Clostridium beijerinckii ZTP riboswitch with AICA</t>
  </si>
  <si>
    <t>UAGUCAUAUGACUGACGGAAGUGGAGUUACCACAUGAAGUAUGACUAGGCAUAUUAUCUUAUAUGCCACAAAAAGCCGACCGUCUGGGC</t>
  </si>
  <si>
    <t>9C6I</t>
  </si>
  <si>
    <t>Group IIC Intron</t>
  </si>
  <si>
    <t>2024-12-04T00:00:00Z</t>
  </si>
  <si>
    <t>Cryo-EM structure of a group IIC intron RNA</t>
  </si>
  <si>
    <t>GUUAUGUGUGCCCGGCAUGGGUGCAGUCUAUAGGGUGAGAGUCCCGAACUGUGAAGGCAGAAGUAACAGUUAGCCUAACGCAAGGGUGUCCGUGGCGACAUGGAAUCUGAAGGAAGCGGACGGCAAACCUUCGGUCUGAGGAACACGAACUUCAUAUGAGGCUAGGUAUCAAUGGAUGAGUUUGCAUAACAAAACAAAGUCCUUUCUGCCAAAGUUGGUACAGAGUAAAUGAAGCAGAUUGAUGAAGGGAAAGACUGCAUUCUUACCCGGGGAGGUCUGGAAACAGAAGUCAGCAGAAGUCAUAGUACCCUGUUCGCAGGGGAAGGACGGAACAAGUAUGGCGUUCGCGCCUAAGCUUGAACCACCGUAUACCGAACGGUACGUACGGUGGUGUGAGAGGAGUUCGCUCUACUCUAU</t>
  </si>
  <si>
    <t>9CBU</t>
  </si>
  <si>
    <t>N</t>
  </si>
  <si>
    <t>RNA (387-MER)</t>
  </si>
  <si>
    <t>2024-11-20T00:00:00Z</t>
  </si>
  <si>
    <t>Tetrahymena ribozyme with consensus water and magnesium ions</t>
  </si>
  <si>
    <t>GGAGGGAAAAGUUAUCAGGCAUGCACCUGGUAGCUAGUCUUUAAACCAAUAGAUUGCAUCGGUUUAAAAGGCAAGACCGUCAAAUUGCGGGAAAGGGGUCAACAGCCGUUCAGUACCAAGUCUCAGGGGAAACUUUGAGAUGGCCUUGCAAAGGGUAUGGUAAUAAGCUGACGGACAUGGUCCUAACCACGCAGCCAAGUCCUAAGUCAACAGAUCUUCUGUUGAUAUGGAUGCAGUUCACAGACUAAAUGUCGGUCGGGGAAGAUGUAUUCUUCUCAUAAGAUAUAGUCGGACCUCUCCUUAAUGGGAGCUAGCGGAUGAAGUGAUGCAACACUGGAGCCGCUGGGAACUAAUUUGUAUGCGAAAGUAUAUUGAUUAGUUUUGGAG</t>
  </si>
  <si>
    <t>9DE6</t>
  </si>
  <si>
    <t>RNA (57-MER)</t>
  </si>
  <si>
    <t>2025-03-12T00:00:00Z</t>
  </si>
  <si>
    <t>Structure of full-length HIV TAR RNA</t>
  </si>
  <si>
    <t>GGUCUCUCUGGUUAGACCAGAUCUGAGCCGAAAAGCUCUCUGGCUAACUAGGGAACC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</si>
</sst>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TRUE&quot;;&quot;TRUE&quot;;&quot;FALSE&quot;"/>
  </numFmts>
  <fonts count="8" x14ac:knownFonts="1">
    <font>
      <sz val="10"/>
      <name val="Arial"/>
      <family val="2"/>
      <charset val="1"/>
    </font>
    <font>
      <sz val="12"/>
      <name val="Times New Roman"/>
      <family val="1"/>
      <charset val="1"/>
    </font>
    <font>
      <sz val="10.5"/>
      <name val="Arial"/>
      <family val="2"/>
      <charset val="1"/>
    </font>
    <font>
      <b/>
      <sz val="10.5"/>
      <name val="Arial"/>
      <family val="2"/>
      <charset val="1"/>
    </font>
    <font>
      <sz val="12"/>
      <name val="Arial"/>
      <family val="2"/>
      <charset val="1"/>
    </font>
    <font>
      <sz val="10"/>
      <color rgb="FF3465A4"/>
      <name val="Arial"/>
      <family val="2"/>
      <charset val="1"/>
    </font>
    <font>
      <sz val="10"/>
      <name val="Symbol"/>
      <family val="1"/>
      <charset val="2"/>
    </font>
    <font>
      <sz val="8.5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 vertical="top"/>
    </xf>
    <xf numFmtId="164" fontId="3" fillId="0" borderId="1" xfId="0" applyNumberFormat="1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2" fillId="0" borderId="0" xfId="0" applyFont="1" applyAlignment="1">
      <alignment wrapText="1"/>
    </xf>
    <xf numFmtId="164" fontId="0" fillId="0" borderId="0" xfId="0" applyNumberFormat="1" applyFont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165" fontId="0" fillId="0" borderId="0" xfId="0" applyNumberFormat="1"/>
    <xf numFmtId="0" fontId="0" fillId="0" borderId="0" xfId="0" applyFont="1" applyFill="1"/>
    <xf numFmtId="0" fontId="0" fillId="0" borderId="0" xfId="0" applyFill="1"/>
    <xf numFmtId="0" fontId="0" fillId="0" borderId="0" xfId="0" applyFont="1" applyFill="1" applyAlignment="1">
      <alignment horizontal="center"/>
    </xf>
    <xf numFmtId="164" fontId="0" fillId="0" borderId="0" xfId="0" applyNumberFormat="1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left" wrapText="1"/>
    </xf>
    <xf numFmtId="0" fontId="0" fillId="0" borderId="0" xfId="0" applyFont="1" applyFill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Font="1" applyFill="1" applyAlignment="1">
      <alignment horizontal="center"/>
    </xf>
    <xf numFmtId="1" fontId="0" fillId="0" borderId="0" xfId="0" applyNumberFormat="1" applyFont="1"/>
    <xf numFmtId="0" fontId="0" fillId="0" borderId="0" xfId="0" applyFont="1" applyAlignment="1"/>
    <xf numFmtId="0" fontId="0" fillId="0" borderId="0" xfId="0" applyFont="1" applyFill="1" applyAlignment="1"/>
    <xf numFmtId="0" fontId="1" fillId="0" borderId="0" xfId="0" applyFont="1" applyAlignment="1"/>
    <xf numFmtId="2" fontId="0" fillId="0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BBE33D"/>
      <rgbColor rgb="FFFFCC00"/>
      <rgbColor rgb="FFFF8000"/>
      <rgbColor rgb="FFFF6600"/>
      <rgbColor rgb="FF5983B0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1264"/>
  <sheetViews>
    <sheetView zoomScale="110" zoomScaleNormal="110" workbookViewId="0">
      <selection activeCell="M255" sqref="M255"/>
    </sheetView>
  </sheetViews>
  <sheetFormatPr defaultColWidth="11.5546875" defaultRowHeight="13.8" x14ac:dyDescent="0.25"/>
  <cols>
    <col min="1" max="2" width="11.5546875" style="3"/>
    <col min="3" max="3" width="20.21875" style="4" customWidth="1"/>
    <col min="4" max="4" width="11.5546875" style="3"/>
    <col min="5" max="5" width="18.6640625" style="4" customWidth="1"/>
    <col min="6" max="12" width="11.5546875" style="3"/>
    <col min="13" max="1024" width="11.5546875" style="4"/>
  </cols>
  <sheetData>
    <row r="1" spans="1:12" x14ac:dyDescent="0.25">
      <c r="A1" s="5" t="s">
        <v>877</v>
      </c>
      <c r="B1" s="5" t="s">
        <v>117</v>
      </c>
      <c r="C1" s="5" t="s">
        <v>118</v>
      </c>
      <c r="D1" s="5" t="s">
        <v>119</v>
      </c>
      <c r="E1" s="5" t="s">
        <v>120</v>
      </c>
      <c r="F1" s="5" t="s">
        <v>121</v>
      </c>
      <c r="G1" s="6" t="s">
        <v>122</v>
      </c>
      <c r="H1" s="5" t="s">
        <v>123</v>
      </c>
      <c r="I1" s="5" t="s">
        <v>124</v>
      </c>
      <c r="J1" s="5" t="s">
        <v>125</v>
      </c>
      <c r="K1" s="5" t="s">
        <v>126</v>
      </c>
      <c r="L1" s="7" t="s">
        <v>878</v>
      </c>
    </row>
    <row r="2" spans="1:12" x14ac:dyDescent="0.25">
      <c r="A2" s="3" t="s">
        <v>237</v>
      </c>
      <c r="B2" s="3" t="s">
        <v>238</v>
      </c>
      <c r="C2" s="4" t="s">
        <v>239</v>
      </c>
      <c r="D2" s="3" t="s">
        <v>240</v>
      </c>
      <c r="E2" s="4" t="s">
        <v>241</v>
      </c>
      <c r="F2" s="3" t="s">
        <v>242</v>
      </c>
      <c r="G2" s="8">
        <v>2.54</v>
      </c>
      <c r="H2" s="3" t="s">
        <v>131</v>
      </c>
      <c r="I2" s="3">
        <v>10949</v>
      </c>
      <c r="J2" s="3">
        <v>5154</v>
      </c>
      <c r="K2" s="3">
        <v>5795</v>
      </c>
      <c r="L2" s="3" t="s">
        <v>879</v>
      </c>
    </row>
    <row r="3" spans="1:12" x14ac:dyDescent="0.25">
      <c r="A3" s="3" t="s">
        <v>243</v>
      </c>
      <c r="B3" s="3" t="s">
        <v>192</v>
      </c>
      <c r="C3" s="4" t="s">
        <v>244</v>
      </c>
      <c r="D3" s="3" t="s">
        <v>221</v>
      </c>
      <c r="E3" s="4" t="s">
        <v>245</v>
      </c>
      <c r="F3" s="3" t="s">
        <v>212</v>
      </c>
      <c r="G3" s="8">
        <v>2.5</v>
      </c>
      <c r="H3" s="3" t="s">
        <v>149</v>
      </c>
      <c r="I3" s="3">
        <v>5603</v>
      </c>
      <c r="J3" s="3">
        <v>2777</v>
      </c>
      <c r="K3" s="3">
        <v>2826</v>
      </c>
      <c r="L3" s="3" t="s">
        <v>879</v>
      </c>
    </row>
    <row r="4" spans="1:12" x14ac:dyDescent="0.25">
      <c r="A4" s="3" t="s">
        <v>246</v>
      </c>
      <c r="B4" s="3" t="s">
        <v>127</v>
      </c>
      <c r="C4" s="4" t="s">
        <v>247</v>
      </c>
      <c r="D4" s="3" t="s">
        <v>248</v>
      </c>
      <c r="E4" s="4" t="s">
        <v>157</v>
      </c>
      <c r="F4" s="3" t="s">
        <v>249</v>
      </c>
      <c r="G4" s="8">
        <v>2.5</v>
      </c>
      <c r="H4" s="3" t="s">
        <v>128</v>
      </c>
      <c r="I4" s="3">
        <v>3245</v>
      </c>
      <c r="J4" s="3">
        <v>1558</v>
      </c>
      <c r="K4" s="3">
        <v>1686</v>
      </c>
      <c r="L4" s="3" t="s">
        <v>879</v>
      </c>
    </row>
    <row r="5" spans="1:12" x14ac:dyDescent="0.25">
      <c r="A5" s="3" t="s">
        <v>250</v>
      </c>
      <c r="B5" s="3" t="s">
        <v>141</v>
      </c>
      <c r="C5" s="4" t="s">
        <v>251</v>
      </c>
      <c r="D5" s="3" t="s">
        <v>252</v>
      </c>
      <c r="E5" s="4" t="s">
        <v>253</v>
      </c>
      <c r="F5" s="3" t="s">
        <v>214</v>
      </c>
      <c r="G5" s="8">
        <v>2.5</v>
      </c>
      <c r="H5" s="3" t="s">
        <v>131</v>
      </c>
      <c r="I5" s="3">
        <v>1162</v>
      </c>
      <c r="J5" s="3">
        <v>543</v>
      </c>
      <c r="K5" s="3">
        <v>619</v>
      </c>
      <c r="L5" s="3" t="s">
        <v>879</v>
      </c>
    </row>
    <row r="6" spans="1:12" x14ac:dyDescent="0.25">
      <c r="A6" s="3" t="s">
        <v>254</v>
      </c>
      <c r="B6" s="3" t="s">
        <v>132</v>
      </c>
      <c r="C6" s="4" t="s">
        <v>255</v>
      </c>
      <c r="D6" s="3" t="s">
        <v>256</v>
      </c>
      <c r="E6" s="4" t="s">
        <v>157</v>
      </c>
      <c r="F6" s="3" t="s">
        <v>257</v>
      </c>
      <c r="G6" s="8">
        <v>2.5</v>
      </c>
      <c r="H6" s="3" t="s">
        <v>128</v>
      </c>
      <c r="I6" s="3">
        <v>2150</v>
      </c>
      <c r="J6" s="3">
        <v>985</v>
      </c>
      <c r="K6" s="3">
        <v>1165</v>
      </c>
      <c r="L6" s="3" t="s">
        <v>879</v>
      </c>
    </row>
    <row r="7" spans="1:12" x14ac:dyDescent="0.25">
      <c r="A7" s="3" t="s">
        <v>258</v>
      </c>
      <c r="B7" s="3" t="s">
        <v>259</v>
      </c>
      <c r="C7" s="4" t="s">
        <v>260</v>
      </c>
      <c r="D7" s="3" t="s">
        <v>261</v>
      </c>
      <c r="E7" s="4" t="s">
        <v>186</v>
      </c>
      <c r="F7" s="3" t="s">
        <v>262</v>
      </c>
      <c r="G7" s="8">
        <v>2.5</v>
      </c>
      <c r="H7" s="3" t="s">
        <v>128</v>
      </c>
      <c r="I7" s="3">
        <v>4175</v>
      </c>
      <c r="J7" s="3">
        <v>1999</v>
      </c>
      <c r="K7" s="3">
        <v>2176</v>
      </c>
      <c r="L7" s="3" t="s">
        <v>879</v>
      </c>
    </row>
    <row r="8" spans="1:12" x14ac:dyDescent="0.25">
      <c r="A8" s="3" t="s">
        <v>263</v>
      </c>
      <c r="B8" s="3" t="s">
        <v>264</v>
      </c>
      <c r="C8" s="4" t="s">
        <v>265</v>
      </c>
      <c r="D8" s="3" t="s">
        <v>266</v>
      </c>
      <c r="E8" s="4" t="s">
        <v>182</v>
      </c>
      <c r="F8" s="3" t="s">
        <v>151</v>
      </c>
      <c r="G8" s="8">
        <v>2.5</v>
      </c>
      <c r="H8" s="3" t="s">
        <v>131</v>
      </c>
      <c r="I8" s="3">
        <v>751</v>
      </c>
      <c r="J8" s="3">
        <v>331</v>
      </c>
      <c r="K8" s="3">
        <v>420</v>
      </c>
      <c r="L8" s="3" t="s">
        <v>879</v>
      </c>
    </row>
    <row r="9" spans="1:12" x14ac:dyDescent="0.25">
      <c r="A9" s="3" t="s">
        <v>267</v>
      </c>
      <c r="B9" s="3" t="s">
        <v>268</v>
      </c>
      <c r="C9" s="4" t="s">
        <v>269</v>
      </c>
      <c r="D9" s="3" t="s">
        <v>270</v>
      </c>
      <c r="E9" s="4" t="s">
        <v>271</v>
      </c>
      <c r="F9" s="3" t="s">
        <v>272</v>
      </c>
      <c r="G9" s="8">
        <v>2.5</v>
      </c>
      <c r="H9" s="3" t="s">
        <v>128</v>
      </c>
      <c r="I9" s="3">
        <v>2298</v>
      </c>
      <c r="J9" s="3">
        <v>1098</v>
      </c>
      <c r="K9" s="3">
        <v>1201</v>
      </c>
      <c r="L9" s="3" t="s">
        <v>879</v>
      </c>
    </row>
    <row r="10" spans="1:12" x14ac:dyDescent="0.25">
      <c r="A10" s="3" t="s">
        <v>67</v>
      </c>
      <c r="B10" s="3" t="s">
        <v>192</v>
      </c>
      <c r="C10" s="4" t="s">
        <v>273</v>
      </c>
      <c r="D10" s="3" t="s">
        <v>274</v>
      </c>
      <c r="E10" s="4" t="s">
        <v>275</v>
      </c>
      <c r="F10" s="3" t="s">
        <v>276</v>
      </c>
      <c r="G10" s="8">
        <v>2.5</v>
      </c>
      <c r="H10" s="3" t="s">
        <v>131</v>
      </c>
      <c r="I10" s="3">
        <v>7748</v>
      </c>
      <c r="J10" s="3">
        <v>3646</v>
      </c>
      <c r="K10" s="3">
        <v>4102</v>
      </c>
      <c r="L10" s="3" t="s">
        <v>879</v>
      </c>
    </row>
    <row r="11" spans="1:12" x14ac:dyDescent="0.25">
      <c r="A11" s="3" t="s">
        <v>83</v>
      </c>
      <c r="B11" s="3" t="s">
        <v>277</v>
      </c>
      <c r="C11" s="4" t="s">
        <v>278</v>
      </c>
      <c r="D11" s="3" t="s">
        <v>279</v>
      </c>
      <c r="E11" s="4" t="s">
        <v>211</v>
      </c>
      <c r="F11" s="3" t="s">
        <v>156</v>
      </c>
      <c r="G11" s="8">
        <v>2.48</v>
      </c>
      <c r="H11" s="3" t="s">
        <v>128</v>
      </c>
      <c r="I11" s="3">
        <v>7076</v>
      </c>
      <c r="J11" s="3">
        <v>3272</v>
      </c>
      <c r="K11" s="3">
        <v>3804</v>
      </c>
      <c r="L11" s="3" t="s">
        <v>879</v>
      </c>
    </row>
    <row r="12" spans="1:12" x14ac:dyDescent="0.25">
      <c r="A12" s="3" t="s">
        <v>280</v>
      </c>
      <c r="B12" s="3" t="s">
        <v>281</v>
      </c>
      <c r="C12" s="4" t="s">
        <v>282</v>
      </c>
      <c r="D12" s="3" t="s">
        <v>283</v>
      </c>
      <c r="E12" s="4" t="s">
        <v>284</v>
      </c>
      <c r="F12" s="3" t="s">
        <v>173</v>
      </c>
      <c r="G12" s="8">
        <v>2.4700000000000002</v>
      </c>
      <c r="H12" s="3" t="s">
        <v>149</v>
      </c>
      <c r="I12" s="3">
        <v>1996</v>
      </c>
      <c r="J12" s="3">
        <v>868</v>
      </c>
      <c r="K12" s="3">
        <v>1127</v>
      </c>
      <c r="L12" s="3" t="s">
        <v>879</v>
      </c>
    </row>
    <row r="13" spans="1:12" x14ac:dyDescent="0.25">
      <c r="A13" s="3" t="s">
        <v>285</v>
      </c>
      <c r="B13" s="3" t="s">
        <v>192</v>
      </c>
      <c r="C13" s="4" t="s">
        <v>286</v>
      </c>
      <c r="D13" s="3" t="s">
        <v>287</v>
      </c>
      <c r="E13" s="4" t="s">
        <v>288</v>
      </c>
      <c r="F13" s="3" t="s">
        <v>217</v>
      </c>
      <c r="G13" s="8">
        <v>2.46</v>
      </c>
      <c r="H13" s="3" t="s">
        <v>131</v>
      </c>
      <c r="I13" s="3">
        <v>7843</v>
      </c>
      <c r="J13" s="3">
        <v>3665</v>
      </c>
      <c r="K13" s="3">
        <v>4178</v>
      </c>
      <c r="L13" s="3" t="s">
        <v>879</v>
      </c>
    </row>
    <row r="14" spans="1:12" x14ac:dyDescent="0.25">
      <c r="A14" s="3" t="s">
        <v>289</v>
      </c>
      <c r="B14" s="3" t="s">
        <v>290</v>
      </c>
      <c r="C14" s="4" t="s">
        <v>291</v>
      </c>
      <c r="D14" s="3" t="s">
        <v>292</v>
      </c>
      <c r="E14" s="4" t="s">
        <v>293</v>
      </c>
      <c r="F14" s="3" t="s">
        <v>173</v>
      </c>
      <c r="G14" s="8">
        <v>2.4500000000000002</v>
      </c>
      <c r="H14" s="3" t="s">
        <v>131</v>
      </c>
      <c r="I14" s="3">
        <v>1921</v>
      </c>
      <c r="J14" s="3">
        <v>762</v>
      </c>
      <c r="K14" s="3">
        <v>1159</v>
      </c>
      <c r="L14" s="3" t="s">
        <v>879</v>
      </c>
    </row>
    <row r="15" spans="1:12" x14ac:dyDescent="0.25">
      <c r="A15" s="3" t="s">
        <v>294</v>
      </c>
      <c r="B15" s="3" t="s">
        <v>163</v>
      </c>
      <c r="C15" s="4" t="s">
        <v>295</v>
      </c>
      <c r="D15" s="3" t="s">
        <v>296</v>
      </c>
      <c r="E15" s="4" t="s">
        <v>297</v>
      </c>
      <c r="F15" s="3" t="s">
        <v>298</v>
      </c>
      <c r="G15" s="8">
        <v>2.4500000000000002</v>
      </c>
      <c r="H15" s="3" t="s">
        <v>128</v>
      </c>
      <c r="I15" s="3">
        <v>1910</v>
      </c>
      <c r="J15" s="3">
        <v>996</v>
      </c>
      <c r="K15" s="3">
        <v>913</v>
      </c>
      <c r="L15" s="3" t="s">
        <v>879</v>
      </c>
    </row>
    <row r="16" spans="1:12" x14ac:dyDescent="0.25">
      <c r="A16" s="3" t="s">
        <v>299</v>
      </c>
      <c r="B16" s="3" t="s">
        <v>141</v>
      </c>
      <c r="C16" s="4" t="s">
        <v>300</v>
      </c>
      <c r="D16" s="3" t="s">
        <v>301</v>
      </c>
      <c r="E16" s="4" t="s">
        <v>302</v>
      </c>
      <c r="F16" s="3" t="s">
        <v>173</v>
      </c>
      <c r="G16" s="8">
        <v>2.4500000000000002</v>
      </c>
      <c r="H16" s="3" t="s">
        <v>131</v>
      </c>
      <c r="I16" s="3">
        <v>1878</v>
      </c>
      <c r="J16" s="3">
        <v>761</v>
      </c>
      <c r="K16" s="3">
        <v>1117</v>
      </c>
      <c r="L16" s="3" t="s">
        <v>879</v>
      </c>
    </row>
    <row r="17" spans="1:12" x14ac:dyDescent="0.25">
      <c r="A17" s="3" t="s">
        <v>303</v>
      </c>
      <c r="B17" s="3" t="s">
        <v>141</v>
      </c>
      <c r="C17" s="4" t="s">
        <v>304</v>
      </c>
      <c r="D17" s="3" t="s">
        <v>305</v>
      </c>
      <c r="E17" s="4" t="s">
        <v>306</v>
      </c>
      <c r="F17" s="3" t="s">
        <v>225</v>
      </c>
      <c r="G17" s="8">
        <v>2.4500000000000002</v>
      </c>
      <c r="H17" s="3" t="s">
        <v>128</v>
      </c>
      <c r="I17" s="3">
        <v>4201</v>
      </c>
      <c r="J17" s="3">
        <v>1923</v>
      </c>
      <c r="K17" s="3">
        <v>2278</v>
      </c>
      <c r="L17" s="3" t="s">
        <v>879</v>
      </c>
    </row>
    <row r="18" spans="1:12" x14ac:dyDescent="0.25">
      <c r="A18" s="3" t="s">
        <v>307</v>
      </c>
      <c r="B18" s="3" t="s">
        <v>138</v>
      </c>
      <c r="C18" s="4" t="s">
        <v>308</v>
      </c>
      <c r="D18" s="3" t="s">
        <v>309</v>
      </c>
      <c r="E18" s="4" t="s">
        <v>310</v>
      </c>
      <c r="F18" s="3" t="s">
        <v>311</v>
      </c>
      <c r="G18" s="8">
        <v>2.44</v>
      </c>
      <c r="H18" s="3" t="s">
        <v>128</v>
      </c>
      <c r="I18" s="3">
        <v>1754</v>
      </c>
      <c r="J18" s="3">
        <v>801</v>
      </c>
      <c r="K18" s="3">
        <v>953</v>
      </c>
      <c r="L18" s="3" t="s">
        <v>879</v>
      </c>
    </row>
    <row r="19" spans="1:12" x14ac:dyDescent="0.25">
      <c r="A19" s="3" t="s">
        <v>312</v>
      </c>
      <c r="B19" s="3" t="s">
        <v>163</v>
      </c>
      <c r="C19" s="4" t="s">
        <v>313</v>
      </c>
      <c r="D19" s="3" t="s">
        <v>314</v>
      </c>
      <c r="E19" s="4" t="s">
        <v>315</v>
      </c>
      <c r="F19" s="3" t="s">
        <v>316</v>
      </c>
      <c r="G19" s="8">
        <v>2.4300000000000002</v>
      </c>
      <c r="H19" s="3" t="s">
        <v>128</v>
      </c>
      <c r="I19" s="3">
        <v>2230</v>
      </c>
      <c r="J19" s="3">
        <v>982</v>
      </c>
      <c r="K19" s="3">
        <v>1249</v>
      </c>
      <c r="L19" s="3" t="s">
        <v>879</v>
      </c>
    </row>
    <row r="20" spans="1:12" x14ac:dyDescent="0.25">
      <c r="A20" s="3" t="s">
        <v>317</v>
      </c>
      <c r="B20" s="3" t="s">
        <v>163</v>
      </c>
      <c r="C20" s="4" t="s">
        <v>318</v>
      </c>
      <c r="D20" s="3" t="s">
        <v>319</v>
      </c>
      <c r="E20" s="4" t="s">
        <v>320</v>
      </c>
      <c r="F20" s="3" t="s">
        <v>234</v>
      </c>
      <c r="G20" s="8">
        <v>2.4300000000000002</v>
      </c>
      <c r="H20" s="3" t="s">
        <v>128</v>
      </c>
      <c r="I20" s="3">
        <v>2664</v>
      </c>
      <c r="J20" s="3">
        <v>1169</v>
      </c>
      <c r="K20" s="3">
        <v>1495</v>
      </c>
      <c r="L20" s="3" t="s">
        <v>879</v>
      </c>
    </row>
    <row r="21" spans="1:12" x14ac:dyDescent="0.25">
      <c r="A21" s="3" t="s">
        <v>86</v>
      </c>
      <c r="B21" s="3" t="s">
        <v>192</v>
      </c>
      <c r="C21" s="4" t="s">
        <v>321</v>
      </c>
      <c r="D21" s="3" t="s">
        <v>322</v>
      </c>
      <c r="E21" s="4" t="s">
        <v>157</v>
      </c>
      <c r="F21" s="3" t="s">
        <v>316</v>
      </c>
      <c r="G21" s="8">
        <v>2.4300000000000002</v>
      </c>
      <c r="H21" s="3" t="s">
        <v>128</v>
      </c>
      <c r="I21" s="3">
        <v>1068</v>
      </c>
      <c r="J21" s="3">
        <v>581</v>
      </c>
      <c r="K21" s="3">
        <v>487</v>
      </c>
      <c r="L21" s="3" t="s">
        <v>879</v>
      </c>
    </row>
    <row r="22" spans="1:12" x14ac:dyDescent="0.25">
      <c r="A22" s="3" t="s">
        <v>323</v>
      </c>
      <c r="B22" s="3" t="s">
        <v>324</v>
      </c>
      <c r="C22" s="4" t="s">
        <v>325</v>
      </c>
      <c r="D22" s="3" t="s">
        <v>326</v>
      </c>
      <c r="E22" s="4" t="s">
        <v>327</v>
      </c>
      <c r="F22" s="3" t="s">
        <v>205</v>
      </c>
      <c r="G22" s="8">
        <v>2.42</v>
      </c>
      <c r="H22" s="3" t="s">
        <v>131</v>
      </c>
      <c r="I22" s="3">
        <v>3683</v>
      </c>
      <c r="J22" s="3">
        <v>1813</v>
      </c>
      <c r="K22" s="3">
        <v>1870</v>
      </c>
      <c r="L22" s="3" t="s">
        <v>879</v>
      </c>
    </row>
    <row r="23" spans="1:12" x14ac:dyDescent="0.25">
      <c r="A23" s="3" t="s">
        <v>328</v>
      </c>
      <c r="B23" s="3" t="s">
        <v>141</v>
      </c>
      <c r="C23" s="4" t="s">
        <v>329</v>
      </c>
      <c r="D23" s="3" t="s">
        <v>330</v>
      </c>
      <c r="E23" s="4" t="s">
        <v>161</v>
      </c>
      <c r="F23" s="3" t="s">
        <v>143</v>
      </c>
      <c r="G23" s="8">
        <v>2.4</v>
      </c>
      <c r="H23" s="3" t="s">
        <v>144</v>
      </c>
      <c r="I23" s="3">
        <v>4180</v>
      </c>
      <c r="J23" s="3">
        <v>2006</v>
      </c>
      <c r="K23" s="3">
        <v>2174</v>
      </c>
      <c r="L23" s="3" t="s">
        <v>879</v>
      </c>
    </row>
    <row r="24" spans="1:12" x14ac:dyDescent="0.25">
      <c r="A24" s="3" t="s">
        <v>331</v>
      </c>
      <c r="B24" s="3" t="s">
        <v>236</v>
      </c>
      <c r="C24" s="4" t="s">
        <v>332</v>
      </c>
      <c r="D24" s="3" t="s">
        <v>333</v>
      </c>
      <c r="E24" s="4" t="s">
        <v>334</v>
      </c>
      <c r="F24" s="3" t="s">
        <v>151</v>
      </c>
      <c r="G24" s="8">
        <v>2.4</v>
      </c>
      <c r="H24" s="3" t="s">
        <v>131</v>
      </c>
      <c r="I24" s="3">
        <v>719</v>
      </c>
      <c r="J24" s="3">
        <v>281</v>
      </c>
      <c r="K24" s="3">
        <v>438</v>
      </c>
      <c r="L24" s="3" t="s">
        <v>879</v>
      </c>
    </row>
    <row r="25" spans="1:12" x14ac:dyDescent="0.25">
      <c r="A25" s="3" t="s">
        <v>335</v>
      </c>
      <c r="B25" s="3" t="s">
        <v>336</v>
      </c>
      <c r="C25" s="4" t="s">
        <v>337</v>
      </c>
      <c r="D25" s="3" t="s">
        <v>338</v>
      </c>
      <c r="E25" s="4" t="s">
        <v>164</v>
      </c>
      <c r="F25" s="3" t="s">
        <v>160</v>
      </c>
      <c r="G25" s="8">
        <v>2.4</v>
      </c>
      <c r="H25" s="3" t="s">
        <v>144</v>
      </c>
      <c r="I25" s="3">
        <v>4266</v>
      </c>
      <c r="J25" s="3">
        <v>2056</v>
      </c>
      <c r="K25" s="3">
        <v>2210</v>
      </c>
      <c r="L25" s="3" t="s">
        <v>879</v>
      </c>
    </row>
    <row r="26" spans="1:12" x14ac:dyDescent="0.25">
      <c r="A26" s="3" t="s">
        <v>339</v>
      </c>
      <c r="B26" s="3" t="s">
        <v>220</v>
      </c>
      <c r="C26" s="4" t="s">
        <v>340</v>
      </c>
      <c r="D26" s="3" t="s">
        <v>341</v>
      </c>
      <c r="E26" s="4" t="s">
        <v>208</v>
      </c>
      <c r="F26" s="3" t="s">
        <v>214</v>
      </c>
      <c r="G26" s="8">
        <v>2.4</v>
      </c>
      <c r="H26" s="3" t="s">
        <v>131</v>
      </c>
      <c r="I26" s="3">
        <v>2006</v>
      </c>
      <c r="J26" s="3">
        <v>937</v>
      </c>
      <c r="K26" s="3">
        <v>1069</v>
      </c>
      <c r="L26" s="3" t="s">
        <v>879</v>
      </c>
    </row>
    <row r="27" spans="1:12" x14ac:dyDescent="0.25">
      <c r="A27" s="3" t="s">
        <v>342</v>
      </c>
      <c r="B27" s="3" t="s">
        <v>343</v>
      </c>
      <c r="C27" s="4" t="s">
        <v>344</v>
      </c>
      <c r="D27" s="3" t="s">
        <v>345</v>
      </c>
      <c r="E27" s="4" t="s">
        <v>157</v>
      </c>
      <c r="F27" s="3" t="s">
        <v>217</v>
      </c>
      <c r="G27" s="8">
        <v>2.4</v>
      </c>
      <c r="H27" s="3" t="s">
        <v>128</v>
      </c>
      <c r="I27" s="3">
        <v>1664</v>
      </c>
      <c r="J27" s="3">
        <v>799</v>
      </c>
      <c r="K27" s="3">
        <v>864</v>
      </c>
      <c r="L27" s="3" t="s">
        <v>879</v>
      </c>
    </row>
    <row r="28" spans="1:12" x14ac:dyDescent="0.25">
      <c r="A28" s="3" t="s">
        <v>110</v>
      </c>
      <c r="B28" s="3" t="s">
        <v>141</v>
      </c>
      <c r="C28" s="4" t="s">
        <v>346</v>
      </c>
      <c r="D28" s="3" t="s">
        <v>347</v>
      </c>
      <c r="E28" s="4" t="s">
        <v>348</v>
      </c>
      <c r="F28" s="3" t="s">
        <v>135</v>
      </c>
      <c r="G28" s="8">
        <v>2.4</v>
      </c>
      <c r="H28" s="3" t="s">
        <v>144</v>
      </c>
      <c r="I28" s="3">
        <v>1354</v>
      </c>
      <c r="J28" s="3">
        <v>690</v>
      </c>
      <c r="K28" s="3">
        <v>664</v>
      </c>
      <c r="L28" s="3" t="s">
        <v>879</v>
      </c>
    </row>
    <row r="29" spans="1:12" x14ac:dyDescent="0.25">
      <c r="A29" s="3" t="s">
        <v>349</v>
      </c>
      <c r="B29" s="3" t="s">
        <v>215</v>
      </c>
      <c r="C29" s="4" t="s">
        <v>350</v>
      </c>
      <c r="D29" s="3" t="s">
        <v>351</v>
      </c>
      <c r="E29" s="4" t="s">
        <v>352</v>
      </c>
      <c r="F29" s="3" t="s">
        <v>130</v>
      </c>
      <c r="G29" s="8">
        <v>2.4</v>
      </c>
      <c r="H29" s="3" t="s">
        <v>128</v>
      </c>
      <c r="I29" s="3">
        <v>1995</v>
      </c>
      <c r="J29" s="3">
        <v>914</v>
      </c>
      <c r="K29" s="3">
        <v>1081</v>
      </c>
      <c r="L29" s="3" t="s">
        <v>879</v>
      </c>
    </row>
    <row r="30" spans="1:12" x14ac:dyDescent="0.25">
      <c r="A30" s="3" t="s">
        <v>81</v>
      </c>
      <c r="B30" s="3" t="s">
        <v>220</v>
      </c>
      <c r="C30" s="4" t="s">
        <v>353</v>
      </c>
      <c r="D30" s="3" t="s">
        <v>354</v>
      </c>
      <c r="E30" s="4" t="s">
        <v>355</v>
      </c>
      <c r="F30" s="3" t="s">
        <v>160</v>
      </c>
      <c r="G30" s="8">
        <v>2.4</v>
      </c>
      <c r="H30" s="3" t="s">
        <v>144</v>
      </c>
      <c r="I30" s="3">
        <v>3451</v>
      </c>
      <c r="J30" s="3">
        <v>1643</v>
      </c>
      <c r="K30" s="3">
        <v>1808</v>
      </c>
      <c r="L30" s="3" t="s">
        <v>879</v>
      </c>
    </row>
    <row r="31" spans="1:12" x14ac:dyDescent="0.25">
      <c r="A31" s="3" t="s">
        <v>356</v>
      </c>
      <c r="B31" s="3" t="s">
        <v>198</v>
      </c>
      <c r="C31" s="4" t="s">
        <v>357</v>
      </c>
      <c r="D31" s="3" t="s">
        <v>358</v>
      </c>
      <c r="E31" s="4" t="s">
        <v>359</v>
      </c>
      <c r="F31" s="3" t="s">
        <v>214</v>
      </c>
      <c r="G31" s="8">
        <v>2.4</v>
      </c>
      <c r="H31" s="3" t="s">
        <v>131</v>
      </c>
      <c r="I31" s="3">
        <v>761</v>
      </c>
      <c r="J31" s="3">
        <v>363</v>
      </c>
      <c r="K31" s="3">
        <v>398</v>
      </c>
      <c r="L31" s="3" t="s">
        <v>879</v>
      </c>
    </row>
    <row r="32" spans="1:12" x14ac:dyDescent="0.25">
      <c r="A32" s="3" t="s">
        <v>101</v>
      </c>
      <c r="B32" s="3" t="s">
        <v>230</v>
      </c>
      <c r="C32" s="4" t="s">
        <v>360</v>
      </c>
      <c r="D32" s="3" t="s">
        <v>361</v>
      </c>
      <c r="E32" s="4" t="s">
        <v>362</v>
      </c>
      <c r="F32" s="3" t="s">
        <v>209</v>
      </c>
      <c r="G32" s="8">
        <v>2.4</v>
      </c>
      <c r="H32" s="3" t="s">
        <v>144</v>
      </c>
      <c r="I32" s="3">
        <v>935</v>
      </c>
      <c r="J32" s="3">
        <v>443</v>
      </c>
      <c r="K32" s="3">
        <v>492</v>
      </c>
      <c r="L32" s="3" t="s">
        <v>879</v>
      </c>
    </row>
    <row r="33" spans="1:12" x14ac:dyDescent="0.25">
      <c r="A33" s="3" t="s">
        <v>363</v>
      </c>
      <c r="B33" s="3" t="s">
        <v>134</v>
      </c>
      <c r="C33" s="4" t="s">
        <v>364</v>
      </c>
      <c r="D33" s="3" t="s">
        <v>365</v>
      </c>
      <c r="E33" s="4" t="s">
        <v>182</v>
      </c>
      <c r="F33" s="3" t="s">
        <v>366</v>
      </c>
      <c r="G33" s="8">
        <v>2.38</v>
      </c>
      <c r="H33" s="3" t="s">
        <v>128</v>
      </c>
      <c r="I33" s="3">
        <v>5116</v>
      </c>
      <c r="J33" s="3">
        <v>2471</v>
      </c>
      <c r="K33" s="3">
        <v>2645</v>
      </c>
      <c r="L33" s="3" t="s">
        <v>879</v>
      </c>
    </row>
    <row r="34" spans="1:12" x14ac:dyDescent="0.25">
      <c r="A34" s="3" t="s">
        <v>367</v>
      </c>
      <c r="B34" s="3" t="s">
        <v>141</v>
      </c>
      <c r="C34" s="4" t="s">
        <v>368</v>
      </c>
      <c r="D34" s="3" t="s">
        <v>235</v>
      </c>
      <c r="E34" s="4" t="s">
        <v>369</v>
      </c>
      <c r="F34" s="3" t="s">
        <v>191</v>
      </c>
      <c r="G34" s="8">
        <v>2.38</v>
      </c>
      <c r="H34" s="3" t="s">
        <v>131</v>
      </c>
      <c r="I34" s="3">
        <v>830</v>
      </c>
      <c r="J34" s="3">
        <v>379</v>
      </c>
      <c r="K34" s="3">
        <v>451</v>
      </c>
      <c r="L34" s="3" t="s">
        <v>879</v>
      </c>
    </row>
    <row r="35" spans="1:12" x14ac:dyDescent="0.25">
      <c r="A35" s="3" t="s">
        <v>88</v>
      </c>
      <c r="B35" s="3" t="s">
        <v>163</v>
      </c>
      <c r="C35" s="4" t="s">
        <v>370</v>
      </c>
      <c r="D35" s="3" t="s">
        <v>371</v>
      </c>
      <c r="E35" s="4" t="s">
        <v>372</v>
      </c>
      <c r="F35" s="3" t="s">
        <v>190</v>
      </c>
      <c r="G35" s="8">
        <v>2.35</v>
      </c>
      <c r="H35" s="3" t="s">
        <v>144</v>
      </c>
      <c r="I35" s="3">
        <v>2334</v>
      </c>
      <c r="J35" s="3">
        <v>1175</v>
      </c>
      <c r="K35" s="3">
        <v>1159</v>
      </c>
      <c r="L35" s="3" t="s">
        <v>879</v>
      </c>
    </row>
    <row r="36" spans="1:12" x14ac:dyDescent="0.25">
      <c r="A36" s="3" t="s">
        <v>373</v>
      </c>
      <c r="B36" s="3" t="s">
        <v>163</v>
      </c>
      <c r="C36" s="4" t="s">
        <v>374</v>
      </c>
      <c r="D36" s="3" t="s">
        <v>375</v>
      </c>
      <c r="E36" s="4" t="s">
        <v>376</v>
      </c>
      <c r="F36" s="3" t="s">
        <v>151</v>
      </c>
      <c r="G36" s="8">
        <v>2.35</v>
      </c>
      <c r="H36" s="3" t="s">
        <v>131</v>
      </c>
      <c r="I36" s="3">
        <v>2431</v>
      </c>
      <c r="J36" s="3">
        <v>1149</v>
      </c>
      <c r="K36" s="3">
        <v>1283</v>
      </c>
      <c r="L36" s="3" t="s">
        <v>879</v>
      </c>
    </row>
    <row r="37" spans="1:12" x14ac:dyDescent="0.25">
      <c r="A37" s="3" t="s">
        <v>377</v>
      </c>
      <c r="B37" s="3" t="s">
        <v>138</v>
      </c>
      <c r="C37" s="4" t="s">
        <v>378</v>
      </c>
      <c r="D37" s="3" t="s">
        <v>379</v>
      </c>
      <c r="E37" s="4" t="s">
        <v>206</v>
      </c>
      <c r="F37" s="3" t="s">
        <v>196</v>
      </c>
      <c r="G37" s="8">
        <v>2.33</v>
      </c>
      <c r="H37" s="3" t="s">
        <v>131</v>
      </c>
      <c r="I37" s="3">
        <v>1533</v>
      </c>
      <c r="J37" s="3">
        <v>693</v>
      </c>
      <c r="K37" s="3">
        <v>840</v>
      </c>
      <c r="L37" s="3" t="s">
        <v>879</v>
      </c>
    </row>
    <row r="38" spans="1:12" x14ac:dyDescent="0.25">
      <c r="A38" s="3" t="s">
        <v>380</v>
      </c>
      <c r="B38" s="3" t="s">
        <v>127</v>
      </c>
      <c r="C38" s="4" t="s">
        <v>381</v>
      </c>
      <c r="D38" s="3" t="s">
        <v>382</v>
      </c>
      <c r="E38" s="4" t="s">
        <v>383</v>
      </c>
      <c r="F38" s="3" t="s">
        <v>384</v>
      </c>
      <c r="G38" s="8">
        <v>2.2999999999999998</v>
      </c>
      <c r="H38" s="3" t="s">
        <v>149</v>
      </c>
      <c r="I38" s="3">
        <v>1595</v>
      </c>
      <c r="J38" s="3">
        <v>790</v>
      </c>
      <c r="K38" s="3">
        <v>806</v>
      </c>
      <c r="L38" s="3" t="s">
        <v>879</v>
      </c>
    </row>
    <row r="39" spans="1:12" x14ac:dyDescent="0.25">
      <c r="A39" s="3" t="s">
        <v>68</v>
      </c>
      <c r="B39" s="3" t="s">
        <v>141</v>
      </c>
      <c r="C39" s="4" t="s">
        <v>385</v>
      </c>
      <c r="D39" s="3" t="s">
        <v>386</v>
      </c>
      <c r="E39" s="4" t="s">
        <v>387</v>
      </c>
      <c r="F39" s="3" t="s">
        <v>183</v>
      </c>
      <c r="G39" s="8">
        <v>2.2999999999999998</v>
      </c>
      <c r="H39" s="3" t="s">
        <v>131</v>
      </c>
      <c r="I39" s="3">
        <v>2776</v>
      </c>
      <c r="J39" s="3">
        <v>1322</v>
      </c>
      <c r="K39" s="3">
        <v>1454</v>
      </c>
      <c r="L39" s="3" t="s">
        <v>879</v>
      </c>
    </row>
    <row r="40" spans="1:12" x14ac:dyDescent="0.25">
      <c r="A40" s="3" t="s">
        <v>388</v>
      </c>
      <c r="B40" s="3" t="s">
        <v>141</v>
      </c>
      <c r="C40" s="4" t="s">
        <v>389</v>
      </c>
      <c r="D40" s="3" t="s">
        <v>390</v>
      </c>
      <c r="E40" s="4" t="s">
        <v>391</v>
      </c>
      <c r="F40" s="3" t="s">
        <v>392</v>
      </c>
      <c r="G40" s="8">
        <v>2.2999999999999998</v>
      </c>
      <c r="H40" s="3" t="s">
        <v>131</v>
      </c>
      <c r="I40" s="3">
        <v>2367</v>
      </c>
      <c r="J40" s="3">
        <v>1145</v>
      </c>
      <c r="K40" s="3">
        <v>1223</v>
      </c>
      <c r="L40" s="3" t="s">
        <v>879</v>
      </c>
    </row>
    <row r="41" spans="1:12" x14ac:dyDescent="0.25">
      <c r="A41" s="3" t="s">
        <v>56</v>
      </c>
      <c r="B41" s="3" t="s">
        <v>175</v>
      </c>
      <c r="C41" s="4" t="s">
        <v>393</v>
      </c>
      <c r="D41" s="3" t="s">
        <v>394</v>
      </c>
      <c r="E41" s="4" t="s">
        <v>154</v>
      </c>
      <c r="F41" s="3" t="s">
        <v>176</v>
      </c>
      <c r="G41" s="8">
        <v>2.2999999999999998</v>
      </c>
      <c r="H41" s="3" t="s">
        <v>144</v>
      </c>
      <c r="I41" s="3">
        <v>4558</v>
      </c>
      <c r="J41" s="3">
        <v>2152</v>
      </c>
      <c r="K41" s="3">
        <v>2406</v>
      </c>
      <c r="L41" s="3" t="s">
        <v>879</v>
      </c>
    </row>
    <row r="42" spans="1:12" x14ac:dyDescent="0.25">
      <c r="A42" s="3" t="s">
        <v>395</v>
      </c>
      <c r="B42" s="3" t="s">
        <v>152</v>
      </c>
      <c r="C42" s="4" t="s">
        <v>396</v>
      </c>
      <c r="D42" s="3" t="s">
        <v>200</v>
      </c>
      <c r="E42" s="4" t="s">
        <v>397</v>
      </c>
      <c r="F42" s="3" t="s">
        <v>398</v>
      </c>
      <c r="G42" s="8">
        <v>2.2999999999999998</v>
      </c>
      <c r="H42" s="3" t="s">
        <v>131</v>
      </c>
      <c r="I42" s="3">
        <v>938</v>
      </c>
      <c r="J42" s="3">
        <v>452</v>
      </c>
      <c r="K42" s="3">
        <v>486</v>
      </c>
      <c r="L42" s="3" t="s">
        <v>879</v>
      </c>
    </row>
    <row r="43" spans="1:12" x14ac:dyDescent="0.25">
      <c r="A43" s="3" t="s">
        <v>399</v>
      </c>
      <c r="B43" s="3" t="s">
        <v>141</v>
      </c>
      <c r="C43" s="4" t="s">
        <v>400</v>
      </c>
      <c r="D43" s="3" t="s">
        <v>401</v>
      </c>
      <c r="E43" s="4" t="s">
        <v>397</v>
      </c>
      <c r="F43" s="3" t="s">
        <v>398</v>
      </c>
      <c r="G43" s="8">
        <v>2.2999999999999998</v>
      </c>
      <c r="H43" s="3" t="s">
        <v>128</v>
      </c>
      <c r="I43" s="3">
        <v>1300</v>
      </c>
      <c r="J43" s="3">
        <v>628</v>
      </c>
      <c r="K43" s="3">
        <v>673</v>
      </c>
      <c r="L43" s="3" t="s">
        <v>879</v>
      </c>
    </row>
    <row r="44" spans="1:12" x14ac:dyDescent="0.25">
      <c r="A44" s="3" t="s">
        <v>402</v>
      </c>
      <c r="B44" s="3" t="s">
        <v>403</v>
      </c>
      <c r="C44" s="4" t="s">
        <v>404</v>
      </c>
      <c r="D44" s="3" t="s">
        <v>405</v>
      </c>
      <c r="E44" s="4" t="s">
        <v>406</v>
      </c>
      <c r="F44" s="3" t="s">
        <v>183</v>
      </c>
      <c r="G44" s="8">
        <v>2.2999999999999998</v>
      </c>
      <c r="H44" s="3" t="s">
        <v>131</v>
      </c>
      <c r="I44" s="3">
        <v>3166</v>
      </c>
      <c r="J44" s="3">
        <v>1455</v>
      </c>
      <c r="K44" s="3">
        <v>1712</v>
      </c>
      <c r="L44" s="3" t="s">
        <v>879</v>
      </c>
    </row>
    <row r="45" spans="1:12" x14ac:dyDescent="0.25">
      <c r="A45" s="3" t="s">
        <v>100</v>
      </c>
      <c r="B45" s="3" t="s">
        <v>407</v>
      </c>
      <c r="C45" s="4" t="s">
        <v>408</v>
      </c>
      <c r="D45" s="3" t="s">
        <v>409</v>
      </c>
      <c r="E45" s="4" t="s">
        <v>410</v>
      </c>
      <c r="F45" s="3" t="s">
        <v>411</v>
      </c>
      <c r="G45" s="8">
        <v>2.2999999999999998</v>
      </c>
      <c r="H45" s="3" t="s">
        <v>128</v>
      </c>
      <c r="I45" s="3">
        <v>2699</v>
      </c>
      <c r="J45" s="3">
        <v>1319</v>
      </c>
      <c r="K45" s="3">
        <v>1380</v>
      </c>
      <c r="L45" s="3" t="s">
        <v>879</v>
      </c>
    </row>
    <row r="46" spans="1:12" x14ac:dyDescent="0.25">
      <c r="A46" s="3" t="s">
        <v>412</v>
      </c>
      <c r="B46" s="3" t="s">
        <v>155</v>
      </c>
      <c r="C46" s="4" t="s">
        <v>413</v>
      </c>
      <c r="D46" s="3" t="s">
        <v>414</v>
      </c>
      <c r="E46" s="4" t="s">
        <v>415</v>
      </c>
      <c r="F46" s="3" t="s">
        <v>151</v>
      </c>
      <c r="G46" s="8">
        <v>2.2999999999999998</v>
      </c>
      <c r="H46" s="3" t="s">
        <v>131</v>
      </c>
      <c r="I46" s="3">
        <v>1237</v>
      </c>
      <c r="J46" s="3">
        <v>482</v>
      </c>
      <c r="K46" s="3">
        <v>755</v>
      </c>
      <c r="L46" s="3" t="s">
        <v>879</v>
      </c>
    </row>
    <row r="47" spans="1:12" x14ac:dyDescent="0.25">
      <c r="A47" s="3" t="s">
        <v>73</v>
      </c>
      <c r="B47" s="3" t="s">
        <v>416</v>
      </c>
      <c r="C47" s="4" t="s">
        <v>184</v>
      </c>
      <c r="D47" s="3" t="s">
        <v>417</v>
      </c>
      <c r="E47" s="4" t="s">
        <v>182</v>
      </c>
      <c r="F47" s="3" t="s">
        <v>151</v>
      </c>
      <c r="G47" s="8">
        <v>2.2999999999999998</v>
      </c>
      <c r="H47" s="3" t="s">
        <v>131</v>
      </c>
      <c r="I47" s="3">
        <v>1269</v>
      </c>
      <c r="J47" s="3">
        <v>590</v>
      </c>
      <c r="K47" s="3">
        <v>679</v>
      </c>
      <c r="L47" s="3" t="s">
        <v>879</v>
      </c>
    </row>
    <row r="48" spans="1:12" x14ac:dyDescent="0.25">
      <c r="A48" s="3" t="s">
        <v>418</v>
      </c>
      <c r="B48" s="3" t="s">
        <v>141</v>
      </c>
      <c r="C48" s="4" t="s">
        <v>419</v>
      </c>
      <c r="D48" s="3" t="s">
        <v>420</v>
      </c>
      <c r="E48" s="4" t="s">
        <v>421</v>
      </c>
      <c r="F48" s="3" t="s">
        <v>190</v>
      </c>
      <c r="G48" s="8">
        <v>2.2999999999999998</v>
      </c>
      <c r="H48" s="3" t="s">
        <v>128</v>
      </c>
      <c r="I48" s="3">
        <v>5397</v>
      </c>
      <c r="J48" s="3">
        <v>2616</v>
      </c>
      <c r="K48" s="3">
        <v>2781</v>
      </c>
      <c r="L48" s="3" t="s">
        <v>879</v>
      </c>
    </row>
    <row r="49" spans="1:12" x14ac:dyDescent="0.25">
      <c r="A49" s="3" t="s">
        <v>422</v>
      </c>
      <c r="B49" s="3" t="s">
        <v>407</v>
      </c>
      <c r="C49" s="4" t="s">
        <v>423</v>
      </c>
      <c r="D49" s="3" t="s">
        <v>424</v>
      </c>
      <c r="E49" s="4" t="s">
        <v>320</v>
      </c>
      <c r="F49" s="3" t="s">
        <v>173</v>
      </c>
      <c r="G49" s="8">
        <v>2.2999999999999998</v>
      </c>
      <c r="H49" s="3" t="s">
        <v>131</v>
      </c>
      <c r="I49" s="3">
        <v>1734</v>
      </c>
      <c r="J49" s="3">
        <v>795</v>
      </c>
      <c r="K49" s="3">
        <v>939</v>
      </c>
      <c r="L49" s="3" t="s">
        <v>879</v>
      </c>
    </row>
    <row r="50" spans="1:12" x14ac:dyDescent="0.25">
      <c r="A50" s="3" t="s">
        <v>69</v>
      </c>
      <c r="B50" s="3" t="s">
        <v>141</v>
      </c>
      <c r="C50" s="4" t="s">
        <v>425</v>
      </c>
      <c r="D50" s="3" t="s">
        <v>426</v>
      </c>
      <c r="E50" s="4" t="s">
        <v>427</v>
      </c>
      <c r="F50" s="3" t="s">
        <v>203</v>
      </c>
      <c r="G50" s="8">
        <v>2.2999999999999998</v>
      </c>
      <c r="H50" s="3" t="s">
        <v>131</v>
      </c>
      <c r="I50" s="3">
        <v>1578</v>
      </c>
      <c r="J50" s="3">
        <v>727</v>
      </c>
      <c r="K50" s="3">
        <v>851</v>
      </c>
      <c r="L50" s="3" t="s">
        <v>879</v>
      </c>
    </row>
    <row r="51" spans="1:12" x14ac:dyDescent="0.25">
      <c r="A51" s="3" t="s">
        <v>428</v>
      </c>
      <c r="B51" s="3" t="s">
        <v>141</v>
      </c>
      <c r="C51" s="4" t="s">
        <v>429</v>
      </c>
      <c r="D51" s="3" t="s">
        <v>430</v>
      </c>
      <c r="E51" s="4" t="s">
        <v>431</v>
      </c>
      <c r="F51" s="3" t="s">
        <v>151</v>
      </c>
      <c r="G51" s="8">
        <v>2.2599999999999998</v>
      </c>
      <c r="H51" s="3" t="s">
        <v>131</v>
      </c>
      <c r="I51" s="3">
        <v>1167</v>
      </c>
      <c r="J51" s="3">
        <v>565</v>
      </c>
      <c r="K51" s="3">
        <v>602</v>
      </c>
      <c r="L51" s="3" t="s">
        <v>879</v>
      </c>
    </row>
    <row r="52" spans="1:12" x14ac:dyDescent="0.25">
      <c r="A52" s="3" t="s">
        <v>89</v>
      </c>
      <c r="B52" s="3" t="s">
        <v>141</v>
      </c>
      <c r="C52" s="4" t="s">
        <v>432</v>
      </c>
      <c r="D52" s="3" t="s">
        <v>433</v>
      </c>
      <c r="E52" s="4" t="s">
        <v>434</v>
      </c>
      <c r="F52" s="3" t="s">
        <v>162</v>
      </c>
      <c r="G52" s="8">
        <v>2.25</v>
      </c>
      <c r="H52" s="3" t="s">
        <v>144</v>
      </c>
      <c r="I52" s="3">
        <v>5203</v>
      </c>
      <c r="J52" s="3">
        <v>2427</v>
      </c>
      <c r="K52" s="3">
        <v>2775</v>
      </c>
      <c r="L52" s="3" t="s">
        <v>879</v>
      </c>
    </row>
    <row r="53" spans="1:12" x14ac:dyDescent="0.25">
      <c r="A53" s="3" t="s">
        <v>108</v>
      </c>
      <c r="B53" s="3" t="s">
        <v>435</v>
      </c>
      <c r="C53" s="4" t="s">
        <v>436</v>
      </c>
      <c r="D53" s="3" t="s">
        <v>437</v>
      </c>
      <c r="E53" s="4" t="s">
        <v>157</v>
      </c>
      <c r="F53" s="3" t="s">
        <v>438</v>
      </c>
      <c r="G53" s="8">
        <v>2.25</v>
      </c>
      <c r="H53" s="3" t="s">
        <v>128</v>
      </c>
      <c r="I53" s="3">
        <v>769</v>
      </c>
      <c r="J53" s="3">
        <v>363</v>
      </c>
      <c r="K53" s="3">
        <v>406</v>
      </c>
      <c r="L53" s="3" t="s">
        <v>879</v>
      </c>
    </row>
    <row r="54" spans="1:12" x14ac:dyDescent="0.25">
      <c r="A54" s="3" t="s">
        <v>439</v>
      </c>
      <c r="B54" s="3" t="s">
        <v>132</v>
      </c>
      <c r="C54" s="4" t="s">
        <v>440</v>
      </c>
      <c r="D54" s="3" t="s">
        <v>441</v>
      </c>
      <c r="E54" s="4" t="s">
        <v>442</v>
      </c>
      <c r="F54" s="3" t="s">
        <v>438</v>
      </c>
      <c r="G54" s="8">
        <v>2.25</v>
      </c>
      <c r="H54" s="3" t="s">
        <v>128</v>
      </c>
      <c r="I54" s="3">
        <v>811</v>
      </c>
      <c r="J54" s="3">
        <v>386</v>
      </c>
      <c r="K54" s="3">
        <v>425</v>
      </c>
      <c r="L54" s="3" t="s">
        <v>879</v>
      </c>
    </row>
    <row r="55" spans="1:12" x14ac:dyDescent="0.25">
      <c r="A55" s="3" t="s">
        <v>443</v>
      </c>
      <c r="B55" s="3" t="s">
        <v>163</v>
      </c>
      <c r="C55" s="4" t="s">
        <v>444</v>
      </c>
      <c r="D55" s="3" t="s">
        <v>445</v>
      </c>
      <c r="E55" s="4" t="s">
        <v>446</v>
      </c>
      <c r="F55" s="3" t="s">
        <v>148</v>
      </c>
      <c r="G55" s="8">
        <v>2.2400000000000002</v>
      </c>
      <c r="H55" s="3" t="s">
        <v>131</v>
      </c>
      <c r="I55" s="3">
        <v>3082</v>
      </c>
      <c r="J55" s="3">
        <v>1316</v>
      </c>
      <c r="K55" s="3">
        <v>1766</v>
      </c>
      <c r="L55" s="3" t="s">
        <v>879</v>
      </c>
    </row>
    <row r="56" spans="1:12" x14ac:dyDescent="0.25">
      <c r="A56" s="3" t="s">
        <v>78</v>
      </c>
      <c r="B56" s="3" t="s">
        <v>163</v>
      </c>
      <c r="C56" s="4" t="s">
        <v>447</v>
      </c>
      <c r="D56" s="3" t="s">
        <v>448</v>
      </c>
      <c r="E56" s="4" t="s">
        <v>449</v>
      </c>
      <c r="F56" s="3" t="s">
        <v>136</v>
      </c>
      <c r="G56" s="8">
        <v>2.23</v>
      </c>
      <c r="H56" s="3" t="s">
        <v>128</v>
      </c>
      <c r="I56" s="3">
        <v>1618</v>
      </c>
      <c r="J56" s="3">
        <v>788</v>
      </c>
      <c r="K56" s="3">
        <v>830</v>
      </c>
      <c r="L56" s="3" t="s">
        <v>879</v>
      </c>
    </row>
    <row r="57" spans="1:12" x14ac:dyDescent="0.25">
      <c r="A57" s="3" t="s">
        <v>450</v>
      </c>
      <c r="B57" s="3" t="s">
        <v>451</v>
      </c>
      <c r="C57" s="4" t="s">
        <v>452</v>
      </c>
      <c r="D57" s="3" t="s">
        <v>453</v>
      </c>
      <c r="E57" s="4" t="s">
        <v>454</v>
      </c>
      <c r="F57" s="3" t="s">
        <v>214</v>
      </c>
      <c r="G57" s="8">
        <v>2.23</v>
      </c>
      <c r="H57" s="3" t="s">
        <v>128</v>
      </c>
      <c r="I57" s="3">
        <v>668</v>
      </c>
      <c r="J57" s="3">
        <v>316</v>
      </c>
      <c r="K57" s="3">
        <v>352</v>
      </c>
      <c r="L57" s="3" t="s">
        <v>879</v>
      </c>
    </row>
    <row r="58" spans="1:12" x14ac:dyDescent="0.25">
      <c r="A58" s="3" t="s">
        <v>455</v>
      </c>
      <c r="B58" s="3" t="s">
        <v>138</v>
      </c>
      <c r="C58" s="4" t="s">
        <v>456</v>
      </c>
      <c r="D58" s="3" t="s">
        <v>457</v>
      </c>
      <c r="E58" s="4" t="s">
        <v>458</v>
      </c>
      <c r="F58" s="3" t="s">
        <v>151</v>
      </c>
      <c r="G58" s="8">
        <v>2.2200000000000002</v>
      </c>
      <c r="H58" s="3" t="s">
        <v>131</v>
      </c>
      <c r="I58" s="3">
        <v>1069</v>
      </c>
      <c r="J58" s="3">
        <v>503</v>
      </c>
      <c r="K58" s="3">
        <v>566</v>
      </c>
      <c r="L58" s="3" t="s">
        <v>879</v>
      </c>
    </row>
    <row r="59" spans="1:12" x14ac:dyDescent="0.25">
      <c r="A59" s="3" t="s">
        <v>459</v>
      </c>
      <c r="B59" s="3" t="s">
        <v>141</v>
      </c>
      <c r="C59" s="4" t="s">
        <v>460</v>
      </c>
      <c r="D59" s="3" t="s">
        <v>461</v>
      </c>
      <c r="E59" s="4" t="s">
        <v>462</v>
      </c>
      <c r="F59" s="3" t="s">
        <v>463</v>
      </c>
      <c r="G59" s="8">
        <v>2.2200000000000002</v>
      </c>
      <c r="H59" s="3" t="s">
        <v>144</v>
      </c>
      <c r="I59" s="3">
        <v>1906</v>
      </c>
      <c r="J59" s="3">
        <v>861</v>
      </c>
      <c r="K59" s="3">
        <v>1045</v>
      </c>
      <c r="L59" s="3" t="s">
        <v>879</v>
      </c>
    </row>
    <row r="60" spans="1:12" x14ac:dyDescent="0.25">
      <c r="A60" s="3" t="s">
        <v>464</v>
      </c>
      <c r="B60" s="3" t="s">
        <v>465</v>
      </c>
      <c r="C60" s="4" t="s">
        <v>466</v>
      </c>
      <c r="D60" s="3" t="s">
        <v>467</v>
      </c>
      <c r="E60" s="4" t="s">
        <v>293</v>
      </c>
      <c r="F60" s="3" t="s">
        <v>148</v>
      </c>
      <c r="G60" s="8">
        <v>2.21</v>
      </c>
      <c r="H60" s="3" t="s">
        <v>131</v>
      </c>
      <c r="I60" s="3">
        <v>1436</v>
      </c>
      <c r="J60" s="3">
        <v>591</v>
      </c>
      <c r="K60" s="3">
        <v>845</v>
      </c>
      <c r="L60" s="3" t="s">
        <v>879</v>
      </c>
    </row>
    <row r="61" spans="1:12" x14ac:dyDescent="0.25">
      <c r="A61" s="3" t="s">
        <v>468</v>
      </c>
      <c r="B61" s="3" t="s">
        <v>198</v>
      </c>
      <c r="C61" s="4" t="s">
        <v>469</v>
      </c>
      <c r="D61" s="3" t="s">
        <v>185</v>
      </c>
      <c r="E61" s="4" t="s">
        <v>470</v>
      </c>
      <c r="F61" s="3" t="s">
        <v>471</v>
      </c>
      <c r="G61" s="8">
        <v>2.21</v>
      </c>
      <c r="H61" s="3" t="s">
        <v>128</v>
      </c>
      <c r="I61" s="3">
        <v>2625</v>
      </c>
      <c r="J61" s="3">
        <v>1209</v>
      </c>
      <c r="K61" s="3">
        <v>1416</v>
      </c>
      <c r="L61" s="3" t="s">
        <v>879</v>
      </c>
    </row>
    <row r="62" spans="1:12" x14ac:dyDescent="0.25">
      <c r="A62" s="3" t="s">
        <v>99</v>
      </c>
      <c r="B62" s="3" t="s">
        <v>472</v>
      </c>
      <c r="C62" s="4" t="s">
        <v>473</v>
      </c>
      <c r="D62" s="3" t="s">
        <v>474</v>
      </c>
      <c r="E62" s="4" t="s">
        <v>475</v>
      </c>
      <c r="F62" s="3" t="s">
        <v>476</v>
      </c>
      <c r="G62" s="8">
        <v>2.21</v>
      </c>
      <c r="H62" s="3" t="s">
        <v>128</v>
      </c>
      <c r="I62" s="3">
        <v>10152</v>
      </c>
      <c r="J62" s="3">
        <v>4949</v>
      </c>
      <c r="K62" s="3">
        <v>5204</v>
      </c>
      <c r="L62" s="3" t="s">
        <v>879</v>
      </c>
    </row>
    <row r="63" spans="1:12" x14ac:dyDescent="0.25">
      <c r="A63" s="3" t="s">
        <v>113</v>
      </c>
      <c r="B63" s="3" t="s">
        <v>141</v>
      </c>
      <c r="C63" s="4" t="s">
        <v>477</v>
      </c>
      <c r="D63" s="3" t="s">
        <v>478</v>
      </c>
      <c r="E63" s="4" t="s">
        <v>142</v>
      </c>
      <c r="F63" s="3" t="s">
        <v>160</v>
      </c>
      <c r="G63" s="8">
        <v>2.2000000000000002</v>
      </c>
      <c r="H63" s="3" t="s">
        <v>144</v>
      </c>
      <c r="I63" s="3">
        <v>5769</v>
      </c>
      <c r="J63" s="3">
        <v>2662</v>
      </c>
      <c r="K63" s="3">
        <v>3106</v>
      </c>
      <c r="L63" s="3" t="s">
        <v>879</v>
      </c>
    </row>
    <row r="64" spans="1:12" x14ac:dyDescent="0.25">
      <c r="A64" s="3" t="s">
        <v>479</v>
      </c>
      <c r="B64" s="3" t="s">
        <v>480</v>
      </c>
      <c r="C64" s="4" t="s">
        <v>481</v>
      </c>
      <c r="D64" s="3" t="s">
        <v>482</v>
      </c>
      <c r="E64" s="4" t="s">
        <v>174</v>
      </c>
      <c r="F64" s="3" t="s">
        <v>162</v>
      </c>
      <c r="G64" s="8">
        <v>2.2000000000000002</v>
      </c>
      <c r="H64" s="3" t="s">
        <v>144</v>
      </c>
      <c r="I64" s="3">
        <v>4971</v>
      </c>
      <c r="J64" s="3">
        <v>2463</v>
      </c>
      <c r="K64" s="3">
        <v>2508</v>
      </c>
      <c r="L64" s="3" t="s">
        <v>879</v>
      </c>
    </row>
    <row r="65" spans="1:12" x14ac:dyDescent="0.25">
      <c r="A65" s="3" t="s">
        <v>104</v>
      </c>
      <c r="B65" s="3" t="s">
        <v>483</v>
      </c>
      <c r="C65" s="4" t="s">
        <v>484</v>
      </c>
      <c r="D65" s="3" t="s">
        <v>485</v>
      </c>
      <c r="E65" s="4" t="s">
        <v>486</v>
      </c>
      <c r="F65" s="3" t="s">
        <v>197</v>
      </c>
      <c r="G65" s="8">
        <v>2.2000000000000002</v>
      </c>
      <c r="H65" s="3" t="s">
        <v>131</v>
      </c>
      <c r="I65" s="3">
        <v>1766</v>
      </c>
      <c r="J65" s="3">
        <v>822</v>
      </c>
      <c r="K65" s="3">
        <v>944</v>
      </c>
      <c r="L65" s="3" t="s">
        <v>879</v>
      </c>
    </row>
    <row r="66" spans="1:12" x14ac:dyDescent="0.25">
      <c r="A66" s="3" t="s">
        <v>487</v>
      </c>
      <c r="B66" s="3" t="s">
        <v>488</v>
      </c>
      <c r="C66" s="4" t="s">
        <v>489</v>
      </c>
      <c r="D66" s="3" t="s">
        <v>216</v>
      </c>
      <c r="E66" s="4" t="s">
        <v>490</v>
      </c>
      <c r="F66" s="3" t="s">
        <v>158</v>
      </c>
      <c r="G66" s="8">
        <v>2.2000000000000002</v>
      </c>
      <c r="H66" s="3" t="s">
        <v>131</v>
      </c>
      <c r="I66" s="3">
        <v>2142</v>
      </c>
      <c r="J66" s="3">
        <v>973</v>
      </c>
      <c r="K66" s="3">
        <v>1169</v>
      </c>
      <c r="L66" s="3" t="s">
        <v>879</v>
      </c>
    </row>
    <row r="67" spans="1:12" x14ac:dyDescent="0.25">
      <c r="A67" s="3" t="s">
        <v>491</v>
      </c>
      <c r="B67" s="3" t="s">
        <v>492</v>
      </c>
      <c r="C67" s="4" t="s">
        <v>493</v>
      </c>
      <c r="D67" s="3" t="s">
        <v>494</v>
      </c>
      <c r="E67" s="4" t="s">
        <v>495</v>
      </c>
      <c r="F67" s="3" t="s">
        <v>496</v>
      </c>
      <c r="G67" s="8">
        <v>2.2000000000000002</v>
      </c>
      <c r="H67" s="3" t="s">
        <v>128</v>
      </c>
      <c r="I67" s="3">
        <v>3496</v>
      </c>
      <c r="J67" s="3">
        <v>1652</v>
      </c>
      <c r="K67" s="3">
        <v>1844</v>
      </c>
      <c r="L67" s="3" t="s">
        <v>879</v>
      </c>
    </row>
    <row r="68" spans="1:12" x14ac:dyDescent="0.25">
      <c r="A68" s="3" t="s">
        <v>90</v>
      </c>
      <c r="B68" s="3" t="s">
        <v>497</v>
      </c>
      <c r="C68" s="4" t="s">
        <v>498</v>
      </c>
      <c r="D68" s="3" t="s">
        <v>499</v>
      </c>
      <c r="E68" s="4" t="s">
        <v>133</v>
      </c>
      <c r="F68" s="3" t="s">
        <v>158</v>
      </c>
      <c r="G68" s="8">
        <v>2.2000000000000002</v>
      </c>
      <c r="H68" s="3" t="s">
        <v>128</v>
      </c>
      <c r="I68" s="3">
        <v>2241</v>
      </c>
      <c r="J68" s="3">
        <v>1027</v>
      </c>
      <c r="K68" s="3">
        <v>1214</v>
      </c>
      <c r="L68" s="3" t="s">
        <v>879</v>
      </c>
    </row>
    <row r="69" spans="1:12" x14ac:dyDescent="0.25">
      <c r="A69" s="3" t="s">
        <v>500</v>
      </c>
      <c r="B69" s="3" t="s">
        <v>152</v>
      </c>
      <c r="C69" s="4" t="s">
        <v>501</v>
      </c>
      <c r="D69" s="3" t="s">
        <v>502</v>
      </c>
      <c r="E69" s="4" t="s">
        <v>406</v>
      </c>
      <c r="F69" s="3" t="s">
        <v>183</v>
      </c>
      <c r="G69" s="8">
        <v>2.2000000000000002</v>
      </c>
      <c r="H69" s="3" t="s">
        <v>131</v>
      </c>
      <c r="I69" s="3">
        <v>1193</v>
      </c>
      <c r="J69" s="3">
        <v>494</v>
      </c>
      <c r="K69" s="3">
        <v>699</v>
      </c>
      <c r="L69" s="3" t="s">
        <v>879</v>
      </c>
    </row>
    <row r="70" spans="1:12" x14ac:dyDescent="0.25">
      <c r="A70" s="3" t="s">
        <v>102</v>
      </c>
      <c r="B70" s="3" t="s">
        <v>141</v>
      </c>
      <c r="C70" s="4" t="s">
        <v>503</v>
      </c>
      <c r="D70" s="3" t="s">
        <v>504</v>
      </c>
      <c r="E70" s="4" t="s">
        <v>293</v>
      </c>
      <c r="F70" s="3" t="s">
        <v>191</v>
      </c>
      <c r="G70" s="8">
        <v>2.2000000000000002</v>
      </c>
      <c r="H70" s="3" t="s">
        <v>131</v>
      </c>
      <c r="I70" s="3">
        <v>2597</v>
      </c>
      <c r="J70" s="3">
        <v>1177</v>
      </c>
      <c r="K70" s="3">
        <v>1420</v>
      </c>
      <c r="L70" s="3" t="s">
        <v>879</v>
      </c>
    </row>
    <row r="71" spans="1:12" x14ac:dyDescent="0.25">
      <c r="A71" s="3" t="s">
        <v>505</v>
      </c>
      <c r="B71" s="3" t="s">
        <v>141</v>
      </c>
      <c r="C71" s="4" t="s">
        <v>506</v>
      </c>
      <c r="D71" s="3" t="s">
        <v>507</v>
      </c>
      <c r="E71" s="4" t="s">
        <v>170</v>
      </c>
      <c r="F71" s="3" t="s">
        <v>463</v>
      </c>
      <c r="G71" s="8">
        <v>2.2000000000000002</v>
      </c>
      <c r="H71" s="3" t="s">
        <v>144</v>
      </c>
      <c r="I71" s="3">
        <v>4323</v>
      </c>
      <c r="J71" s="3">
        <v>2125</v>
      </c>
      <c r="K71" s="3">
        <v>2198</v>
      </c>
      <c r="L71" s="3" t="s">
        <v>879</v>
      </c>
    </row>
    <row r="72" spans="1:12" x14ac:dyDescent="0.25">
      <c r="A72" s="3" t="s">
        <v>508</v>
      </c>
      <c r="B72" s="3" t="s">
        <v>509</v>
      </c>
      <c r="C72" s="4" t="s">
        <v>510</v>
      </c>
      <c r="D72" s="3" t="s">
        <v>511</v>
      </c>
      <c r="E72" s="4" t="s">
        <v>512</v>
      </c>
      <c r="F72" s="3" t="s">
        <v>212</v>
      </c>
      <c r="G72" s="8">
        <v>2.2000000000000002</v>
      </c>
      <c r="H72" s="3" t="s">
        <v>128</v>
      </c>
      <c r="I72" s="3">
        <v>13074</v>
      </c>
      <c r="J72" s="3">
        <v>6149</v>
      </c>
      <c r="K72" s="3">
        <v>6925</v>
      </c>
      <c r="L72" s="3" t="s">
        <v>879</v>
      </c>
    </row>
    <row r="73" spans="1:12" x14ac:dyDescent="0.25">
      <c r="A73" s="3" t="s">
        <v>513</v>
      </c>
      <c r="B73" s="3" t="s">
        <v>192</v>
      </c>
      <c r="C73" s="4" t="s">
        <v>514</v>
      </c>
      <c r="D73" s="3" t="s">
        <v>515</v>
      </c>
      <c r="E73" s="4" t="s">
        <v>150</v>
      </c>
      <c r="F73" s="3" t="s">
        <v>257</v>
      </c>
      <c r="G73" s="8">
        <v>2.2000000000000002</v>
      </c>
      <c r="H73" s="3" t="s">
        <v>128</v>
      </c>
      <c r="I73" s="3">
        <v>3447</v>
      </c>
      <c r="J73" s="3">
        <v>1670</v>
      </c>
      <c r="K73" s="3">
        <v>1778</v>
      </c>
      <c r="L73" s="3" t="s">
        <v>879</v>
      </c>
    </row>
    <row r="74" spans="1:12" x14ac:dyDescent="0.25">
      <c r="A74" s="3" t="s">
        <v>516</v>
      </c>
      <c r="B74" s="3" t="s">
        <v>163</v>
      </c>
      <c r="C74" s="4" t="s">
        <v>517</v>
      </c>
      <c r="D74" s="3" t="s">
        <v>518</v>
      </c>
      <c r="E74" s="4" t="s">
        <v>519</v>
      </c>
      <c r="F74" s="3" t="s">
        <v>178</v>
      </c>
      <c r="G74" s="8">
        <v>2.2000000000000002</v>
      </c>
      <c r="H74" s="3" t="s">
        <v>131</v>
      </c>
      <c r="I74" s="3">
        <v>2698</v>
      </c>
      <c r="J74" s="3">
        <v>1132</v>
      </c>
      <c r="K74" s="3">
        <v>1567</v>
      </c>
      <c r="L74" s="3" t="s">
        <v>879</v>
      </c>
    </row>
    <row r="75" spans="1:12" x14ac:dyDescent="0.25">
      <c r="A75" s="3" t="s">
        <v>520</v>
      </c>
      <c r="B75" s="3" t="s">
        <v>233</v>
      </c>
      <c r="C75" s="4" t="s">
        <v>521</v>
      </c>
      <c r="D75" s="3" t="s">
        <v>522</v>
      </c>
      <c r="E75" s="4" t="s">
        <v>523</v>
      </c>
      <c r="F75" s="3" t="s">
        <v>146</v>
      </c>
      <c r="G75" s="8">
        <v>2.2000000000000002</v>
      </c>
      <c r="H75" s="3" t="s">
        <v>131</v>
      </c>
      <c r="I75" s="3">
        <v>2057</v>
      </c>
      <c r="J75" s="3">
        <v>980</v>
      </c>
      <c r="K75" s="3">
        <v>1077</v>
      </c>
      <c r="L75" s="3" t="s">
        <v>879</v>
      </c>
    </row>
    <row r="76" spans="1:12" x14ac:dyDescent="0.25">
      <c r="A76" s="3" t="s">
        <v>103</v>
      </c>
      <c r="B76" s="3" t="s">
        <v>524</v>
      </c>
      <c r="C76" s="4" t="s">
        <v>525</v>
      </c>
      <c r="D76" s="3" t="s">
        <v>526</v>
      </c>
      <c r="E76" s="4" t="s">
        <v>180</v>
      </c>
      <c r="F76" s="3" t="s">
        <v>527</v>
      </c>
      <c r="G76" s="8">
        <v>2.2000000000000002</v>
      </c>
      <c r="H76" s="3" t="s">
        <v>128</v>
      </c>
      <c r="I76" s="3">
        <v>12277</v>
      </c>
      <c r="J76" s="3">
        <v>5927</v>
      </c>
      <c r="K76" s="3">
        <v>6350</v>
      </c>
      <c r="L76" s="3" t="s">
        <v>879</v>
      </c>
    </row>
    <row r="77" spans="1:12" x14ac:dyDescent="0.25">
      <c r="A77" s="3" t="s">
        <v>528</v>
      </c>
      <c r="B77" s="3" t="s">
        <v>163</v>
      </c>
      <c r="C77" s="4" t="s">
        <v>529</v>
      </c>
      <c r="D77" s="3" t="s">
        <v>530</v>
      </c>
      <c r="E77" s="4" t="s">
        <v>531</v>
      </c>
      <c r="F77" s="3" t="s">
        <v>214</v>
      </c>
      <c r="G77" s="8">
        <v>2.19</v>
      </c>
      <c r="H77" s="3" t="s">
        <v>131</v>
      </c>
      <c r="I77" s="3">
        <v>1356</v>
      </c>
      <c r="J77" s="3">
        <v>633</v>
      </c>
      <c r="K77" s="3">
        <v>723</v>
      </c>
      <c r="L77" s="3" t="s">
        <v>879</v>
      </c>
    </row>
    <row r="78" spans="1:12" x14ac:dyDescent="0.25">
      <c r="A78" s="3" t="s">
        <v>532</v>
      </c>
      <c r="B78" s="3" t="s">
        <v>533</v>
      </c>
      <c r="C78" s="4" t="s">
        <v>534</v>
      </c>
      <c r="D78" s="3" t="s">
        <v>535</v>
      </c>
      <c r="E78" s="4" t="s">
        <v>189</v>
      </c>
      <c r="F78" s="3" t="s">
        <v>143</v>
      </c>
      <c r="G78" s="8">
        <v>2.19</v>
      </c>
      <c r="H78" s="3" t="s">
        <v>144</v>
      </c>
      <c r="I78" s="3">
        <v>7115</v>
      </c>
      <c r="J78" s="3">
        <v>3854</v>
      </c>
      <c r="K78" s="3">
        <v>3260</v>
      </c>
      <c r="L78" s="3" t="s">
        <v>879</v>
      </c>
    </row>
    <row r="79" spans="1:12" x14ac:dyDescent="0.25">
      <c r="A79" s="3" t="s">
        <v>536</v>
      </c>
      <c r="B79" s="3" t="s">
        <v>220</v>
      </c>
      <c r="C79" s="4" t="s">
        <v>537</v>
      </c>
      <c r="D79" s="3" t="s">
        <v>538</v>
      </c>
      <c r="E79" s="4" t="s">
        <v>539</v>
      </c>
      <c r="F79" s="3" t="s">
        <v>203</v>
      </c>
      <c r="G79" s="8">
        <v>2.1800000000000002</v>
      </c>
      <c r="H79" s="3" t="s">
        <v>128</v>
      </c>
      <c r="I79" s="3">
        <v>1992</v>
      </c>
      <c r="J79" s="3">
        <v>929</v>
      </c>
      <c r="K79" s="3">
        <v>1063</v>
      </c>
      <c r="L79" s="3" t="s">
        <v>879</v>
      </c>
    </row>
    <row r="80" spans="1:12" x14ac:dyDescent="0.25">
      <c r="A80" s="3" t="s">
        <v>540</v>
      </c>
      <c r="B80" s="3" t="s">
        <v>541</v>
      </c>
      <c r="C80" s="4" t="s">
        <v>542</v>
      </c>
      <c r="D80" s="3" t="s">
        <v>543</v>
      </c>
      <c r="E80" s="4" t="s">
        <v>544</v>
      </c>
      <c r="F80" s="3" t="s">
        <v>234</v>
      </c>
      <c r="G80" s="8">
        <v>2.1800000000000002</v>
      </c>
      <c r="H80" s="3" t="s">
        <v>128</v>
      </c>
      <c r="I80" s="3">
        <v>6642</v>
      </c>
      <c r="J80" s="3">
        <v>3103</v>
      </c>
      <c r="K80" s="3">
        <v>3539</v>
      </c>
      <c r="L80" s="3" t="s">
        <v>879</v>
      </c>
    </row>
    <row r="81" spans="1:12" x14ac:dyDescent="0.25">
      <c r="A81" s="3" t="s">
        <v>545</v>
      </c>
      <c r="B81" s="3" t="s">
        <v>220</v>
      </c>
      <c r="C81" s="4" t="s">
        <v>546</v>
      </c>
      <c r="D81" s="3" t="s">
        <v>213</v>
      </c>
      <c r="E81" s="4" t="s">
        <v>218</v>
      </c>
      <c r="F81" s="3" t="s">
        <v>151</v>
      </c>
      <c r="G81" s="8">
        <v>2.15</v>
      </c>
      <c r="H81" s="3" t="s">
        <v>131</v>
      </c>
      <c r="I81" s="3">
        <v>1814</v>
      </c>
      <c r="J81" s="3">
        <v>780</v>
      </c>
      <c r="K81" s="3">
        <v>1034</v>
      </c>
      <c r="L81" s="3" t="s">
        <v>879</v>
      </c>
    </row>
    <row r="82" spans="1:12" x14ac:dyDescent="0.25">
      <c r="A82" s="3" t="s">
        <v>547</v>
      </c>
      <c r="B82" s="3" t="s">
        <v>163</v>
      </c>
      <c r="C82" s="4" t="s">
        <v>548</v>
      </c>
      <c r="D82" s="3" t="s">
        <v>549</v>
      </c>
      <c r="E82" s="4" t="s">
        <v>550</v>
      </c>
      <c r="F82" s="3" t="s">
        <v>229</v>
      </c>
      <c r="G82" s="8">
        <v>2.15</v>
      </c>
      <c r="H82" s="3" t="s">
        <v>131</v>
      </c>
      <c r="I82" s="3">
        <v>4043</v>
      </c>
      <c r="J82" s="3">
        <v>1979</v>
      </c>
      <c r="K82" s="3">
        <v>2064</v>
      </c>
      <c r="L82" s="3" t="s">
        <v>879</v>
      </c>
    </row>
    <row r="83" spans="1:12" x14ac:dyDescent="0.25">
      <c r="A83" s="3" t="s">
        <v>91</v>
      </c>
      <c r="B83" s="3" t="s">
        <v>129</v>
      </c>
      <c r="C83" s="4" t="s">
        <v>207</v>
      </c>
      <c r="D83" s="3" t="s">
        <v>551</v>
      </c>
      <c r="E83" s="4" t="s">
        <v>208</v>
      </c>
      <c r="F83" s="3" t="s">
        <v>202</v>
      </c>
      <c r="G83" s="8">
        <v>2.15</v>
      </c>
      <c r="H83" s="3" t="s">
        <v>131</v>
      </c>
      <c r="I83" s="3">
        <v>9039</v>
      </c>
      <c r="J83" s="3">
        <v>4386</v>
      </c>
      <c r="K83" s="3">
        <v>4653</v>
      </c>
      <c r="L83" s="3" t="s">
        <v>879</v>
      </c>
    </row>
    <row r="84" spans="1:12" x14ac:dyDescent="0.25">
      <c r="A84" s="3" t="s">
        <v>552</v>
      </c>
      <c r="B84" s="3" t="s">
        <v>553</v>
      </c>
      <c r="C84" s="4" t="s">
        <v>554</v>
      </c>
      <c r="D84" s="3" t="s">
        <v>555</v>
      </c>
      <c r="E84" s="4" t="s">
        <v>556</v>
      </c>
      <c r="F84" s="3" t="s">
        <v>183</v>
      </c>
      <c r="G84" s="8">
        <v>2.1</v>
      </c>
      <c r="H84" s="3" t="s">
        <v>128</v>
      </c>
      <c r="I84" s="3">
        <v>5697</v>
      </c>
      <c r="J84" s="3">
        <v>2829</v>
      </c>
      <c r="K84" s="3">
        <v>2868</v>
      </c>
      <c r="L84" s="3" t="s">
        <v>879</v>
      </c>
    </row>
    <row r="85" spans="1:12" x14ac:dyDescent="0.25">
      <c r="A85" s="3" t="s">
        <v>557</v>
      </c>
      <c r="B85" s="3" t="s">
        <v>163</v>
      </c>
      <c r="C85" s="4" t="s">
        <v>558</v>
      </c>
      <c r="D85" s="3" t="s">
        <v>559</v>
      </c>
      <c r="E85" s="4" t="s">
        <v>560</v>
      </c>
      <c r="F85" s="3" t="s">
        <v>162</v>
      </c>
      <c r="G85" s="8">
        <v>2.1</v>
      </c>
      <c r="H85" s="3" t="s">
        <v>144</v>
      </c>
      <c r="I85" s="3">
        <v>4511</v>
      </c>
      <c r="J85" s="3">
        <v>2120</v>
      </c>
      <c r="K85" s="3">
        <v>2390</v>
      </c>
      <c r="L85" s="3" t="s">
        <v>879</v>
      </c>
    </row>
    <row r="86" spans="1:12" x14ac:dyDescent="0.25">
      <c r="A86" s="3" t="s">
        <v>561</v>
      </c>
      <c r="B86" s="3" t="s">
        <v>562</v>
      </c>
      <c r="C86" s="4" t="s">
        <v>563</v>
      </c>
      <c r="D86" s="3" t="s">
        <v>564</v>
      </c>
      <c r="E86" s="4" t="s">
        <v>565</v>
      </c>
      <c r="F86" s="3" t="s">
        <v>224</v>
      </c>
      <c r="G86" s="8">
        <v>2.1</v>
      </c>
      <c r="H86" s="3" t="s">
        <v>128</v>
      </c>
      <c r="I86" s="3">
        <v>3683</v>
      </c>
      <c r="J86" s="3">
        <v>1715</v>
      </c>
      <c r="K86" s="3">
        <v>1968</v>
      </c>
      <c r="L86" s="3" t="s">
        <v>879</v>
      </c>
    </row>
    <row r="87" spans="1:12" x14ac:dyDescent="0.25">
      <c r="A87" s="3" t="s">
        <v>566</v>
      </c>
      <c r="B87" s="3" t="s">
        <v>141</v>
      </c>
      <c r="C87" s="4" t="s">
        <v>567</v>
      </c>
      <c r="D87" s="3" t="s">
        <v>530</v>
      </c>
      <c r="E87" s="4" t="s">
        <v>293</v>
      </c>
      <c r="F87" s="3" t="s">
        <v>135</v>
      </c>
      <c r="G87" s="8">
        <v>2.1</v>
      </c>
      <c r="H87" s="3" t="s">
        <v>149</v>
      </c>
      <c r="I87" s="3">
        <v>2401</v>
      </c>
      <c r="J87" s="3">
        <v>1164</v>
      </c>
      <c r="K87" s="3">
        <v>1237</v>
      </c>
      <c r="L87" s="3" t="s">
        <v>879</v>
      </c>
    </row>
    <row r="88" spans="1:12" x14ac:dyDescent="0.25">
      <c r="A88" s="3" t="s">
        <v>568</v>
      </c>
      <c r="B88" s="3" t="s">
        <v>141</v>
      </c>
      <c r="C88" s="4" t="s">
        <v>569</v>
      </c>
      <c r="D88" s="3" t="s">
        <v>570</v>
      </c>
      <c r="E88" s="4" t="s">
        <v>571</v>
      </c>
      <c r="F88" s="3" t="s">
        <v>234</v>
      </c>
      <c r="G88" s="8">
        <v>2.1</v>
      </c>
      <c r="H88" s="3" t="s">
        <v>128</v>
      </c>
      <c r="I88" s="3">
        <v>1934</v>
      </c>
      <c r="J88" s="3">
        <v>812</v>
      </c>
      <c r="K88" s="3">
        <v>1122</v>
      </c>
      <c r="L88" s="3" t="s">
        <v>879</v>
      </c>
    </row>
    <row r="89" spans="1:12" x14ac:dyDescent="0.25">
      <c r="A89" s="3" t="s">
        <v>82</v>
      </c>
      <c r="B89" s="3" t="s">
        <v>141</v>
      </c>
      <c r="C89" s="4" t="s">
        <v>572</v>
      </c>
      <c r="D89" s="3" t="s">
        <v>573</v>
      </c>
      <c r="E89" s="4" t="s">
        <v>574</v>
      </c>
      <c r="F89" s="3" t="s">
        <v>199</v>
      </c>
      <c r="G89" s="8">
        <v>2.1</v>
      </c>
      <c r="H89" s="3" t="s">
        <v>149</v>
      </c>
      <c r="I89" s="3">
        <v>3613</v>
      </c>
      <c r="J89" s="3">
        <v>1520</v>
      </c>
      <c r="K89" s="3">
        <v>2093</v>
      </c>
      <c r="L89" s="3" t="s">
        <v>879</v>
      </c>
    </row>
    <row r="90" spans="1:12" x14ac:dyDescent="0.25">
      <c r="A90" s="3" t="s">
        <v>575</v>
      </c>
      <c r="B90" s="3" t="s">
        <v>576</v>
      </c>
      <c r="C90" s="4" t="s">
        <v>577</v>
      </c>
      <c r="D90" s="3" t="s">
        <v>578</v>
      </c>
      <c r="E90" s="4" t="s">
        <v>579</v>
      </c>
      <c r="F90" s="3" t="s">
        <v>151</v>
      </c>
      <c r="G90" s="8">
        <v>2.1</v>
      </c>
      <c r="H90" s="3" t="s">
        <v>131</v>
      </c>
      <c r="I90" s="3">
        <v>2186</v>
      </c>
      <c r="J90" s="3">
        <v>970</v>
      </c>
      <c r="K90" s="3">
        <v>1216</v>
      </c>
      <c r="L90" s="3" t="s">
        <v>879</v>
      </c>
    </row>
    <row r="91" spans="1:12" x14ac:dyDescent="0.25">
      <c r="A91" s="3" t="s">
        <v>580</v>
      </c>
      <c r="B91" s="3" t="s">
        <v>220</v>
      </c>
      <c r="C91" s="4" t="s">
        <v>581</v>
      </c>
      <c r="D91" s="3" t="s">
        <v>582</v>
      </c>
      <c r="E91" s="4" t="s">
        <v>583</v>
      </c>
      <c r="F91" s="3" t="s">
        <v>234</v>
      </c>
      <c r="G91" s="8">
        <v>2.1</v>
      </c>
      <c r="H91" s="3" t="s">
        <v>131</v>
      </c>
      <c r="I91" s="3">
        <v>1153</v>
      </c>
      <c r="J91" s="3">
        <v>552</v>
      </c>
      <c r="K91" s="3">
        <v>601</v>
      </c>
      <c r="L91" s="3" t="s">
        <v>879</v>
      </c>
    </row>
    <row r="92" spans="1:12" x14ac:dyDescent="0.25">
      <c r="A92" s="3" t="s">
        <v>584</v>
      </c>
      <c r="B92" s="3" t="s">
        <v>524</v>
      </c>
      <c r="C92" s="4" t="s">
        <v>585</v>
      </c>
      <c r="D92" s="3" t="s">
        <v>586</v>
      </c>
      <c r="E92" s="4" t="s">
        <v>587</v>
      </c>
      <c r="F92" s="3" t="s">
        <v>173</v>
      </c>
      <c r="G92" s="8">
        <v>2.1</v>
      </c>
      <c r="H92" s="3" t="s">
        <v>131</v>
      </c>
      <c r="I92" s="3">
        <v>927</v>
      </c>
      <c r="J92" s="3">
        <v>429</v>
      </c>
      <c r="K92" s="3">
        <v>497</v>
      </c>
      <c r="L92" s="3" t="s">
        <v>879</v>
      </c>
    </row>
    <row r="93" spans="1:12" x14ac:dyDescent="0.25">
      <c r="A93" s="3" t="s">
        <v>588</v>
      </c>
      <c r="B93" s="3" t="s">
        <v>141</v>
      </c>
      <c r="C93" s="4" t="s">
        <v>589</v>
      </c>
      <c r="D93" s="3" t="s">
        <v>590</v>
      </c>
      <c r="E93" s="4" t="s">
        <v>591</v>
      </c>
      <c r="F93" s="3" t="s">
        <v>203</v>
      </c>
      <c r="G93" s="8">
        <v>2.09</v>
      </c>
      <c r="H93" s="3" t="s">
        <v>128</v>
      </c>
      <c r="I93" s="3">
        <v>798</v>
      </c>
      <c r="J93" s="3">
        <v>393</v>
      </c>
      <c r="K93" s="3">
        <v>405</v>
      </c>
      <c r="L93" s="3" t="s">
        <v>879</v>
      </c>
    </row>
    <row r="94" spans="1:12" x14ac:dyDescent="0.25">
      <c r="A94" s="3" t="s">
        <v>592</v>
      </c>
      <c r="B94" s="3" t="s">
        <v>163</v>
      </c>
      <c r="C94" s="4" t="s">
        <v>593</v>
      </c>
      <c r="D94" s="3" t="s">
        <v>594</v>
      </c>
      <c r="E94" s="4" t="s">
        <v>182</v>
      </c>
      <c r="F94" s="3" t="s">
        <v>199</v>
      </c>
      <c r="G94" s="8">
        <v>2.08</v>
      </c>
      <c r="H94" s="3" t="s">
        <v>131</v>
      </c>
      <c r="I94" s="3">
        <v>3447</v>
      </c>
      <c r="J94" s="3">
        <v>1544</v>
      </c>
      <c r="K94" s="3">
        <v>1903</v>
      </c>
      <c r="L94" s="3" t="s">
        <v>879</v>
      </c>
    </row>
    <row r="95" spans="1:12" x14ac:dyDescent="0.25">
      <c r="A95" s="3" t="s">
        <v>595</v>
      </c>
      <c r="B95" s="3" t="s">
        <v>192</v>
      </c>
      <c r="C95" s="4" t="s">
        <v>596</v>
      </c>
      <c r="D95" s="3" t="s">
        <v>597</v>
      </c>
      <c r="E95" s="4" t="s">
        <v>598</v>
      </c>
      <c r="F95" s="3" t="s">
        <v>599</v>
      </c>
      <c r="G95" s="8">
        <v>2.0499999999999998</v>
      </c>
      <c r="H95" s="3" t="s">
        <v>128</v>
      </c>
      <c r="I95" s="3">
        <v>5194</v>
      </c>
      <c r="J95" s="3">
        <v>2617</v>
      </c>
      <c r="K95" s="3">
        <v>2577</v>
      </c>
      <c r="L95" s="3" t="s">
        <v>879</v>
      </c>
    </row>
    <row r="96" spans="1:12" x14ac:dyDescent="0.25">
      <c r="A96" s="3" t="s">
        <v>600</v>
      </c>
      <c r="B96" s="3" t="s">
        <v>152</v>
      </c>
      <c r="C96" s="4" t="s">
        <v>601</v>
      </c>
      <c r="D96" s="3" t="s">
        <v>223</v>
      </c>
      <c r="E96" s="4" t="s">
        <v>189</v>
      </c>
      <c r="F96" s="3" t="s">
        <v>366</v>
      </c>
      <c r="G96" s="8">
        <v>2.0499999999999998</v>
      </c>
      <c r="H96" s="3" t="s">
        <v>131</v>
      </c>
      <c r="I96" s="3">
        <v>3019</v>
      </c>
      <c r="J96" s="3">
        <v>1453</v>
      </c>
      <c r="K96" s="3">
        <v>1565</v>
      </c>
      <c r="L96" s="3" t="s">
        <v>879</v>
      </c>
    </row>
    <row r="97" spans="1:12" x14ac:dyDescent="0.25">
      <c r="A97" s="3" t="s">
        <v>602</v>
      </c>
      <c r="B97" s="3" t="s">
        <v>603</v>
      </c>
      <c r="C97" s="4" t="s">
        <v>604</v>
      </c>
      <c r="D97" s="3" t="s">
        <v>605</v>
      </c>
      <c r="E97" s="4" t="s">
        <v>606</v>
      </c>
      <c r="F97" s="3" t="s">
        <v>607</v>
      </c>
      <c r="G97" s="8">
        <v>2.0499999999999998</v>
      </c>
      <c r="H97" s="3" t="s">
        <v>131</v>
      </c>
      <c r="I97" s="3">
        <v>3922</v>
      </c>
      <c r="J97" s="3">
        <v>1876</v>
      </c>
      <c r="K97" s="3">
        <v>2046</v>
      </c>
      <c r="L97" s="3" t="s">
        <v>879</v>
      </c>
    </row>
    <row r="98" spans="1:12" x14ac:dyDescent="0.25">
      <c r="A98" s="3" t="s">
        <v>608</v>
      </c>
      <c r="B98" s="3" t="s">
        <v>163</v>
      </c>
      <c r="C98" s="4" t="s">
        <v>609</v>
      </c>
      <c r="D98" s="3" t="s">
        <v>610</v>
      </c>
      <c r="E98" s="4" t="s">
        <v>406</v>
      </c>
      <c r="F98" s="3" t="s">
        <v>203</v>
      </c>
      <c r="G98" s="8">
        <v>2.04</v>
      </c>
      <c r="H98" s="3" t="s">
        <v>131</v>
      </c>
      <c r="I98" s="3">
        <v>1926</v>
      </c>
      <c r="J98" s="3">
        <v>846</v>
      </c>
      <c r="K98" s="3">
        <v>1079</v>
      </c>
      <c r="L98" s="3" t="s">
        <v>879</v>
      </c>
    </row>
    <row r="99" spans="1:12" x14ac:dyDescent="0.25">
      <c r="A99" s="3" t="s">
        <v>105</v>
      </c>
      <c r="B99" s="3" t="s">
        <v>138</v>
      </c>
      <c r="C99" s="4" t="s">
        <v>611</v>
      </c>
      <c r="D99" s="3" t="s">
        <v>612</v>
      </c>
      <c r="E99" s="4" t="s">
        <v>182</v>
      </c>
      <c r="F99" s="3" t="s">
        <v>390</v>
      </c>
      <c r="G99" s="8">
        <v>2.04</v>
      </c>
      <c r="H99" s="3" t="s">
        <v>149</v>
      </c>
      <c r="I99" s="3">
        <v>2744</v>
      </c>
      <c r="J99" s="3">
        <v>1366</v>
      </c>
      <c r="K99" s="3">
        <v>1378</v>
      </c>
      <c r="L99" s="3" t="s">
        <v>879</v>
      </c>
    </row>
    <row r="100" spans="1:12" x14ac:dyDescent="0.25">
      <c r="A100" s="3" t="s">
        <v>613</v>
      </c>
      <c r="B100" s="3" t="s">
        <v>343</v>
      </c>
      <c r="C100" s="4" t="s">
        <v>614</v>
      </c>
      <c r="D100" s="3" t="s">
        <v>615</v>
      </c>
      <c r="E100" s="4" t="s">
        <v>616</v>
      </c>
      <c r="F100" s="3" t="s">
        <v>225</v>
      </c>
      <c r="G100" s="8">
        <v>2</v>
      </c>
      <c r="H100" s="3" t="s">
        <v>131</v>
      </c>
      <c r="I100" s="3">
        <v>3507</v>
      </c>
      <c r="J100" s="3">
        <v>1737</v>
      </c>
      <c r="K100" s="3">
        <v>1770</v>
      </c>
      <c r="L100" s="3" t="s">
        <v>879</v>
      </c>
    </row>
    <row r="101" spans="1:12" x14ac:dyDescent="0.25">
      <c r="A101" s="3" t="s">
        <v>617</v>
      </c>
      <c r="B101" s="3" t="s">
        <v>192</v>
      </c>
      <c r="C101" s="4" t="s">
        <v>618</v>
      </c>
      <c r="D101" s="3" t="s">
        <v>619</v>
      </c>
      <c r="E101" s="4" t="s">
        <v>157</v>
      </c>
      <c r="F101" s="3" t="s">
        <v>234</v>
      </c>
      <c r="G101" s="8">
        <v>2</v>
      </c>
      <c r="H101" s="3" t="s">
        <v>128</v>
      </c>
      <c r="I101" s="3">
        <v>2706</v>
      </c>
      <c r="J101" s="3">
        <v>1216</v>
      </c>
      <c r="K101" s="3">
        <v>1490</v>
      </c>
      <c r="L101" s="3" t="s">
        <v>879</v>
      </c>
    </row>
    <row r="102" spans="1:12" x14ac:dyDescent="0.25">
      <c r="A102" s="3" t="s">
        <v>620</v>
      </c>
      <c r="B102" s="3" t="s">
        <v>163</v>
      </c>
      <c r="C102" s="4" t="s">
        <v>621</v>
      </c>
      <c r="D102" s="3" t="s">
        <v>622</v>
      </c>
      <c r="E102" s="4" t="s">
        <v>208</v>
      </c>
      <c r="F102" s="3" t="s">
        <v>151</v>
      </c>
      <c r="G102" s="8">
        <v>2</v>
      </c>
      <c r="H102" s="3" t="s">
        <v>131</v>
      </c>
      <c r="I102" s="3">
        <v>1909</v>
      </c>
      <c r="J102" s="3">
        <v>909</v>
      </c>
      <c r="K102" s="3">
        <v>1000</v>
      </c>
      <c r="L102" s="3" t="s">
        <v>879</v>
      </c>
    </row>
    <row r="103" spans="1:12" x14ac:dyDescent="0.25">
      <c r="A103" s="3" t="s">
        <v>623</v>
      </c>
      <c r="B103" s="3" t="s">
        <v>624</v>
      </c>
      <c r="C103" s="4" t="s">
        <v>625</v>
      </c>
      <c r="D103" s="3" t="s">
        <v>626</v>
      </c>
      <c r="E103" s="4" t="s">
        <v>627</v>
      </c>
      <c r="F103" s="3" t="s">
        <v>311</v>
      </c>
      <c r="G103" s="8">
        <v>2</v>
      </c>
      <c r="H103" s="3" t="s">
        <v>128</v>
      </c>
      <c r="I103" s="3">
        <v>2588</v>
      </c>
      <c r="J103" s="3">
        <v>1259</v>
      </c>
      <c r="K103" s="3">
        <v>1329</v>
      </c>
      <c r="L103" s="3" t="s">
        <v>879</v>
      </c>
    </row>
    <row r="104" spans="1:12" x14ac:dyDescent="0.25">
      <c r="A104" s="3" t="s">
        <v>628</v>
      </c>
      <c r="B104" s="3" t="s">
        <v>163</v>
      </c>
      <c r="C104" s="4" t="s">
        <v>629</v>
      </c>
      <c r="D104" s="3" t="s">
        <v>165</v>
      </c>
      <c r="E104" s="4" t="s">
        <v>587</v>
      </c>
      <c r="F104" s="3" t="s">
        <v>173</v>
      </c>
      <c r="G104" s="8">
        <v>2</v>
      </c>
      <c r="H104" s="3" t="s">
        <v>131</v>
      </c>
      <c r="I104" s="3">
        <v>1380</v>
      </c>
      <c r="J104" s="3">
        <v>618</v>
      </c>
      <c r="K104" s="3">
        <v>761</v>
      </c>
      <c r="L104" s="3" t="s">
        <v>879</v>
      </c>
    </row>
    <row r="105" spans="1:12" x14ac:dyDescent="0.25">
      <c r="A105" s="3" t="s">
        <v>630</v>
      </c>
      <c r="B105" s="3" t="s">
        <v>141</v>
      </c>
      <c r="C105" s="4" t="s">
        <v>631</v>
      </c>
      <c r="D105" s="3" t="s">
        <v>564</v>
      </c>
      <c r="E105" s="4" t="s">
        <v>632</v>
      </c>
      <c r="F105" s="3" t="s">
        <v>135</v>
      </c>
      <c r="G105" s="8">
        <v>2</v>
      </c>
      <c r="H105" s="3" t="s">
        <v>128</v>
      </c>
      <c r="I105" s="3">
        <v>697</v>
      </c>
      <c r="J105" s="3">
        <v>348</v>
      </c>
      <c r="K105" s="3">
        <v>349</v>
      </c>
      <c r="L105" s="3" t="s">
        <v>879</v>
      </c>
    </row>
    <row r="106" spans="1:12" x14ac:dyDescent="0.25">
      <c r="A106" s="3" t="s">
        <v>633</v>
      </c>
      <c r="B106" s="3" t="s">
        <v>163</v>
      </c>
      <c r="C106" s="4" t="s">
        <v>634</v>
      </c>
      <c r="D106" s="3" t="s">
        <v>635</v>
      </c>
      <c r="E106" s="4" t="s">
        <v>302</v>
      </c>
      <c r="F106" s="3" t="s">
        <v>234</v>
      </c>
      <c r="G106" s="8">
        <v>2</v>
      </c>
      <c r="H106" s="3" t="s">
        <v>131</v>
      </c>
      <c r="I106" s="3">
        <v>2198</v>
      </c>
      <c r="J106" s="3">
        <v>1035</v>
      </c>
      <c r="K106" s="3">
        <v>1163</v>
      </c>
      <c r="L106" s="3" t="s">
        <v>879</v>
      </c>
    </row>
    <row r="107" spans="1:12" x14ac:dyDescent="0.25">
      <c r="A107" s="3" t="s">
        <v>636</v>
      </c>
      <c r="B107" s="3" t="s">
        <v>163</v>
      </c>
      <c r="C107" s="4" t="s">
        <v>637</v>
      </c>
      <c r="D107" s="3" t="s">
        <v>638</v>
      </c>
      <c r="E107" s="4" t="s">
        <v>157</v>
      </c>
      <c r="F107" s="3" t="s">
        <v>151</v>
      </c>
      <c r="G107" s="8">
        <v>2</v>
      </c>
      <c r="H107" s="3" t="s">
        <v>128</v>
      </c>
      <c r="I107" s="3">
        <v>2076</v>
      </c>
      <c r="J107" s="3">
        <v>882</v>
      </c>
      <c r="K107" s="3">
        <v>1194</v>
      </c>
      <c r="L107" s="3" t="s">
        <v>879</v>
      </c>
    </row>
    <row r="108" spans="1:12" x14ac:dyDescent="0.25">
      <c r="A108" s="3" t="s">
        <v>109</v>
      </c>
      <c r="B108" s="3" t="s">
        <v>141</v>
      </c>
      <c r="C108" s="4" t="s">
        <v>639</v>
      </c>
      <c r="D108" s="3" t="s">
        <v>640</v>
      </c>
      <c r="E108" s="4" t="s">
        <v>641</v>
      </c>
      <c r="F108" s="3" t="s">
        <v>642</v>
      </c>
      <c r="G108" s="8">
        <v>2</v>
      </c>
      <c r="H108" s="3" t="s">
        <v>128</v>
      </c>
      <c r="I108" s="3">
        <v>1365</v>
      </c>
      <c r="J108" s="3">
        <v>702</v>
      </c>
      <c r="K108" s="3">
        <v>663</v>
      </c>
      <c r="L108" s="3" t="s">
        <v>879</v>
      </c>
    </row>
    <row r="109" spans="1:12" x14ac:dyDescent="0.25">
      <c r="A109" s="3" t="s">
        <v>643</v>
      </c>
      <c r="B109" s="3" t="s">
        <v>141</v>
      </c>
      <c r="C109" s="4" t="s">
        <v>644</v>
      </c>
      <c r="D109" s="3" t="s">
        <v>645</v>
      </c>
      <c r="E109" s="4" t="s">
        <v>646</v>
      </c>
      <c r="F109" s="3" t="s">
        <v>642</v>
      </c>
      <c r="G109" s="8">
        <v>2</v>
      </c>
      <c r="H109" s="3" t="s">
        <v>128</v>
      </c>
      <c r="I109" s="3">
        <v>3732</v>
      </c>
      <c r="J109" s="3">
        <v>1854</v>
      </c>
      <c r="K109" s="3">
        <v>1878</v>
      </c>
      <c r="L109" s="3" t="s">
        <v>879</v>
      </c>
    </row>
    <row r="110" spans="1:12" x14ac:dyDescent="0.25">
      <c r="A110" s="3" t="s">
        <v>647</v>
      </c>
      <c r="B110" s="3" t="s">
        <v>141</v>
      </c>
      <c r="C110" s="4" t="s">
        <v>648</v>
      </c>
      <c r="D110" s="3" t="s">
        <v>347</v>
      </c>
      <c r="E110" s="4" t="s">
        <v>649</v>
      </c>
      <c r="F110" s="3" t="s">
        <v>151</v>
      </c>
      <c r="G110" s="8">
        <v>1.99</v>
      </c>
      <c r="H110" s="3" t="s">
        <v>131</v>
      </c>
      <c r="I110" s="3">
        <v>848</v>
      </c>
      <c r="J110" s="3">
        <v>388</v>
      </c>
      <c r="K110" s="3">
        <v>460</v>
      </c>
      <c r="L110" s="3" t="s">
        <v>879</v>
      </c>
    </row>
    <row r="111" spans="1:12" x14ac:dyDescent="0.25">
      <c r="A111" s="3" t="s">
        <v>650</v>
      </c>
      <c r="B111" s="3" t="s">
        <v>163</v>
      </c>
      <c r="C111" s="4" t="s">
        <v>651</v>
      </c>
      <c r="D111" s="3" t="s">
        <v>231</v>
      </c>
      <c r="E111" s="4" t="s">
        <v>652</v>
      </c>
      <c r="F111" s="3" t="s">
        <v>298</v>
      </c>
      <c r="G111" s="8">
        <v>1.97</v>
      </c>
      <c r="H111" s="3" t="s">
        <v>131</v>
      </c>
      <c r="I111" s="3">
        <v>1313</v>
      </c>
      <c r="J111" s="3">
        <v>668</v>
      </c>
      <c r="K111" s="3">
        <v>645</v>
      </c>
      <c r="L111" s="3" t="s">
        <v>879</v>
      </c>
    </row>
    <row r="112" spans="1:12" x14ac:dyDescent="0.25">
      <c r="A112" s="3" t="s">
        <v>653</v>
      </c>
      <c r="B112" s="3" t="s">
        <v>138</v>
      </c>
      <c r="C112" s="4" t="s">
        <v>654</v>
      </c>
      <c r="D112" s="3" t="s">
        <v>655</v>
      </c>
      <c r="E112" s="4" t="s">
        <v>293</v>
      </c>
      <c r="F112" s="3" t="s">
        <v>151</v>
      </c>
      <c r="G112" s="8">
        <v>1.96</v>
      </c>
      <c r="H112" s="3" t="s">
        <v>131</v>
      </c>
      <c r="I112" s="3">
        <v>2891</v>
      </c>
      <c r="J112" s="3">
        <v>1137</v>
      </c>
      <c r="K112" s="3">
        <v>1753</v>
      </c>
      <c r="L112" s="3" t="s">
        <v>879</v>
      </c>
    </row>
    <row r="113" spans="1:12" x14ac:dyDescent="0.25">
      <c r="A113" s="3" t="s">
        <v>62</v>
      </c>
      <c r="B113" s="3" t="s">
        <v>656</v>
      </c>
      <c r="C113" s="4" t="s">
        <v>657</v>
      </c>
      <c r="D113" s="3" t="s">
        <v>658</v>
      </c>
      <c r="E113" s="4" t="s">
        <v>164</v>
      </c>
      <c r="F113" s="3" t="s">
        <v>143</v>
      </c>
      <c r="G113" s="8">
        <v>1.95</v>
      </c>
      <c r="H113" s="3" t="s">
        <v>144</v>
      </c>
      <c r="I113" s="3">
        <v>4484</v>
      </c>
      <c r="J113" s="3">
        <v>2130</v>
      </c>
      <c r="K113" s="3">
        <v>2354</v>
      </c>
      <c r="L113" s="3" t="s">
        <v>879</v>
      </c>
    </row>
    <row r="114" spans="1:12" x14ac:dyDescent="0.25">
      <c r="A114" s="3" t="s">
        <v>76</v>
      </c>
      <c r="B114" s="3" t="s">
        <v>659</v>
      </c>
      <c r="C114" s="4" t="s">
        <v>660</v>
      </c>
      <c r="D114" s="3" t="s">
        <v>661</v>
      </c>
      <c r="E114" s="4" t="s">
        <v>662</v>
      </c>
      <c r="F114" s="3" t="s">
        <v>615</v>
      </c>
      <c r="G114" s="8">
        <v>1.95</v>
      </c>
      <c r="H114" s="3" t="s">
        <v>128</v>
      </c>
      <c r="I114" s="3">
        <v>2510</v>
      </c>
      <c r="J114" s="3">
        <v>1194</v>
      </c>
      <c r="K114" s="3">
        <v>1316</v>
      </c>
      <c r="L114" s="3" t="s">
        <v>879</v>
      </c>
    </row>
    <row r="115" spans="1:12" x14ac:dyDescent="0.25">
      <c r="A115" s="3" t="s">
        <v>96</v>
      </c>
      <c r="B115" s="3" t="s">
        <v>663</v>
      </c>
      <c r="C115" s="4" t="s">
        <v>664</v>
      </c>
      <c r="D115" s="3" t="s">
        <v>640</v>
      </c>
      <c r="E115" s="4" t="s">
        <v>665</v>
      </c>
      <c r="F115" s="3" t="s">
        <v>666</v>
      </c>
      <c r="G115" s="8">
        <v>1.95</v>
      </c>
      <c r="H115" s="3" t="s">
        <v>131</v>
      </c>
      <c r="I115" s="3">
        <v>2138</v>
      </c>
      <c r="J115" s="3">
        <v>896</v>
      </c>
      <c r="K115" s="3">
        <v>1242</v>
      </c>
      <c r="L115" s="3" t="s">
        <v>879</v>
      </c>
    </row>
    <row r="116" spans="1:12" x14ac:dyDescent="0.25">
      <c r="A116" s="3" t="s">
        <v>667</v>
      </c>
      <c r="B116" s="3" t="s">
        <v>188</v>
      </c>
      <c r="C116" s="4" t="s">
        <v>668</v>
      </c>
      <c r="D116" s="3" t="s">
        <v>167</v>
      </c>
      <c r="E116" s="4" t="s">
        <v>182</v>
      </c>
      <c r="F116" s="3" t="s">
        <v>366</v>
      </c>
      <c r="G116" s="8">
        <v>1.95</v>
      </c>
      <c r="H116" s="3" t="s">
        <v>131</v>
      </c>
      <c r="I116" s="3">
        <v>3265</v>
      </c>
      <c r="J116" s="3">
        <v>1429</v>
      </c>
      <c r="K116" s="3">
        <v>1837</v>
      </c>
      <c r="L116" s="3" t="s">
        <v>879</v>
      </c>
    </row>
    <row r="117" spans="1:12" x14ac:dyDescent="0.25">
      <c r="A117" s="3" t="s">
        <v>669</v>
      </c>
      <c r="B117" s="3" t="s">
        <v>670</v>
      </c>
      <c r="C117" s="4" t="s">
        <v>671</v>
      </c>
      <c r="D117" s="3" t="s">
        <v>448</v>
      </c>
      <c r="E117" s="4" t="s">
        <v>672</v>
      </c>
      <c r="F117" s="3" t="s">
        <v>183</v>
      </c>
      <c r="G117" s="8">
        <v>1.95</v>
      </c>
      <c r="H117" s="3" t="s">
        <v>131</v>
      </c>
      <c r="I117" s="3">
        <v>898</v>
      </c>
      <c r="J117" s="3">
        <v>411</v>
      </c>
      <c r="K117" s="3">
        <v>487</v>
      </c>
      <c r="L117" s="3" t="s">
        <v>879</v>
      </c>
    </row>
    <row r="118" spans="1:12" x14ac:dyDescent="0.25">
      <c r="A118" s="3" t="s">
        <v>673</v>
      </c>
      <c r="B118" s="3" t="s">
        <v>141</v>
      </c>
      <c r="C118" s="4" t="s">
        <v>368</v>
      </c>
      <c r="D118" s="3" t="s">
        <v>292</v>
      </c>
      <c r="E118" s="4" t="s">
        <v>674</v>
      </c>
      <c r="F118" s="3" t="s">
        <v>234</v>
      </c>
      <c r="G118" s="8">
        <v>1.95</v>
      </c>
      <c r="H118" s="3" t="s">
        <v>131</v>
      </c>
      <c r="I118" s="3">
        <v>1227</v>
      </c>
      <c r="J118" s="3">
        <v>561</v>
      </c>
      <c r="K118" s="3">
        <v>666</v>
      </c>
      <c r="L118" s="3" t="s">
        <v>879</v>
      </c>
    </row>
    <row r="119" spans="1:12" x14ac:dyDescent="0.25">
      <c r="A119" s="3" t="s">
        <v>114</v>
      </c>
      <c r="B119" s="3" t="s">
        <v>141</v>
      </c>
      <c r="C119" s="4" t="s">
        <v>675</v>
      </c>
      <c r="D119" s="3" t="s">
        <v>676</v>
      </c>
      <c r="E119" s="4" t="s">
        <v>310</v>
      </c>
      <c r="F119" s="3" t="s">
        <v>311</v>
      </c>
      <c r="G119" s="8">
        <v>1.94</v>
      </c>
      <c r="H119" s="3" t="s">
        <v>131</v>
      </c>
      <c r="I119" s="3">
        <v>1220</v>
      </c>
      <c r="J119" s="3">
        <v>583</v>
      </c>
      <c r="K119" s="3">
        <v>636</v>
      </c>
      <c r="L119" s="3" t="s">
        <v>879</v>
      </c>
    </row>
    <row r="120" spans="1:12" x14ac:dyDescent="0.25">
      <c r="A120" s="3" t="s">
        <v>677</v>
      </c>
      <c r="B120" s="3" t="s">
        <v>678</v>
      </c>
      <c r="C120" s="4" t="s">
        <v>679</v>
      </c>
      <c r="D120" s="3" t="s">
        <v>176</v>
      </c>
      <c r="E120" s="4" t="s">
        <v>406</v>
      </c>
      <c r="F120" s="3" t="s">
        <v>214</v>
      </c>
      <c r="G120" s="8">
        <v>1.9</v>
      </c>
      <c r="H120" s="3" t="s">
        <v>131</v>
      </c>
      <c r="I120" s="3">
        <v>1028</v>
      </c>
      <c r="J120" s="3">
        <v>487</v>
      </c>
      <c r="K120" s="3">
        <v>541</v>
      </c>
      <c r="L120" s="3" t="s">
        <v>879</v>
      </c>
    </row>
    <row r="121" spans="1:12" x14ac:dyDescent="0.25">
      <c r="A121" s="3" t="s">
        <v>680</v>
      </c>
      <c r="B121" s="3" t="s">
        <v>192</v>
      </c>
      <c r="C121" s="4" t="s">
        <v>681</v>
      </c>
      <c r="D121" s="3" t="s">
        <v>682</v>
      </c>
      <c r="E121" s="4" t="s">
        <v>157</v>
      </c>
      <c r="F121" s="3" t="s">
        <v>257</v>
      </c>
      <c r="G121" s="8">
        <v>1.9</v>
      </c>
      <c r="H121" s="3" t="s">
        <v>128</v>
      </c>
      <c r="I121" s="3">
        <v>1416</v>
      </c>
      <c r="J121" s="3">
        <v>748</v>
      </c>
      <c r="K121" s="3">
        <v>668</v>
      </c>
      <c r="L121" s="3" t="s">
        <v>879</v>
      </c>
    </row>
    <row r="122" spans="1:12" x14ac:dyDescent="0.25">
      <c r="A122" s="3" t="s">
        <v>683</v>
      </c>
      <c r="B122" s="3" t="s">
        <v>684</v>
      </c>
      <c r="C122" s="4" t="s">
        <v>685</v>
      </c>
      <c r="D122" s="3" t="s">
        <v>204</v>
      </c>
      <c r="E122" s="4" t="s">
        <v>686</v>
      </c>
      <c r="F122" s="3" t="s">
        <v>222</v>
      </c>
      <c r="G122" s="8">
        <v>1.9</v>
      </c>
      <c r="H122" s="3" t="s">
        <v>128</v>
      </c>
      <c r="I122" s="3">
        <v>1509</v>
      </c>
      <c r="J122" s="3">
        <v>719</v>
      </c>
      <c r="K122" s="3">
        <v>790</v>
      </c>
      <c r="L122" s="3" t="s">
        <v>879</v>
      </c>
    </row>
    <row r="123" spans="1:12" x14ac:dyDescent="0.25">
      <c r="A123" s="3" t="s">
        <v>687</v>
      </c>
      <c r="B123" s="3" t="s">
        <v>141</v>
      </c>
      <c r="C123" s="4" t="s">
        <v>688</v>
      </c>
      <c r="D123" s="3" t="s">
        <v>689</v>
      </c>
      <c r="E123" s="4" t="s">
        <v>208</v>
      </c>
      <c r="F123" s="3" t="s">
        <v>183</v>
      </c>
      <c r="G123" s="8">
        <v>1.9</v>
      </c>
      <c r="H123" s="3" t="s">
        <v>131</v>
      </c>
      <c r="I123" s="3">
        <v>2228</v>
      </c>
      <c r="J123" s="3">
        <v>969</v>
      </c>
      <c r="K123" s="3">
        <v>1259</v>
      </c>
      <c r="L123" s="3" t="s">
        <v>879</v>
      </c>
    </row>
    <row r="124" spans="1:12" x14ac:dyDescent="0.25">
      <c r="A124" s="3" t="s">
        <v>115</v>
      </c>
      <c r="B124" s="3" t="s">
        <v>220</v>
      </c>
      <c r="C124" s="4" t="s">
        <v>690</v>
      </c>
      <c r="D124" s="3" t="s">
        <v>691</v>
      </c>
      <c r="E124" s="4" t="s">
        <v>228</v>
      </c>
      <c r="F124" s="3" t="s">
        <v>203</v>
      </c>
      <c r="G124" s="8">
        <v>1.9</v>
      </c>
      <c r="H124" s="3" t="s">
        <v>131</v>
      </c>
      <c r="I124" s="3">
        <v>2273</v>
      </c>
      <c r="J124" s="3">
        <v>1014</v>
      </c>
      <c r="K124" s="3">
        <v>1260</v>
      </c>
      <c r="L124" s="3" t="s">
        <v>879</v>
      </c>
    </row>
    <row r="125" spans="1:12" x14ac:dyDescent="0.25">
      <c r="A125" s="3" t="s">
        <v>692</v>
      </c>
      <c r="B125" s="3" t="s">
        <v>693</v>
      </c>
      <c r="C125" s="4" t="s">
        <v>694</v>
      </c>
      <c r="D125" s="3" t="s">
        <v>695</v>
      </c>
      <c r="E125" s="4" t="s">
        <v>696</v>
      </c>
      <c r="F125" s="3" t="s">
        <v>203</v>
      </c>
      <c r="G125" s="8">
        <v>1.9</v>
      </c>
      <c r="H125" s="3" t="s">
        <v>131</v>
      </c>
      <c r="I125" s="3">
        <v>2278</v>
      </c>
      <c r="J125" s="3">
        <v>1027</v>
      </c>
      <c r="K125" s="3">
        <v>1251</v>
      </c>
      <c r="L125" s="3" t="s">
        <v>879</v>
      </c>
    </row>
    <row r="126" spans="1:12" x14ac:dyDescent="0.25">
      <c r="A126" s="3" t="s">
        <v>697</v>
      </c>
      <c r="B126" s="3" t="s">
        <v>141</v>
      </c>
      <c r="C126" s="4" t="s">
        <v>698</v>
      </c>
      <c r="D126" s="3" t="s">
        <v>153</v>
      </c>
      <c r="E126" s="4" t="s">
        <v>699</v>
      </c>
      <c r="F126" s="3" t="s">
        <v>205</v>
      </c>
      <c r="G126" s="8">
        <v>1.9</v>
      </c>
      <c r="H126" s="3" t="s">
        <v>128</v>
      </c>
      <c r="I126" s="3">
        <v>986</v>
      </c>
      <c r="J126" s="3">
        <v>445</v>
      </c>
      <c r="K126" s="3">
        <v>541</v>
      </c>
      <c r="L126" s="3" t="s">
        <v>879</v>
      </c>
    </row>
    <row r="127" spans="1:12" x14ac:dyDescent="0.25">
      <c r="A127" s="3" t="s">
        <v>700</v>
      </c>
      <c r="B127" s="3" t="s">
        <v>152</v>
      </c>
      <c r="C127" s="4" t="s">
        <v>701</v>
      </c>
      <c r="D127" s="3" t="s">
        <v>195</v>
      </c>
      <c r="E127" s="4" t="s">
        <v>702</v>
      </c>
      <c r="F127" s="3" t="s">
        <v>199</v>
      </c>
      <c r="G127" s="8">
        <v>1.9</v>
      </c>
      <c r="H127" s="3" t="s">
        <v>131</v>
      </c>
      <c r="I127" s="3">
        <v>2106</v>
      </c>
      <c r="J127" s="3">
        <v>964</v>
      </c>
      <c r="K127" s="3">
        <v>1142</v>
      </c>
      <c r="L127" s="3" t="s">
        <v>879</v>
      </c>
    </row>
    <row r="128" spans="1:12" x14ac:dyDescent="0.25">
      <c r="A128" s="3" t="s">
        <v>703</v>
      </c>
      <c r="B128" s="3" t="s">
        <v>152</v>
      </c>
      <c r="C128" s="4" t="s">
        <v>704</v>
      </c>
      <c r="D128" s="3" t="s">
        <v>231</v>
      </c>
      <c r="E128" s="4" t="s">
        <v>186</v>
      </c>
      <c r="F128" s="3" t="s">
        <v>173</v>
      </c>
      <c r="G128" s="8">
        <v>1.9</v>
      </c>
      <c r="H128" s="3" t="s">
        <v>131</v>
      </c>
      <c r="I128" s="3">
        <v>4621</v>
      </c>
      <c r="J128" s="3">
        <v>1948</v>
      </c>
      <c r="K128" s="3">
        <v>2673</v>
      </c>
      <c r="L128" s="3" t="s">
        <v>879</v>
      </c>
    </row>
    <row r="129" spans="1:12" x14ac:dyDescent="0.25">
      <c r="A129" s="3" t="s">
        <v>705</v>
      </c>
      <c r="B129" s="3" t="s">
        <v>141</v>
      </c>
      <c r="C129" s="4" t="s">
        <v>706</v>
      </c>
      <c r="D129" s="3" t="s">
        <v>707</v>
      </c>
      <c r="E129" s="4" t="s">
        <v>145</v>
      </c>
      <c r="F129" s="3" t="s">
        <v>708</v>
      </c>
      <c r="G129" s="8">
        <v>1.89</v>
      </c>
      <c r="H129" s="3" t="s">
        <v>128</v>
      </c>
      <c r="I129" s="3">
        <v>7008</v>
      </c>
      <c r="J129" s="3">
        <v>3257</v>
      </c>
      <c r="K129" s="3">
        <v>3751</v>
      </c>
      <c r="L129" s="3" t="s">
        <v>879</v>
      </c>
    </row>
    <row r="130" spans="1:12" x14ac:dyDescent="0.25">
      <c r="A130" s="3" t="s">
        <v>709</v>
      </c>
      <c r="B130" s="3" t="s">
        <v>233</v>
      </c>
      <c r="C130" s="4" t="s">
        <v>710</v>
      </c>
      <c r="D130" s="3" t="s">
        <v>711</v>
      </c>
      <c r="E130" s="4" t="s">
        <v>712</v>
      </c>
      <c r="F130" s="3" t="s">
        <v>173</v>
      </c>
      <c r="G130" s="8">
        <v>1.86</v>
      </c>
      <c r="H130" s="3" t="s">
        <v>131</v>
      </c>
      <c r="I130" s="3">
        <v>1131</v>
      </c>
      <c r="J130" s="3">
        <v>494</v>
      </c>
      <c r="K130" s="3">
        <v>638</v>
      </c>
      <c r="L130" s="3" t="s">
        <v>879</v>
      </c>
    </row>
    <row r="131" spans="1:12" x14ac:dyDescent="0.25">
      <c r="A131" s="3" t="s">
        <v>713</v>
      </c>
      <c r="B131" s="3" t="s">
        <v>714</v>
      </c>
      <c r="C131" s="4" t="s">
        <v>715</v>
      </c>
      <c r="D131" s="3" t="s">
        <v>716</v>
      </c>
      <c r="E131" s="4" t="s">
        <v>717</v>
      </c>
      <c r="F131" s="3" t="s">
        <v>224</v>
      </c>
      <c r="G131" s="8">
        <v>1.86</v>
      </c>
      <c r="H131" s="3" t="s">
        <v>131</v>
      </c>
      <c r="I131" s="3">
        <v>994</v>
      </c>
      <c r="J131" s="3">
        <v>469</v>
      </c>
      <c r="K131" s="3">
        <v>525</v>
      </c>
      <c r="L131" s="3" t="s">
        <v>879</v>
      </c>
    </row>
    <row r="132" spans="1:12" x14ac:dyDescent="0.25">
      <c r="A132" s="3" t="s">
        <v>718</v>
      </c>
      <c r="B132" s="3" t="s">
        <v>141</v>
      </c>
      <c r="C132" s="4" t="s">
        <v>719</v>
      </c>
      <c r="D132" s="3" t="s">
        <v>720</v>
      </c>
      <c r="E132" s="4" t="s">
        <v>145</v>
      </c>
      <c r="F132" s="3" t="s">
        <v>219</v>
      </c>
      <c r="G132" s="8">
        <v>1.86</v>
      </c>
      <c r="H132" s="3" t="s">
        <v>128</v>
      </c>
      <c r="I132" s="3">
        <v>7842</v>
      </c>
      <c r="J132" s="3">
        <v>3692</v>
      </c>
      <c r="K132" s="3">
        <v>4150</v>
      </c>
      <c r="L132" s="3" t="s">
        <v>879</v>
      </c>
    </row>
    <row r="133" spans="1:12" x14ac:dyDescent="0.25">
      <c r="A133" s="3" t="s">
        <v>721</v>
      </c>
      <c r="B133" s="3" t="s">
        <v>141</v>
      </c>
      <c r="C133" s="4" t="s">
        <v>722</v>
      </c>
      <c r="D133" s="3" t="s">
        <v>723</v>
      </c>
      <c r="E133" s="4" t="s">
        <v>724</v>
      </c>
      <c r="F133" s="3" t="s">
        <v>136</v>
      </c>
      <c r="G133" s="8">
        <v>1.85</v>
      </c>
      <c r="H133" s="3" t="s">
        <v>131</v>
      </c>
      <c r="I133" s="3">
        <v>2974</v>
      </c>
      <c r="J133" s="3">
        <v>1342</v>
      </c>
      <c r="K133" s="3">
        <v>1632</v>
      </c>
      <c r="L133" s="3" t="s">
        <v>879</v>
      </c>
    </row>
    <row r="134" spans="1:12" x14ac:dyDescent="0.25">
      <c r="A134" s="3" t="s">
        <v>725</v>
      </c>
      <c r="B134" s="3" t="s">
        <v>268</v>
      </c>
      <c r="C134" s="4" t="s">
        <v>726</v>
      </c>
      <c r="D134" s="3" t="s">
        <v>727</v>
      </c>
      <c r="E134" s="4" t="s">
        <v>133</v>
      </c>
      <c r="F134" s="3" t="s">
        <v>193</v>
      </c>
      <c r="G134" s="8">
        <v>1.85</v>
      </c>
      <c r="H134" s="3" t="s">
        <v>128</v>
      </c>
      <c r="I134" s="3">
        <v>3217</v>
      </c>
      <c r="J134" s="3">
        <v>1535</v>
      </c>
      <c r="K134" s="3">
        <v>1682</v>
      </c>
      <c r="L134" s="3" t="s">
        <v>879</v>
      </c>
    </row>
    <row r="135" spans="1:12" x14ac:dyDescent="0.25">
      <c r="A135" s="3" t="s">
        <v>728</v>
      </c>
      <c r="B135" s="3" t="s">
        <v>132</v>
      </c>
      <c r="C135" s="4" t="s">
        <v>729</v>
      </c>
      <c r="D135" s="3" t="s">
        <v>730</v>
      </c>
      <c r="E135" s="4" t="s">
        <v>731</v>
      </c>
      <c r="F135" s="3" t="s">
        <v>732</v>
      </c>
      <c r="G135" s="8">
        <v>1.85</v>
      </c>
      <c r="H135" s="3" t="s">
        <v>128</v>
      </c>
      <c r="I135" s="3">
        <v>3211</v>
      </c>
      <c r="J135" s="3">
        <v>1502</v>
      </c>
      <c r="K135" s="3">
        <v>1709</v>
      </c>
      <c r="L135" s="3" t="s">
        <v>879</v>
      </c>
    </row>
    <row r="136" spans="1:12" x14ac:dyDescent="0.25">
      <c r="A136" s="3" t="s">
        <v>97</v>
      </c>
      <c r="B136" s="3" t="s">
        <v>138</v>
      </c>
      <c r="C136" s="4" t="s">
        <v>733</v>
      </c>
      <c r="D136" s="3" t="s">
        <v>734</v>
      </c>
      <c r="E136" s="4" t="s">
        <v>735</v>
      </c>
      <c r="F136" s="3" t="s">
        <v>191</v>
      </c>
      <c r="G136" s="8">
        <v>1.85</v>
      </c>
      <c r="H136" s="3" t="s">
        <v>131</v>
      </c>
      <c r="I136" s="3">
        <v>1119</v>
      </c>
      <c r="J136" s="3">
        <v>478</v>
      </c>
      <c r="K136" s="3">
        <v>641</v>
      </c>
      <c r="L136" s="3" t="s">
        <v>879</v>
      </c>
    </row>
    <row r="137" spans="1:12" x14ac:dyDescent="0.25">
      <c r="A137" s="3" t="s">
        <v>94</v>
      </c>
      <c r="B137" s="3" t="s">
        <v>141</v>
      </c>
      <c r="C137" s="4" t="s">
        <v>736</v>
      </c>
      <c r="D137" s="3" t="s">
        <v>737</v>
      </c>
      <c r="E137" s="4" t="s">
        <v>738</v>
      </c>
      <c r="F137" s="3" t="s">
        <v>203</v>
      </c>
      <c r="G137" s="8">
        <v>1.85</v>
      </c>
      <c r="H137" s="3" t="s">
        <v>131</v>
      </c>
      <c r="I137" s="3">
        <v>1097</v>
      </c>
      <c r="J137" s="3">
        <v>489</v>
      </c>
      <c r="K137" s="3">
        <v>608</v>
      </c>
      <c r="L137" s="3" t="s">
        <v>879</v>
      </c>
    </row>
    <row r="138" spans="1:12" x14ac:dyDescent="0.25">
      <c r="A138" s="3" t="s">
        <v>739</v>
      </c>
      <c r="B138" s="3" t="s">
        <v>141</v>
      </c>
      <c r="C138" s="4" t="s">
        <v>740</v>
      </c>
      <c r="D138" s="3" t="s">
        <v>741</v>
      </c>
      <c r="E138" s="4" t="s">
        <v>206</v>
      </c>
      <c r="F138" s="3" t="s">
        <v>183</v>
      </c>
      <c r="G138" s="8">
        <v>1.85</v>
      </c>
      <c r="H138" s="3" t="s">
        <v>131</v>
      </c>
      <c r="I138" s="3">
        <v>1401</v>
      </c>
      <c r="J138" s="3">
        <v>651</v>
      </c>
      <c r="K138" s="3">
        <v>751</v>
      </c>
      <c r="L138" s="3" t="s">
        <v>879</v>
      </c>
    </row>
    <row r="139" spans="1:12" x14ac:dyDescent="0.25">
      <c r="A139" s="3" t="s">
        <v>742</v>
      </c>
      <c r="B139" s="3" t="s">
        <v>141</v>
      </c>
      <c r="C139" s="4" t="s">
        <v>743</v>
      </c>
      <c r="D139" s="3" t="s">
        <v>744</v>
      </c>
      <c r="E139" s="4" t="s">
        <v>745</v>
      </c>
      <c r="F139" s="3" t="s">
        <v>234</v>
      </c>
      <c r="G139" s="8">
        <v>1.85</v>
      </c>
      <c r="H139" s="3" t="s">
        <v>131</v>
      </c>
      <c r="I139" s="3">
        <v>1380</v>
      </c>
      <c r="J139" s="3">
        <v>584</v>
      </c>
      <c r="K139" s="3">
        <v>797</v>
      </c>
      <c r="L139" s="3" t="s">
        <v>879</v>
      </c>
    </row>
    <row r="140" spans="1:12" x14ac:dyDescent="0.25">
      <c r="A140" s="3" t="s">
        <v>746</v>
      </c>
      <c r="B140" s="3" t="s">
        <v>138</v>
      </c>
      <c r="C140" s="4" t="s">
        <v>747</v>
      </c>
      <c r="D140" s="3" t="s">
        <v>748</v>
      </c>
      <c r="E140" s="4" t="s">
        <v>293</v>
      </c>
      <c r="F140" s="3" t="s">
        <v>151</v>
      </c>
      <c r="G140" s="8">
        <v>1.85</v>
      </c>
      <c r="H140" s="3" t="s">
        <v>131</v>
      </c>
      <c r="I140" s="3">
        <v>1648</v>
      </c>
      <c r="J140" s="3">
        <v>725</v>
      </c>
      <c r="K140" s="3">
        <v>922</v>
      </c>
      <c r="L140" s="3" t="s">
        <v>879</v>
      </c>
    </row>
    <row r="141" spans="1:12" x14ac:dyDescent="0.25">
      <c r="A141" s="3" t="s">
        <v>749</v>
      </c>
      <c r="B141" s="3" t="s">
        <v>155</v>
      </c>
      <c r="C141" s="4" t="s">
        <v>750</v>
      </c>
      <c r="D141" s="3" t="s">
        <v>751</v>
      </c>
      <c r="E141" s="4" t="s">
        <v>752</v>
      </c>
      <c r="F141" s="3" t="s">
        <v>183</v>
      </c>
      <c r="G141" s="8">
        <v>1.83</v>
      </c>
      <c r="H141" s="3" t="s">
        <v>131</v>
      </c>
      <c r="I141" s="3">
        <v>1692</v>
      </c>
      <c r="J141" s="3">
        <v>770</v>
      </c>
      <c r="K141" s="3">
        <v>921</v>
      </c>
      <c r="L141" s="3" t="s">
        <v>879</v>
      </c>
    </row>
    <row r="142" spans="1:12" x14ac:dyDescent="0.25">
      <c r="A142" s="3" t="s">
        <v>753</v>
      </c>
      <c r="B142" s="3" t="s">
        <v>754</v>
      </c>
      <c r="C142" s="4" t="s">
        <v>755</v>
      </c>
      <c r="D142" s="3" t="s">
        <v>169</v>
      </c>
      <c r="E142" s="4" t="s">
        <v>383</v>
      </c>
      <c r="F142" s="3" t="s">
        <v>181</v>
      </c>
      <c r="G142" s="8">
        <v>1.8</v>
      </c>
      <c r="H142" s="3" t="s">
        <v>149</v>
      </c>
      <c r="I142" s="3">
        <v>1688</v>
      </c>
      <c r="J142" s="3">
        <v>828</v>
      </c>
      <c r="K142" s="3">
        <v>860</v>
      </c>
      <c r="L142" s="3" t="s">
        <v>879</v>
      </c>
    </row>
    <row r="143" spans="1:12" x14ac:dyDescent="0.25">
      <c r="A143" s="3" t="s">
        <v>756</v>
      </c>
      <c r="B143" s="3" t="s">
        <v>141</v>
      </c>
      <c r="C143" s="4" t="s">
        <v>757</v>
      </c>
      <c r="D143" s="3" t="s">
        <v>426</v>
      </c>
      <c r="E143" s="4" t="s">
        <v>758</v>
      </c>
      <c r="F143" s="3" t="s">
        <v>298</v>
      </c>
      <c r="G143" s="8">
        <v>1.8</v>
      </c>
      <c r="H143" s="3" t="s">
        <v>131</v>
      </c>
      <c r="I143" s="3">
        <v>1436</v>
      </c>
      <c r="J143" s="3">
        <v>703</v>
      </c>
      <c r="K143" s="3">
        <v>733</v>
      </c>
      <c r="L143" s="3" t="s">
        <v>879</v>
      </c>
    </row>
    <row r="144" spans="1:12" x14ac:dyDescent="0.25">
      <c r="A144" s="3" t="s">
        <v>92</v>
      </c>
      <c r="B144" s="3" t="s">
        <v>759</v>
      </c>
      <c r="C144" s="4" t="s">
        <v>760</v>
      </c>
      <c r="D144" s="3" t="s">
        <v>761</v>
      </c>
      <c r="E144" s="4" t="s">
        <v>762</v>
      </c>
      <c r="F144" s="3" t="s">
        <v>148</v>
      </c>
      <c r="G144" s="8">
        <v>1.8</v>
      </c>
      <c r="H144" s="3" t="s">
        <v>149</v>
      </c>
      <c r="I144" s="3">
        <v>2399</v>
      </c>
      <c r="J144" s="3">
        <v>1106</v>
      </c>
      <c r="K144" s="3">
        <v>1293</v>
      </c>
      <c r="L144" s="3" t="s">
        <v>879</v>
      </c>
    </row>
    <row r="145" spans="1:12" x14ac:dyDescent="0.25">
      <c r="A145" s="3" t="s">
        <v>87</v>
      </c>
      <c r="B145" s="3" t="s">
        <v>233</v>
      </c>
      <c r="C145" s="4" t="s">
        <v>763</v>
      </c>
      <c r="D145" s="3" t="s">
        <v>764</v>
      </c>
      <c r="E145" s="4" t="s">
        <v>172</v>
      </c>
      <c r="F145" s="3" t="s">
        <v>173</v>
      </c>
      <c r="G145" s="8">
        <v>1.8</v>
      </c>
      <c r="H145" s="3" t="s">
        <v>131</v>
      </c>
      <c r="I145" s="3">
        <v>1811</v>
      </c>
      <c r="J145" s="3">
        <v>815</v>
      </c>
      <c r="K145" s="3">
        <v>996</v>
      </c>
      <c r="L145" s="3" t="s">
        <v>879</v>
      </c>
    </row>
    <row r="146" spans="1:12" x14ac:dyDescent="0.25">
      <c r="A146" s="3" t="s">
        <v>765</v>
      </c>
      <c r="B146" s="3" t="s">
        <v>141</v>
      </c>
      <c r="C146" s="4" t="s">
        <v>766</v>
      </c>
      <c r="D146" s="3" t="s">
        <v>767</v>
      </c>
      <c r="E146" s="4" t="s">
        <v>310</v>
      </c>
      <c r="F146" s="3" t="s">
        <v>130</v>
      </c>
      <c r="G146" s="8">
        <v>1.8</v>
      </c>
      <c r="H146" s="3" t="s">
        <v>128</v>
      </c>
      <c r="I146" s="3">
        <v>3258</v>
      </c>
      <c r="J146" s="3">
        <v>1528</v>
      </c>
      <c r="K146" s="3">
        <v>1730</v>
      </c>
      <c r="L146" s="3" t="s">
        <v>879</v>
      </c>
    </row>
    <row r="147" spans="1:12" x14ac:dyDescent="0.25">
      <c r="A147" s="3" t="s">
        <v>768</v>
      </c>
      <c r="B147" s="3" t="s">
        <v>177</v>
      </c>
      <c r="C147" s="4" t="s">
        <v>769</v>
      </c>
      <c r="D147" s="3" t="s">
        <v>770</v>
      </c>
      <c r="E147" s="4" t="s">
        <v>186</v>
      </c>
      <c r="F147" s="3" t="s">
        <v>771</v>
      </c>
      <c r="G147" s="8">
        <v>1.8</v>
      </c>
      <c r="H147" s="3" t="s">
        <v>128</v>
      </c>
      <c r="I147" s="3">
        <v>3009</v>
      </c>
      <c r="J147" s="3">
        <v>1393</v>
      </c>
      <c r="K147" s="3">
        <v>1616</v>
      </c>
      <c r="L147" s="3" t="s">
        <v>879</v>
      </c>
    </row>
    <row r="148" spans="1:12" x14ac:dyDescent="0.25">
      <c r="A148" s="3" t="s">
        <v>772</v>
      </c>
      <c r="B148" s="3" t="s">
        <v>773</v>
      </c>
      <c r="C148" s="4" t="s">
        <v>413</v>
      </c>
      <c r="D148" s="3" t="s">
        <v>619</v>
      </c>
      <c r="E148" s="4" t="s">
        <v>774</v>
      </c>
      <c r="F148" s="3" t="s">
        <v>173</v>
      </c>
      <c r="G148" s="8">
        <v>1.8</v>
      </c>
      <c r="H148" s="3" t="s">
        <v>131</v>
      </c>
      <c r="I148" s="3">
        <v>1069</v>
      </c>
      <c r="J148" s="3">
        <v>485</v>
      </c>
      <c r="K148" s="3">
        <v>584</v>
      </c>
      <c r="L148" s="3" t="s">
        <v>879</v>
      </c>
    </row>
    <row r="149" spans="1:12" x14ac:dyDescent="0.25">
      <c r="A149" s="3" t="s">
        <v>775</v>
      </c>
      <c r="B149" s="3" t="s">
        <v>141</v>
      </c>
      <c r="C149" s="4" t="s">
        <v>776</v>
      </c>
      <c r="D149" s="3" t="s">
        <v>777</v>
      </c>
      <c r="E149" s="4" t="s">
        <v>778</v>
      </c>
      <c r="F149" s="3" t="s">
        <v>234</v>
      </c>
      <c r="G149" s="8">
        <v>1.8</v>
      </c>
      <c r="H149" s="3" t="s">
        <v>131</v>
      </c>
      <c r="I149" s="3">
        <v>1711</v>
      </c>
      <c r="J149" s="3">
        <v>755</v>
      </c>
      <c r="K149" s="3">
        <v>956</v>
      </c>
      <c r="L149" s="3" t="s">
        <v>879</v>
      </c>
    </row>
    <row r="150" spans="1:12" x14ac:dyDescent="0.25">
      <c r="A150" s="3" t="s">
        <v>779</v>
      </c>
      <c r="B150" s="3" t="s">
        <v>141</v>
      </c>
      <c r="C150" s="4" t="s">
        <v>780</v>
      </c>
      <c r="D150" s="3" t="s">
        <v>781</v>
      </c>
      <c r="E150" s="4" t="s">
        <v>782</v>
      </c>
      <c r="F150" s="3" t="s">
        <v>527</v>
      </c>
      <c r="G150" s="8">
        <v>1.8</v>
      </c>
      <c r="H150" s="3" t="s">
        <v>131</v>
      </c>
      <c r="I150" s="3">
        <v>11454</v>
      </c>
      <c r="J150" s="3">
        <v>5561</v>
      </c>
      <c r="K150" s="3">
        <v>5892</v>
      </c>
      <c r="L150" s="3" t="s">
        <v>879</v>
      </c>
    </row>
    <row r="151" spans="1:12" x14ac:dyDescent="0.25">
      <c r="A151" s="3" t="s">
        <v>783</v>
      </c>
      <c r="B151" s="3" t="s">
        <v>141</v>
      </c>
      <c r="C151" s="4" t="s">
        <v>784</v>
      </c>
      <c r="D151" s="3" t="s">
        <v>169</v>
      </c>
      <c r="E151" s="4" t="s">
        <v>218</v>
      </c>
      <c r="F151" s="3" t="s">
        <v>151</v>
      </c>
      <c r="G151" s="8">
        <v>1.8</v>
      </c>
      <c r="H151" s="3" t="s">
        <v>131</v>
      </c>
      <c r="I151" s="3">
        <v>1496</v>
      </c>
      <c r="J151" s="3">
        <v>635</v>
      </c>
      <c r="K151" s="3">
        <v>861</v>
      </c>
      <c r="L151" s="3" t="s">
        <v>879</v>
      </c>
    </row>
    <row r="152" spans="1:12" x14ac:dyDescent="0.25">
      <c r="A152" s="3" t="s">
        <v>785</v>
      </c>
      <c r="B152" s="3" t="s">
        <v>163</v>
      </c>
      <c r="C152" s="4" t="s">
        <v>786</v>
      </c>
      <c r="D152" s="3" t="s">
        <v>787</v>
      </c>
      <c r="E152" s="4" t="s">
        <v>406</v>
      </c>
      <c r="F152" s="3" t="s">
        <v>151</v>
      </c>
      <c r="G152" s="8">
        <v>1.79</v>
      </c>
      <c r="H152" s="3" t="s">
        <v>131</v>
      </c>
      <c r="I152" s="3">
        <v>1910</v>
      </c>
      <c r="J152" s="3">
        <v>857</v>
      </c>
      <c r="K152" s="3">
        <v>1053</v>
      </c>
      <c r="L152" s="3" t="s">
        <v>879</v>
      </c>
    </row>
    <row r="153" spans="1:12" x14ac:dyDescent="0.25">
      <c r="A153" s="3" t="s">
        <v>788</v>
      </c>
      <c r="B153" s="3" t="s">
        <v>163</v>
      </c>
      <c r="C153" s="4" t="s">
        <v>789</v>
      </c>
      <c r="D153" s="3" t="s">
        <v>790</v>
      </c>
      <c r="E153" s="4" t="s">
        <v>293</v>
      </c>
      <c r="F153" s="3" t="s">
        <v>214</v>
      </c>
      <c r="G153" s="8">
        <v>1.78</v>
      </c>
      <c r="H153" s="3" t="s">
        <v>128</v>
      </c>
      <c r="I153" s="3">
        <v>1120</v>
      </c>
      <c r="J153" s="3">
        <v>494</v>
      </c>
      <c r="K153" s="3">
        <v>626</v>
      </c>
      <c r="L153" s="3" t="s">
        <v>879</v>
      </c>
    </row>
    <row r="154" spans="1:12" x14ac:dyDescent="0.25">
      <c r="A154" s="3" t="s">
        <v>95</v>
      </c>
      <c r="B154" s="3" t="s">
        <v>220</v>
      </c>
      <c r="C154" s="4" t="s">
        <v>791</v>
      </c>
      <c r="D154" s="3" t="s">
        <v>792</v>
      </c>
      <c r="E154" s="4" t="s">
        <v>793</v>
      </c>
      <c r="F154" s="3" t="s">
        <v>203</v>
      </c>
      <c r="G154" s="8">
        <v>1.77</v>
      </c>
      <c r="H154" s="3" t="s">
        <v>128</v>
      </c>
      <c r="I154" s="3">
        <v>2405</v>
      </c>
      <c r="J154" s="3">
        <v>1120</v>
      </c>
      <c r="K154" s="3">
        <v>1285</v>
      </c>
      <c r="L154" s="3" t="s">
        <v>879</v>
      </c>
    </row>
    <row r="155" spans="1:12" x14ac:dyDescent="0.25">
      <c r="A155" s="3" t="s">
        <v>794</v>
      </c>
      <c r="B155" s="3" t="s">
        <v>141</v>
      </c>
      <c r="C155" s="4" t="s">
        <v>265</v>
      </c>
      <c r="D155" s="3" t="s">
        <v>795</v>
      </c>
      <c r="E155" s="4" t="s">
        <v>182</v>
      </c>
      <c r="F155" s="3" t="s">
        <v>151</v>
      </c>
      <c r="G155" s="8">
        <v>1.75</v>
      </c>
      <c r="H155" s="3" t="s">
        <v>131</v>
      </c>
      <c r="I155" s="3">
        <v>696</v>
      </c>
      <c r="J155" s="3">
        <v>305</v>
      </c>
      <c r="K155" s="3">
        <v>391</v>
      </c>
      <c r="L155" s="3" t="s">
        <v>879</v>
      </c>
    </row>
    <row r="156" spans="1:12" x14ac:dyDescent="0.25">
      <c r="A156" s="3" t="s">
        <v>71</v>
      </c>
      <c r="B156" s="3" t="s">
        <v>236</v>
      </c>
      <c r="C156" s="4" t="s">
        <v>796</v>
      </c>
      <c r="D156" s="3" t="s">
        <v>179</v>
      </c>
      <c r="E156" s="4" t="s">
        <v>145</v>
      </c>
      <c r="F156" s="3" t="s">
        <v>222</v>
      </c>
      <c r="G156" s="8">
        <v>1.75</v>
      </c>
      <c r="H156" s="3" t="s">
        <v>128</v>
      </c>
      <c r="I156" s="3">
        <v>3956</v>
      </c>
      <c r="J156" s="3">
        <v>1897</v>
      </c>
      <c r="K156" s="3">
        <v>2059</v>
      </c>
      <c r="L156" s="3" t="s">
        <v>879</v>
      </c>
    </row>
    <row r="157" spans="1:12" x14ac:dyDescent="0.25">
      <c r="A157" s="3" t="s">
        <v>797</v>
      </c>
      <c r="B157" s="3" t="s">
        <v>192</v>
      </c>
      <c r="C157" s="4" t="s">
        <v>798</v>
      </c>
      <c r="D157" s="3" t="s">
        <v>232</v>
      </c>
      <c r="E157" s="4" t="s">
        <v>799</v>
      </c>
      <c r="F157" s="3" t="s">
        <v>193</v>
      </c>
      <c r="G157" s="8">
        <v>1.7</v>
      </c>
      <c r="H157" s="3" t="s">
        <v>128</v>
      </c>
      <c r="I157" s="3">
        <v>2466</v>
      </c>
      <c r="J157" s="3">
        <v>1238</v>
      </c>
      <c r="K157" s="3">
        <v>1228</v>
      </c>
      <c r="L157" s="3" t="s">
        <v>879</v>
      </c>
    </row>
    <row r="158" spans="1:12" x14ac:dyDescent="0.25">
      <c r="A158" s="3" t="s">
        <v>800</v>
      </c>
      <c r="B158" s="3" t="s">
        <v>152</v>
      </c>
      <c r="C158" s="4" t="s">
        <v>801</v>
      </c>
      <c r="D158" s="3" t="s">
        <v>802</v>
      </c>
      <c r="E158" s="4" t="s">
        <v>458</v>
      </c>
      <c r="F158" s="3" t="s">
        <v>151</v>
      </c>
      <c r="G158" s="8">
        <v>1.7</v>
      </c>
      <c r="H158" s="3" t="s">
        <v>131</v>
      </c>
      <c r="I158" s="3">
        <v>1266</v>
      </c>
      <c r="J158" s="3">
        <v>574</v>
      </c>
      <c r="K158" s="3">
        <v>692</v>
      </c>
      <c r="L158" s="3" t="s">
        <v>879</v>
      </c>
    </row>
    <row r="159" spans="1:12" x14ac:dyDescent="0.25">
      <c r="A159" s="3" t="s">
        <v>803</v>
      </c>
      <c r="B159" s="3" t="s">
        <v>141</v>
      </c>
      <c r="C159" s="4" t="s">
        <v>804</v>
      </c>
      <c r="D159" s="3" t="s">
        <v>805</v>
      </c>
      <c r="E159" s="4" t="s">
        <v>208</v>
      </c>
      <c r="F159" s="3" t="s">
        <v>173</v>
      </c>
      <c r="G159" s="8">
        <v>1.7</v>
      </c>
      <c r="H159" s="3" t="s">
        <v>131</v>
      </c>
      <c r="I159" s="3">
        <v>848</v>
      </c>
      <c r="J159" s="3">
        <v>397</v>
      </c>
      <c r="K159" s="3">
        <v>451</v>
      </c>
      <c r="L159" s="3" t="s">
        <v>879</v>
      </c>
    </row>
    <row r="160" spans="1:12" x14ac:dyDescent="0.25">
      <c r="A160" s="3" t="s">
        <v>806</v>
      </c>
      <c r="B160" s="3" t="s">
        <v>220</v>
      </c>
      <c r="C160" s="4" t="s">
        <v>807</v>
      </c>
      <c r="D160" s="3" t="s">
        <v>808</v>
      </c>
      <c r="E160" s="4" t="s">
        <v>565</v>
      </c>
      <c r="F160" s="3" t="s">
        <v>224</v>
      </c>
      <c r="G160" s="8">
        <v>1.7</v>
      </c>
      <c r="H160" s="3" t="s">
        <v>144</v>
      </c>
      <c r="I160" s="3">
        <v>762</v>
      </c>
      <c r="J160" s="3">
        <v>403</v>
      </c>
      <c r="K160" s="3">
        <v>359</v>
      </c>
      <c r="L160" s="3" t="s">
        <v>879</v>
      </c>
    </row>
    <row r="161" spans="1:12" x14ac:dyDescent="0.25">
      <c r="A161" s="3" t="s">
        <v>809</v>
      </c>
      <c r="B161" s="3" t="s">
        <v>141</v>
      </c>
      <c r="C161" s="4" t="s">
        <v>810</v>
      </c>
      <c r="D161" s="3" t="s">
        <v>811</v>
      </c>
      <c r="E161" s="4" t="s">
        <v>812</v>
      </c>
      <c r="F161" s="3" t="s">
        <v>298</v>
      </c>
      <c r="G161" s="8">
        <v>1.7</v>
      </c>
      <c r="H161" s="3" t="s">
        <v>128</v>
      </c>
      <c r="I161" s="3">
        <v>4018</v>
      </c>
      <c r="J161" s="3">
        <v>1916</v>
      </c>
      <c r="K161" s="3">
        <v>2102</v>
      </c>
      <c r="L161" s="3" t="s">
        <v>879</v>
      </c>
    </row>
    <row r="162" spans="1:12" x14ac:dyDescent="0.25">
      <c r="A162" s="3" t="s">
        <v>813</v>
      </c>
      <c r="B162" s="3" t="s">
        <v>163</v>
      </c>
      <c r="C162" s="4" t="s">
        <v>210</v>
      </c>
      <c r="D162" s="3" t="s">
        <v>814</v>
      </c>
      <c r="E162" s="4" t="s">
        <v>180</v>
      </c>
      <c r="F162" s="3" t="s">
        <v>229</v>
      </c>
      <c r="G162" s="8">
        <v>1.65</v>
      </c>
      <c r="H162" s="3" t="s">
        <v>128</v>
      </c>
      <c r="I162" s="3">
        <v>7161</v>
      </c>
      <c r="J162" s="3">
        <v>3421</v>
      </c>
      <c r="K162" s="3">
        <v>3740</v>
      </c>
      <c r="L162" s="3" t="s">
        <v>879</v>
      </c>
    </row>
    <row r="163" spans="1:12" x14ac:dyDescent="0.25">
      <c r="A163" s="3" t="s">
        <v>815</v>
      </c>
      <c r="B163" s="3" t="s">
        <v>141</v>
      </c>
      <c r="C163" s="4" t="s">
        <v>816</v>
      </c>
      <c r="D163" s="3" t="s">
        <v>817</v>
      </c>
      <c r="E163" s="4" t="s">
        <v>818</v>
      </c>
      <c r="F163" s="3" t="s">
        <v>203</v>
      </c>
      <c r="G163" s="8">
        <v>1.65</v>
      </c>
      <c r="H163" s="3" t="s">
        <v>131</v>
      </c>
      <c r="I163" s="3">
        <v>632</v>
      </c>
      <c r="J163" s="3">
        <v>284</v>
      </c>
      <c r="K163" s="3">
        <v>347</v>
      </c>
      <c r="L163" s="3" t="s">
        <v>879</v>
      </c>
    </row>
    <row r="164" spans="1:12" x14ac:dyDescent="0.25">
      <c r="A164" s="3" t="s">
        <v>819</v>
      </c>
      <c r="B164" s="3" t="s">
        <v>163</v>
      </c>
      <c r="C164" s="4" t="s">
        <v>820</v>
      </c>
      <c r="D164" s="3" t="s">
        <v>392</v>
      </c>
      <c r="E164" s="4" t="s">
        <v>821</v>
      </c>
      <c r="F164" s="3" t="s">
        <v>203</v>
      </c>
      <c r="G164" s="8">
        <v>1.6</v>
      </c>
      <c r="H164" s="3" t="s">
        <v>131</v>
      </c>
      <c r="I164" s="3">
        <v>926</v>
      </c>
      <c r="J164" s="3">
        <v>404</v>
      </c>
      <c r="K164" s="3">
        <v>522</v>
      </c>
      <c r="L164" s="3" t="s">
        <v>879</v>
      </c>
    </row>
    <row r="165" spans="1:12" x14ac:dyDescent="0.25">
      <c r="A165" s="3" t="s">
        <v>822</v>
      </c>
      <c r="B165" s="3" t="s">
        <v>823</v>
      </c>
      <c r="C165" s="4" t="s">
        <v>824</v>
      </c>
      <c r="D165" s="3" t="s">
        <v>825</v>
      </c>
      <c r="E165" s="4" t="s">
        <v>826</v>
      </c>
      <c r="F165" s="3" t="s">
        <v>827</v>
      </c>
      <c r="G165" s="8">
        <v>1.6</v>
      </c>
      <c r="H165" s="3" t="s">
        <v>131</v>
      </c>
      <c r="I165" s="3">
        <v>5941</v>
      </c>
      <c r="J165" s="3">
        <v>2806</v>
      </c>
      <c r="K165" s="3">
        <v>3134</v>
      </c>
      <c r="L165" s="3" t="s">
        <v>879</v>
      </c>
    </row>
    <row r="166" spans="1:12" x14ac:dyDescent="0.25">
      <c r="A166" s="3" t="s">
        <v>828</v>
      </c>
      <c r="B166" s="3" t="s">
        <v>192</v>
      </c>
      <c r="C166" s="4" t="s">
        <v>829</v>
      </c>
      <c r="D166" s="3" t="s">
        <v>830</v>
      </c>
      <c r="E166" s="4" t="s">
        <v>157</v>
      </c>
      <c r="F166" s="3" t="s">
        <v>203</v>
      </c>
      <c r="G166" s="8">
        <v>1.6</v>
      </c>
      <c r="H166" s="3" t="s">
        <v>128</v>
      </c>
      <c r="I166" s="3">
        <v>2396</v>
      </c>
      <c r="J166" s="3">
        <v>1113</v>
      </c>
      <c r="K166" s="3">
        <v>1283</v>
      </c>
      <c r="L166" s="3" t="s">
        <v>879</v>
      </c>
    </row>
    <row r="167" spans="1:12" x14ac:dyDescent="0.25">
      <c r="A167" s="3" t="s">
        <v>85</v>
      </c>
      <c r="B167" s="3" t="s">
        <v>163</v>
      </c>
      <c r="C167" s="4" t="s">
        <v>831</v>
      </c>
      <c r="D167" s="3" t="s">
        <v>832</v>
      </c>
      <c r="E167" s="4" t="s">
        <v>833</v>
      </c>
      <c r="F167" s="3" t="s">
        <v>148</v>
      </c>
      <c r="G167" s="8">
        <v>1.6</v>
      </c>
      <c r="H167" s="3" t="s">
        <v>131</v>
      </c>
      <c r="I167" s="3">
        <v>993</v>
      </c>
      <c r="J167" s="3">
        <v>469</v>
      </c>
      <c r="K167" s="3">
        <v>524</v>
      </c>
      <c r="L167" s="3" t="s">
        <v>879</v>
      </c>
    </row>
    <row r="168" spans="1:12" x14ac:dyDescent="0.25">
      <c r="A168" s="3" t="s">
        <v>79</v>
      </c>
      <c r="B168" s="3" t="s">
        <v>141</v>
      </c>
      <c r="C168" s="4" t="s">
        <v>834</v>
      </c>
      <c r="D168" s="3" t="s">
        <v>430</v>
      </c>
      <c r="E168" s="4" t="s">
        <v>835</v>
      </c>
      <c r="F168" s="3" t="s">
        <v>276</v>
      </c>
      <c r="G168" s="8">
        <v>1.56</v>
      </c>
      <c r="H168" s="3" t="s">
        <v>128</v>
      </c>
      <c r="I168" s="3">
        <v>1210</v>
      </c>
      <c r="J168" s="3">
        <v>673</v>
      </c>
      <c r="K168" s="3">
        <v>537</v>
      </c>
      <c r="L168" s="3" t="s">
        <v>879</v>
      </c>
    </row>
    <row r="169" spans="1:12" x14ac:dyDescent="0.25">
      <c r="A169" s="3" t="s">
        <v>74</v>
      </c>
      <c r="B169" s="3" t="s">
        <v>163</v>
      </c>
      <c r="C169" s="4" t="s">
        <v>836</v>
      </c>
      <c r="D169" s="3" t="s">
        <v>837</v>
      </c>
      <c r="E169" s="4" t="s">
        <v>159</v>
      </c>
      <c r="F169" s="3" t="s">
        <v>838</v>
      </c>
      <c r="G169" s="8">
        <v>1.55</v>
      </c>
      <c r="H169" s="3" t="s">
        <v>144</v>
      </c>
      <c r="I169" s="3">
        <v>1397</v>
      </c>
      <c r="J169" s="3">
        <v>627</v>
      </c>
      <c r="K169" s="3">
        <v>770</v>
      </c>
      <c r="L169" s="3" t="s">
        <v>879</v>
      </c>
    </row>
    <row r="170" spans="1:12" x14ac:dyDescent="0.25">
      <c r="A170" s="3" t="s">
        <v>839</v>
      </c>
      <c r="B170" s="3" t="s">
        <v>163</v>
      </c>
      <c r="C170" s="4" t="s">
        <v>840</v>
      </c>
      <c r="D170" s="3" t="s">
        <v>841</v>
      </c>
      <c r="E170" s="4" t="s">
        <v>182</v>
      </c>
      <c r="F170" s="3" t="s">
        <v>234</v>
      </c>
      <c r="G170" s="8">
        <v>1.54</v>
      </c>
      <c r="H170" s="3" t="s">
        <v>131</v>
      </c>
      <c r="I170" s="3">
        <v>1530</v>
      </c>
      <c r="J170" s="3">
        <v>745</v>
      </c>
      <c r="K170" s="3">
        <v>784</v>
      </c>
      <c r="L170" s="3" t="s">
        <v>879</v>
      </c>
    </row>
    <row r="171" spans="1:12" x14ac:dyDescent="0.25">
      <c r="A171" s="3" t="s">
        <v>842</v>
      </c>
      <c r="B171" s="3" t="s">
        <v>141</v>
      </c>
      <c r="C171" s="4" t="s">
        <v>843</v>
      </c>
      <c r="D171" s="3" t="s">
        <v>844</v>
      </c>
      <c r="E171" s="4" t="s">
        <v>845</v>
      </c>
      <c r="F171" s="3" t="s">
        <v>846</v>
      </c>
      <c r="G171" s="8">
        <v>1.52</v>
      </c>
      <c r="H171" s="3" t="s">
        <v>128</v>
      </c>
      <c r="I171" s="3">
        <v>1365</v>
      </c>
      <c r="J171" s="3">
        <v>688</v>
      </c>
      <c r="K171" s="3">
        <v>677</v>
      </c>
      <c r="L171" s="3" t="s">
        <v>879</v>
      </c>
    </row>
    <row r="172" spans="1:12" x14ac:dyDescent="0.25">
      <c r="A172" s="3" t="s">
        <v>847</v>
      </c>
      <c r="B172" s="3" t="s">
        <v>141</v>
      </c>
      <c r="C172" s="4" t="s">
        <v>848</v>
      </c>
      <c r="D172" s="3" t="s">
        <v>849</v>
      </c>
      <c r="E172" s="4" t="s">
        <v>137</v>
      </c>
      <c r="F172" s="3" t="s">
        <v>199</v>
      </c>
      <c r="G172" s="8">
        <v>1.5</v>
      </c>
      <c r="H172" s="3" t="s">
        <v>131</v>
      </c>
      <c r="I172" s="3">
        <v>2317</v>
      </c>
      <c r="J172" s="3">
        <v>1092</v>
      </c>
      <c r="K172" s="3">
        <v>1225</v>
      </c>
      <c r="L172" s="3" t="s">
        <v>879</v>
      </c>
    </row>
    <row r="173" spans="1:12" x14ac:dyDescent="0.25">
      <c r="A173" s="3" t="s">
        <v>850</v>
      </c>
      <c r="B173" s="3" t="s">
        <v>138</v>
      </c>
      <c r="C173" s="4" t="s">
        <v>851</v>
      </c>
      <c r="D173" s="3" t="s">
        <v>852</v>
      </c>
      <c r="E173" s="4" t="s">
        <v>293</v>
      </c>
      <c r="F173" s="3" t="s">
        <v>191</v>
      </c>
      <c r="G173" s="8">
        <v>1.5</v>
      </c>
      <c r="H173" s="3" t="s">
        <v>131</v>
      </c>
      <c r="I173" s="3">
        <v>2127</v>
      </c>
      <c r="J173" s="3">
        <v>958</v>
      </c>
      <c r="K173" s="3">
        <v>1169</v>
      </c>
      <c r="L173" s="3" t="s">
        <v>879</v>
      </c>
    </row>
    <row r="174" spans="1:12" x14ac:dyDescent="0.25">
      <c r="A174" s="3" t="s">
        <v>853</v>
      </c>
      <c r="B174" s="3" t="s">
        <v>163</v>
      </c>
      <c r="C174" s="4" t="s">
        <v>854</v>
      </c>
      <c r="D174" s="3" t="s">
        <v>171</v>
      </c>
      <c r="E174" s="4" t="s">
        <v>320</v>
      </c>
      <c r="F174" s="3" t="s">
        <v>151</v>
      </c>
      <c r="G174" s="8">
        <v>1.5</v>
      </c>
      <c r="H174" s="3" t="s">
        <v>131</v>
      </c>
      <c r="I174" s="3">
        <v>502</v>
      </c>
      <c r="J174" s="3">
        <v>223</v>
      </c>
      <c r="K174" s="3">
        <v>279</v>
      </c>
      <c r="L174" s="3" t="s">
        <v>879</v>
      </c>
    </row>
    <row r="175" spans="1:12" x14ac:dyDescent="0.25">
      <c r="A175" s="3" t="s">
        <v>855</v>
      </c>
      <c r="B175" s="3" t="s">
        <v>163</v>
      </c>
      <c r="C175" s="4" t="s">
        <v>856</v>
      </c>
      <c r="D175" s="3" t="s">
        <v>857</v>
      </c>
      <c r="E175" s="4" t="s">
        <v>858</v>
      </c>
      <c r="F175" s="3" t="s">
        <v>214</v>
      </c>
      <c r="G175" s="8">
        <v>1.48</v>
      </c>
      <c r="H175" s="3" t="s">
        <v>131</v>
      </c>
      <c r="I175" s="3">
        <v>1358</v>
      </c>
      <c r="J175" s="3">
        <v>623</v>
      </c>
      <c r="K175" s="3">
        <v>735</v>
      </c>
      <c r="L175" s="3" t="s">
        <v>879</v>
      </c>
    </row>
    <row r="176" spans="1:12" x14ac:dyDescent="0.25">
      <c r="A176" s="3" t="s">
        <v>859</v>
      </c>
      <c r="B176" s="3" t="s">
        <v>227</v>
      </c>
      <c r="C176" s="4" t="s">
        <v>860</v>
      </c>
      <c r="D176" s="3" t="s">
        <v>861</v>
      </c>
      <c r="E176" s="4" t="s">
        <v>362</v>
      </c>
      <c r="F176" s="3" t="s">
        <v>205</v>
      </c>
      <c r="G176" s="8">
        <v>1.4</v>
      </c>
      <c r="H176" s="3" t="s">
        <v>144</v>
      </c>
      <c r="I176" s="3">
        <v>2239</v>
      </c>
      <c r="J176" s="3">
        <v>1107</v>
      </c>
      <c r="K176" s="3">
        <v>1131</v>
      </c>
      <c r="L176" s="3" t="s">
        <v>879</v>
      </c>
    </row>
    <row r="177" spans="1:12" x14ac:dyDescent="0.25">
      <c r="A177" s="3" t="s">
        <v>862</v>
      </c>
      <c r="B177" s="3" t="s">
        <v>773</v>
      </c>
      <c r="C177" s="4" t="s">
        <v>863</v>
      </c>
      <c r="D177" s="3" t="s">
        <v>864</v>
      </c>
      <c r="E177" s="4" t="s">
        <v>406</v>
      </c>
      <c r="F177" s="3" t="s">
        <v>214</v>
      </c>
      <c r="G177" s="8">
        <v>1.38</v>
      </c>
      <c r="H177" s="3" t="s">
        <v>131</v>
      </c>
      <c r="I177" s="3">
        <v>893</v>
      </c>
      <c r="J177" s="3">
        <v>419</v>
      </c>
      <c r="K177" s="3">
        <v>474</v>
      </c>
      <c r="L177" s="3" t="s">
        <v>879</v>
      </c>
    </row>
    <row r="178" spans="1:12" x14ac:dyDescent="0.25">
      <c r="A178" s="3" t="s">
        <v>865</v>
      </c>
      <c r="B178" s="3" t="s">
        <v>155</v>
      </c>
      <c r="C178" s="4" t="s">
        <v>866</v>
      </c>
      <c r="D178" s="3" t="s">
        <v>252</v>
      </c>
      <c r="E178" s="4" t="s">
        <v>293</v>
      </c>
      <c r="F178" s="3" t="s">
        <v>196</v>
      </c>
      <c r="G178" s="8">
        <v>1.38</v>
      </c>
      <c r="H178" s="3" t="s">
        <v>128</v>
      </c>
      <c r="I178" s="3">
        <v>474</v>
      </c>
      <c r="J178" s="3">
        <v>219</v>
      </c>
      <c r="K178" s="3">
        <v>255</v>
      </c>
      <c r="L178" s="3" t="s">
        <v>879</v>
      </c>
    </row>
    <row r="179" spans="1:12" x14ac:dyDescent="0.25">
      <c r="A179" s="3" t="s">
        <v>867</v>
      </c>
      <c r="B179" s="3" t="s">
        <v>163</v>
      </c>
      <c r="C179" s="4" t="s">
        <v>868</v>
      </c>
      <c r="D179" s="3" t="s">
        <v>382</v>
      </c>
      <c r="E179" s="4" t="s">
        <v>869</v>
      </c>
      <c r="F179" s="3" t="s">
        <v>173</v>
      </c>
      <c r="G179" s="8">
        <v>1.37</v>
      </c>
      <c r="H179" s="3" t="s">
        <v>131</v>
      </c>
      <c r="I179" s="3">
        <v>974</v>
      </c>
      <c r="J179" s="3">
        <v>436</v>
      </c>
      <c r="K179" s="3">
        <v>537</v>
      </c>
      <c r="L179" s="3" t="s">
        <v>879</v>
      </c>
    </row>
    <row r="180" spans="1:12" x14ac:dyDescent="0.25">
      <c r="A180" s="3" t="s">
        <v>870</v>
      </c>
      <c r="B180" s="3" t="s">
        <v>141</v>
      </c>
      <c r="C180" s="4" t="s">
        <v>871</v>
      </c>
      <c r="D180" s="3" t="s">
        <v>872</v>
      </c>
      <c r="E180" s="4" t="s">
        <v>873</v>
      </c>
      <c r="F180" s="3" t="s">
        <v>234</v>
      </c>
      <c r="G180" s="8">
        <v>1.35</v>
      </c>
      <c r="H180" s="3" t="s">
        <v>131</v>
      </c>
      <c r="I180" s="3">
        <v>1299</v>
      </c>
      <c r="J180" s="3">
        <v>607</v>
      </c>
      <c r="K180" s="3">
        <v>692</v>
      </c>
      <c r="L180" s="3" t="s">
        <v>879</v>
      </c>
    </row>
    <row r="181" spans="1:12" x14ac:dyDescent="0.25">
      <c r="A181" s="3" t="s">
        <v>58</v>
      </c>
      <c r="B181" s="3" t="s">
        <v>127</v>
      </c>
      <c r="C181" s="4" t="s">
        <v>874</v>
      </c>
      <c r="D181" s="3" t="s">
        <v>875</v>
      </c>
      <c r="E181" s="4" t="s">
        <v>186</v>
      </c>
      <c r="F181" s="3" t="s">
        <v>876</v>
      </c>
      <c r="G181" s="8">
        <v>1.3</v>
      </c>
      <c r="H181" s="3" t="s">
        <v>128</v>
      </c>
      <c r="I181" s="3">
        <v>1175</v>
      </c>
      <c r="J181" s="3">
        <v>569</v>
      </c>
      <c r="K181" s="3">
        <v>607</v>
      </c>
      <c r="L181" s="3" t="s">
        <v>879</v>
      </c>
    </row>
    <row r="182" spans="1:12" x14ac:dyDescent="0.25">
      <c r="A182" s="3" t="s">
        <v>880</v>
      </c>
      <c r="B182" s="3" t="s">
        <v>220</v>
      </c>
      <c r="C182" s="4" t="s">
        <v>881</v>
      </c>
      <c r="D182" s="3">
        <v>87</v>
      </c>
      <c r="E182" s="4" t="s">
        <v>882</v>
      </c>
      <c r="F182" s="3">
        <v>20</v>
      </c>
      <c r="G182" s="8">
        <v>2.4</v>
      </c>
      <c r="H182" s="3" t="s">
        <v>128</v>
      </c>
      <c r="I182" s="9">
        <v>1854.46</v>
      </c>
      <c r="J182" s="9">
        <v>906.07</v>
      </c>
      <c r="K182" s="9">
        <v>948.39</v>
      </c>
      <c r="L182" s="3" t="s">
        <v>883</v>
      </c>
    </row>
    <row r="183" spans="1:12" x14ac:dyDescent="0.25">
      <c r="A183" s="3" t="s">
        <v>884</v>
      </c>
      <c r="B183" s="3" t="s">
        <v>885</v>
      </c>
      <c r="C183" s="4" t="s">
        <v>886</v>
      </c>
      <c r="D183" s="3">
        <v>437</v>
      </c>
      <c r="E183" s="4" t="s">
        <v>887</v>
      </c>
      <c r="F183" s="3" t="s">
        <v>140</v>
      </c>
      <c r="G183" s="8">
        <v>2.2000000000000002</v>
      </c>
      <c r="H183" s="3" t="s">
        <v>128</v>
      </c>
      <c r="I183" s="9">
        <v>2081.9499999999998</v>
      </c>
      <c r="J183" s="9">
        <v>1033.54</v>
      </c>
      <c r="K183" s="9">
        <v>1048.4100000000001</v>
      </c>
      <c r="L183" s="3" t="s">
        <v>883</v>
      </c>
    </row>
    <row r="184" spans="1:12" x14ac:dyDescent="0.25">
      <c r="A184" s="3" t="s">
        <v>888</v>
      </c>
      <c r="B184" s="3" t="s">
        <v>141</v>
      </c>
      <c r="C184" s="4" t="s">
        <v>889</v>
      </c>
      <c r="D184" s="3">
        <v>88</v>
      </c>
      <c r="E184" s="4" t="s">
        <v>890</v>
      </c>
      <c r="F184" s="3">
        <v>16</v>
      </c>
      <c r="G184" s="8">
        <v>2</v>
      </c>
      <c r="H184" s="3" t="s">
        <v>128</v>
      </c>
      <c r="I184" s="9">
        <v>906.75</v>
      </c>
      <c r="J184" s="9">
        <v>449.88</v>
      </c>
      <c r="K184" s="9">
        <v>456.87</v>
      </c>
      <c r="L184" s="3" t="s">
        <v>883</v>
      </c>
    </row>
    <row r="185" spans="1:12" x14ac:dyDescent="0.25">
      <c r="A185" s="3" t="s">
        <v>891</v>
      </c>
      <c r="B185" s="3" t="s">
        <v>141</v>
      </c>
      <c r="C185" s="4" t="s">
        <v>892</v>
      </c>
      <c r="D185" s="3" t="s">
        <v>893</v>
      </c>
      <c r="E185" s="4" t="s">
        <v>894</v>
      </c>
      <c r="F185" s="3">
        <v>10</v>
      </c>
      <c r="G185" s="8">
        <v>1.94</v>
      </c>
      <c r="H185" s="3" t="s">
        <v>131</v>
      </c>
      <c r="I185" s="9">
        <v>2367.17</v>
      </c>
      <c r="J185" s="9">
        <v>1160.27</v>
      </c>
      <c r="K185" s="9">
        <v>1206.9000000000001</v>
      </c>
      <c r="L185" s="3" t="s">
        <v>883</v>
      </c>
    </row>
    <row r="186" spans="1:12" x14ac:dyDescent="0.25">
      <c r="A186" s="3" t="s">
        <v>895</v>
      </c>
      <c r="B186" s="3" t="s">
        <v>141</v>
      </c>
      <c r="C186" s="4" t="s">
        <v>896</v>
      </c>
      <c r="D186" s="3">
        <v>96</v>
      </c>
      <c r="E186" s="4" t="s">
        <v>897</v>
      </c>
      <c r="F186" s="3">
        <v>5</v>
      </c>
      <c r="G186" s="8">
        <v>1.6</v>
      </c>
      <c r="H186" s="3" t="s">
        <v>131</v>
      </c>
      <c r="I186" s="9">
        <v>498.87</v>
      </c>
      <c r="J186" s="9">
        <v>195.99</v>
      </c>
      <c r="K186" s="9">
        <v>302.88</v>
      </c>
      <c r="L186" s="3" t="s">
        <v>883</v>
      </c>
    </row>
    <row r="187" spans="1:12" x14ac:dyDescent="0.25">
      <c r="A187" s="3" t="s">
        <v>898</v>
      </c>
      <c r="B187" s="3" t="s">
        <v>147</v>
      </c>
      <c r="C187" s="4" t="s">
        <v>899</v>
      </c>
      <c r="D187" s="3">
        <v>191</v>
      </c>
      <c r="E187" s="4" t="s">
        <v>900</v>
      </c>
      <c r="F187" s="3">
        <v>16</v>
      </c>
      <c r="G187" s="8">
        <v>1.8049999999999999</v>
      </c>
      <c r="H187" s="3" t="s">
        <v>128</v>
      </c>
      <c r="I187" s="9">
        <v>2181.94</v>
      </c>
      <c r="J187" s="9">
        <v>1138.2</v>
      </c>
      <c r="K187" s="9">
        <v>1043.74</v>
      </c>
      <c r="L187" s="3" t="s">
        <v>883</v>
      </c>
    </row>
    <row r="188" spans="1:12" x14ac:dyDescent="0.25">
      <c r="A188" s="3" t="s">
        <v>901</v>
      </c>
      <c r="B188" s="3" t="s">
        <v>141</v>
      </c>
      <c r="C188" s="4" t="s">
        <v>902</v>
      </c>
      <c r="D188" s="3">
        <v>629</v>
      </c>
      <c r="E188" s="4" t="s">
        <v>142</v>
      </c>
      <c r="F188" s="3">
        <v>78</v>
      </c>
      <c r="G188" s="8">
        <v>2</v>
      </c>
      <c r="H188" s="3" t="s">
        <v>144</v>
      </c>
      <c r="I188" s="9">
        <v>4796.1499999999996</v>
      </c>
      <c r="J188" s="9">
        <v>2300.15</v>
      </c>
      <c r="K188" s="9">
        <v>2496</v>
      </c>
      <c r="L188" s="3" t="s">
        <v>883</v>
      </c>
    </row>
    <row r="189" spans="1:12" x14ac:dyDescent="0.25">
      <c r="A189" s="3" t="s">
        <v>903</v>
      </c>
      <c r="B189" s="3" t="s">
        <v>163</v>
      </c>
      <c r="C189" s="4" t="s">
        <v>904</v>
      </c>
      <c r="D189" s="3">
        <v>259</v>
      </c>
      <c r="E189" s="4" t="s">
        <v>905</v>
      </c>
      <c r="F189" s="3">
        <v>92</v>
      </c>
      <c r="G189" s="8">
        <v>2.4</v>
      </c>
      <c r="H189" s="3" t="s">
        <v>144</v>
      </c>
      <c r="I189" s="9">
        <v>2888.73</v>
      </c>
      <c r="J189" s="9">
        <v>1451.43</v>
      </c>
      <c r="K189" s="9">
        <v>1437.3</v>
      </c>
      <c r="L189" s="3" t="s">
        <v>883</v>
      </c>
    </row>
    <row r="190" spans="1:12" x14ac:dyDescent="0.25">
      <c r="A190" s="3" t="s">
        <v>906</v>
      </c>
      <c r="B190" s="3" t="s">
        <v>907</v>
      </c>
      <c r="C190" s="4" t="s">
        <v>908</v>
      </c>
      <c r="D190" s="3">
        <v>211</v>
      </c>
      <c r="E190" s="4" t="s">
        <v>909</v>
      </c>
      <c r="F190" s="3">
        <v>24</v>
      </c>
      <c r="G190" s="8">
        <v>2.15</v>
      </c>
      <c r="H190" s="3" t="s">
        <v>128</v>
      </c>
      <c r="I190" s="9">
        <v>893.48</v>
      </c>
      <c r="J190" s="9">
        <v>464.75</v>
      </c>
      <c r="K190" s="9">
        <v>428.73</v>
      </c>
      <c r="L190" s="3" t="s">
        <v>883</v>
      </c>
    </row>
    <row r="191" spans="1:12" x14ac:dyDescent="0.25">
      <c r="A191" s="3" t="s">
        <v>910</v>
      </c>
      <c r="B191" s="3" t="s">
        <v>911</v>
      </c>
      <c r="C191" s="4" t="s">
        <v>912</v>
      </c>
      <c r="D191" s="3">
        <v>78</v>
      </c>
      <c r="E191" s="4" t="s">
        <v>913</v>
      </c>
      <c r="F191" s="3">
        <v>6</v>
      </c>
      <c r="G191" s="8">
        <v>2.2000000000000002</v>
      </c>
      <c r="H191" s="3" t="s">
        <v>131</v>
      </c>
      <c r="I191" s="9">
        <v>1870.96</v>
      </c>
      <c r="J191" s="9">
        <v>841.13</v>
      </c>
      <c r="K191" s="9">
        <v>1029.83</v>
      </c>
      <c r="L191" s="3" t="s">
        <v>883</v>
      </c>
    </row>
    <row r="192" spans="1:12" x14ac:dyDescent="0.25">
      <c r="A192" s="3" t="s">
        <v>914</v>
      </c>
      <c r="B192" s="3" t="s">
        <v>915</v>
      </c>
      <c r="C192" s="4" t="s">
        <v>916</v>
      </c>
      <c r="D192" s="3">
        <v>1289</v>
      </c>
      <c r="E192" s="4" t="s">
        <v>917</v>
      </c>
      <c r="F192" s="3" t="s">
        <v>918</v>
      </c>
      <c r="G192" s="8">
        <v>2.4060000000000001</v>
      </c>
      <c r="H192" s="3" t="s">
        <v>128</v>
      </c>
      <c r="I192" s="9">
        <v>3980.9</v>
      </c>
      <c r="J192" s="9">
        <v>1880.84</v>
      </c>
      <c r="K192" s="9">
        <v>2100.06</v>
      </c>
      <c r="L192" s="3" t="s">
        <v>883</v>
      </c>
    </row>
    <row r="193" spans="1:12" x14ac:dyDescent="0.25">
      <c r="A193" s="3" t="s">
        <v>919</v>
      </c>
      <c r="B193" s="3" t="s">
        <v>920</v>
      </c>
      <c r="C193" s="4" t="s">
        <v>921</v>
      </c>
      <c r="D193" s="3">
        <v>147</v>
      </c>
      <c r="E193" s="4" t="s">
        <v>922</v>
      </c>
      <c r="F193" s="3">
        <v>22</v>
      </c>
      <c r="G193" s="8">
        <v>1.7</v>
      </c>
      <c r="H193" s="3" t="s">
        <v>131</v>
      </c>
      <c r="I193" s="9">
        <v>4683.72</v>
      </c>
      <c r="J193" s="9">
        <v>2083.0100000000002</v>
      </c>
      <c r="K193" s="9">
        <v>2600.71</v>
      </c>
      <c r="L193" s="3" t="s">
        <v>883</v>
      </c>
    </row>
    <row r="194" spans="1:12" x14ac:dyDescent="0.25">
      <c r="A194" s="3" t="s">
        <v>923</v>
      </c>
      <c r="B194" s="3" t="s">
        <v>163</v>
      </c>
      <c r="C194" s="4" t="s">
        <v>924</v>
      </c>
      <c r="D194" s="3">
        <v>412</v>
      </c>
      <c r="E194" s="4" t="s">
        <v>925</v>
      </c>
      <c r="F194" s="3">
        <v>10</v>
      </c>
      <c r="G194" s="8">
        <v>2.2000000000000002</v>
      </c>
      <c r="H194" s="3" t="s">
        <v>131</v>
      </c>
      <c r="I194" s="9">
        <v>1602.48</v>
      </c>
      <c r="J194" s="9">
        <v>697.87</v>
      </c>
      <c r="K194" s="9">
        <v>904.61</v>
      </c>
      <c r="L194" s="3" t="s">
        <v>883</v>
      </c>
    </row>
    <row r="195" spans="1:12" x14ac:dyDescent="0.25">
      <c r="A195" s="3" t="s">
        <v>926</v>
      </c>
      <c r="B195" s="3" t="s">
        <v>163</v>
      </c>
      <c r="C195" s="4" t="s">
        <v>927</v>
      </c>
      <c r="D195" s="3">
        <v>33</v>
      </c>
      <c r="E195" s="4" t="s">
        <v>928</v>
      </c>
      <c r="F195" s="3">
        <v>6</v>
      </c>
      <c r="G195" s="8">
        <v>1.4</v>
      </c>
      <c r="H195" s="3" t="s">
        <v>131</v>
      </c>
      <c r="I195" s="9">
        <v>729.71</v>
      </c>
      <c r="J195" s="9">
        <v>350.69</v>
      </c>
      <c r="K195" s="9">
        <v>379.02</v>
      </c>
      <c r="L195" s="3" t="s">
        <v>883</v>
      </c>
    </row>
    <row r="196" spans="1:12" x14ac:dyDescent="0.25">
      <c r="A196" s="3" t="s">
        <v>929</v>
      </c>
      <c r="B196" s="3" t="s">
        <v>930</v>
      </c>
      <c r="C196" s="4" t="s">
        <v>931</v>
      </c>
      <c r="D196" s="3">
        <v>431</v>
      </c>
      <c r="E196" s="4" t="s">
        <v>932</v>
      </c>
      <c r="F196" s="3">
        <v>6</v>
      </c>
      <c r="G196" s="8">
        <v>2.5</v>
      </c>
      <c r="H196" s="3" t="s">
        <v>131</v>
      </c>
      <c r="I196" s="9">
        <v>3327.23</v>
      </c>
      <c r="J196" s="9">
        <v>1452.98</v>
      </c>
      <c r="K196" s="9">
        <v>1874.25</v>
      </c>
      <c r="L196" s="3" t="s">
        <v>883</v>
      </c>
    </row>
    <row r="197" spans="1:12" x14ac:dyDescent="0.25">
      <c r="A197" s="3" t="s">
        <v>933</v>
      </c>
      <c r="B197" s="3" t="s">
        <v>934</v>
      </c>
      <c r="C197" s="4" t="s">
        <v>935</v>
      </c>
      <c r="D197" s="3">
        <v>476</v>
      </c>
      <c r="E197" s="4" t="s">
        <v>936</v>
      </c>
      <c r="F197" s="3" t="s">
        <v>937</v>
      </c>
      <c r="G197" s="8">
        <v>2.2000000000000002</v>
      </c>
      <c r="H197" s="3" t="s">
        <v>128</v>
      </c>
      <c r="I197" s="9">
        <v>2930.08</v>
      </c>
      <c r="J197" s="9">
        <v>1338.81</v>
      </c>
      <c r="K197" s="9">
        <v>1591.27</v>
      </c>
      <c r="L197" s="3" t="s">
        <v>883</v>
      </c>
    </row>
    <row r="198" spans="1:12" x14ac:dyDescent="0.25">
      <c r="A198" s="3" t="s">
        <v>938</v>
      </c>
      <c r="B198" s="3" t="s">
        <v>141</v>
      </c>
      <c r="C198" s="4" t="s">
        <v>939</v>
      </c>
      <c r="D198" s="3">
        <v>124</v>
      </c>
      <c r="E198" s="4" t="s">
        <v>940</v>
      </c>
      <c r="F198" s="3">
        <v>9</v>
      </c>
      <c r="G198" s="8">
        <v>2.306</v>
      </c>
      <c r="H198" s="3" t="s">
        <v>131</v>
      </c>
      <c r="I198" s="9">
        <v>761.16</v>
      </c>
      <c r="J198" s="9">
        <v>329.69</v>
      </c>
      <c r="K198" s="9">
        <v>431.47</v>
      </c>
      <c r="L198" s="3" t="s">
        <v>883</v>
      </c>
    </row>
    <row r="199" spans="1:12" x14ac:dyDescent="0.25">
      <c r="A199" s="3" t="s">
        <v>941</v>
      </c>
      <c r="B199" s="3" t="s">
        <v>942</v>
      </c>
      <c r="C199" s="4" t="s">
        <v>943</v>
      </c>
      <c r="D199" s="3" t="s">
        <v>944</v>
      </c>
      <c r="E199" s="4" t="s">
        <v>945</v>
      </c>
      <c r="F199" s="3" t="s">
        <v>140</v>
      </c>
      <c r="G199" s="8">
        <v>2.1</v>
      </c>
      <c r="H199" s="3" t="s">
        <v>128</v>
      </c>
      <c r="I199" s="9">
        <v>2730.47</v>
      </c>
      <c r="J199" s="9">
        <v>1256.93</v>
      </c>
      <c r="K199" s="9">
        <v>1473.54</v>
      </c>
      <c r="L199" s="3" t="s">
        <v>883</v>
      </c>
    </row>
    <row r="200" spans="1:12" x14ac:dyDescent="0.25">
      <c r="A200" s="3" t="s">
        <v>946</v>
      </c>
      <c r="B200" s="3" t="s">
        <v>138</v>
      </c>
      <c r="C200" s="4" t="s">
        <v>947</v>
      </c>
      <c r="D200" s="3" t="s">
        <v>139</v>
      </c>
      <c r="E200" s="4" t="s">
        <v>948</v>
      </c>
      <c r="F200" s="3">
        <v>14</v>
      </c>
      <c r="G200" s="8">
        <v>1.9</v>
      </c>
      <c r="H200" s="3" t="s">
        <v>149</v>
      </c>
      <c r="I200" s="9">
        <v>2083.77</v>
      </c>
      <c r="J200" s="9">
        <v>992.2</v>
      </c>
      <c r="K200" s="9">
        <v>1091.57</v>
      </c>
      <c r="L200" s="3" t="s">
        <v>883</v>
      </c>
    </row>
    <row r="201" spans="1:12" x14ac:dyDescent="0.25">
      <c r="A201" s="3" t="s">
        <v>949</v>
      </c>
      <c r="B201" s="3" t="s">
        <v>163</v>
      </c>
      <c r="C201" s="4" t="s">
        <v>950</v>
      </c>
      <c r="D201" s="3">
        <v>441</v>
      </c>
      <c r="E201" s="4" t="s">
        <v>951</v>
      </c>
      <c r="F201" s="3">
        <v>35</v>
      </c>
      <c r="G201" s="8">
        <v>1.95</v>
      </c>
      <c r="H201" s="3" t="s">
        <v>144</v>
      </c>
      <c r="I201" s="9">
        <v>3077.45</v>
      </c>
      <c r="J201" s="9">
        <v>1379.38</v>
      </c>
      <c r="K201" s="9">
        <v>1698.07</v>
      </c>
      <c r="L201" s="3" t="s">
        <v>883</v>
      </c>
    </row>
    <row r="202" spans="1:12" ht="15" x14ac:dyDescent="0.25">
      <c r="A202" s="3" t="s">
        <v>952</v>
      </c>
      <c r="B202" s="3" t="s">
        <v>953</v>
      </c>
      <c r="C202" s="4" t="s">
        <v>954</v>
      </c>
      <c r="D202" s="10" t="s">
        <v>955</v>
      </c>
      <c r="E202" s="4" t="s">
        <v>956</v>
      </c>
      <c r="F202" s="3" t="s">
        <v>957</v>
      </c>
      <c r="G202" s="8">
        <v>2</v>
      </c>
      <c r="H202" s="3" t="s">
        <v>128</v>
      </c>
      <c r="I202" s="9">
        <v>2348.9899999999998</v>
      </c>
      <c r="J202" s="9">
        <v>1173.6099999999999</v>
      </c>
      <c r="K202" s="9">
        <v>1175.3800000000001</v>
      </c>
      <c r="L202" s="3" t="s">
        <v>883</v>
      </c>
    </row>
    <row r="203" spans="1:12" x14ac:dyDescent="0.25">
      <c r="A203" s="3" t="s">
        <v>958</v>
      </c>
      <c r="B203" s="3" t="s">
        <v>138</v>
      </c>
      <c r="C203" s="4" t="s">
        <v>959</v>
      </c>
      <c r="D203" s="10">
        <v>243</v>
      </c>
      <c r="E203" s="4" t="s">
        <v>960</v>
      </c>
      <c r="F203" s="10">
        <v>16</v>
      </c>
      <c r="G203" s="8">
        <v>1.8</v>
      </c>
      <c r="H203" s="3" t="s">
        <v>128</v>
      </c>
      <c r="I203" s="9">
        <v>2356.4899999999998</v>
      </c>
      <c r="J203" s="9">
        <v>1094.8</v>
      </c>
      <c r="K203" s="9">
        <v>1261.69</v>
      </c>
      <c r="L203" s="3" t="s">
        <v>883</v>
      </c>
    </row>
    <row r="204" spans="1:12" x14ac:dyDescent="0.25">
      <c r="A204" s="3" t="s">
        <v>961</v>
      </c>
      <c r="B204" s="3" t="s">
        <v>141</v>
      </c>
      <c r="C204" s="4" t="s">
        <v>962</v>
      </c>
      <c r="D204" s="10">
        <v>213</v>
      </c>
      <c r="E204" s="4" t="s">
        <v>963</v>
      </c>
      <c r="F204" s="10">
        <v>11</v>
      </c>
      <c r="G204" s="8">
        <v>2</v>
      </c>
      <c r="H204" s="3" t="s">
        <v>131</v>
      </c>
      <c r="I204" s="9">
        <v>2675.08</v>
      </c>
      <c r="J204" s="9">
        <v>1164.21</v>
      </c>
      <c r="K204" s="9">
        <v>1510.87</v>
      </c>
      <c r="L204" s="3" t="s">
        <v>883</v>
      </c>
    </row>
    <row r="205" spans="1:12" x14ac:dyDescent="0.25">
      <c r="A205" s="3" t="s">
        <v>964</v>
      </c>
      <c r="B205" s="3" t="s">
        <v>127</v>
      </c>
      <c r="C205" s="4" t="s">
        <v>965</v>
      </c>
      <c r="D205" s="10">
        <v>214</v>
      </c>
      <c r="E205" s="4" t="s">
        <v>966</v>
      </c>
      <c r="F205" s="3" t="s">
        <v>967</v>
      </c>
      <c r="G205" s="8">
        <v>1.68</v>
      </c>
      <c r="H205" s="3" t="s">
        <v>128</v>
      </c>
      <c r="I205" s="9">
        <v>1230.1300000000001</v>
      </c>
      <c r="J205" s="9">
        <v>566.01</v>
      </c>
      <c r="K205" s="9">
        <v>664.12</v>
      </c>
      <c r="L205" s="3" t="s">
        <v>883</v>
      </c>
    </row>
    <row r="206" spans="1:12" ht="82.8" x14ac:dyDescent="0.25">
      <c r="A206" s="3" t="s">
        <v>968</v>
      </c>
      <c r="B206" s="3" t="s">
        <v>127</v>
      </c>
      <c r="C206" s="4" t="s">
        <v>935</v>
      </c>
      <c r="D206" s="10">
        <v>481</v>
      </c>
      <c r="E206" s="11" t="s">
        <v>969</v>
      </c>
      <c r="F206" s="3" t="s">
        <v>937</v>
      </c>
      <c r="G206" s="8">
        <v>2.5</v>
      </c>
      <c r="H206" s="3" t="s">
        <v>128</v>
      </c>
      <c r="I206" s="9">
        <v>2892.74</v>
      </c>
      <c r="J206" s="9">
        <v>1315.27</v>
      </c>
      <c r="K206" s="9">
        <v>1577.47</v>
      </c>
      <c r="L206" s="3" t="s">
        <v>883</v>
      </c>
    </row>
    <row r="207" spans="1:12" x14ac:dyDescent="0.25">
      <c r="A207" s="3" t="s">
        <v>970</v>
      </c>
      <c r="B207" s="3" t="s">
        <v>971</v>
      </c>
      <c r="C207" s="4" t="s">
        <v>972</v>
      </c>
      <c r="D207" s="10">
        <v>233</v>
      </c>
      <c r="E207" s="4" t="s">
        <v>973</v>
      </c>
      <c r="F207" s="10">
        <v>42</v>
      </c>
      <c r="G207" s="8">
        <v>2.12</v>
      </c>
      <c r="H207" s="3" t="s">
        <v>131</v>
      </c>
      <c r="I207" s="9">
        <v>11311.01</v>
      </c>
      <c r="J207" s="9">
        <v>5549.5</v>
      </c>
      <c r="K207" s="9">
        <v>5761.51</v>
      </c>
      <c r="L207" s="3" t="s">
        <v>883</v>
      </c>
    </row>
    <row r="208" spans="1:12" x14ac:dyDescent="0.25">
      <c r="A208" s="3" t="s">
        <v>974</v>
      </c>
      <c r="B208" s="3" t="s">
        <v>152</v>
      </c>
      <c r="C208" s="4" t="s">
        <v>975</v>
      </c>
      <c r="D208" s="10">
        <v>255</v>
      </c>
      <c r="E208" s="4" t="s">
        <v>976</v>
      </c>
      <c r="F208" s="10">
        <v>21</v>
      </c>
      <c r="G208" s="8">
        <v>1.3</v>
      </c>
      <c r="H208" s="3" t="s">
        <v>149</v>
      </c>
      <c r="I208" s="9">
        <v>3715.65</v>
      </c>
      <c r="J208" s="9">
        <v>1776.69</v>
      </c>
      <c r="K208" s="9">
        <v>1938.96</v>
      </c>
      <c r="L208" s="3" t="s">
        <v>883</v>
      </c>
    </row>
    <row r="209" spans="1:12" x14ac:dyDescent="0.25">
      <c r="A209" s="3" t="s">
        <v>977</v>
      </c>
      <c r="B209" s="3" t="s">
        <v>562</v>
      </c>
      <c r="C209" s="4" t="s">
        <v>978</v>
      </c>
      <c r="D209" s="10">
        <v>66</v>
      </c>
      <c r="E209" s="4" t="s">
        <v>979</v>
      </c>
      <c r="F209" s="3" t="s">
        <v>980</v>
      </c>
      <c r="G209" s="8">
        <v>2.15</v>
      </c>
      <c r="H209" s="3" t="s">
        <v>128</v>
      </c>
      <c r="I209" s="9">
        <v>1566.79</v>
      </c>
      <c r="J209" s="9">
        <v>737.27</v>
      </c>
      <c r="K209" s="9">
        <v>829.52</v>
      </c>
      <c r="L209" s="3" t="s">
        <v>883</v>
      </c>
    </row>
    <row r="210" spans="1:12" x14ac:dyDescent="0.25">
      <c r="A210" s="3" t="s">
        <v>981</v>
      </c>
      <c r="B210" s="3" t="s">
        <v>141</v>
      </c>
      <c r="C210" s="4" t="s">
        <v>982</v>
      </c>
      <c r="D210" s="10">
        <v>129</v>
      </c>
      <c r="E210" s="4" t="s">
        <v>983</v>
      </c>
      <c r="F210" s="10">
        <v>59</v>
      </c>
      <c r="G210" s="8">
        <v>2</v>
      </c>
      <c r="H210" s="3" t="s">
        <v>128</v>
      </c>
      <c r="I210" s="9">
        <v>806.8</v>
      </c>
      <c r="J210" s="9">
        <v>429.61</v>
      </c>
      <c r="K210" s="9">
        <v>377.19</v>
      </c>
      <c r="L210" s="3" t="s">
        <v>883</v>
      </c>
    </row>
    <row r="211" spans="1:12" ht="15" x14ac:dyDescent="0.25">
      <c r="A211" s="3" t="s">
        <v>984</v>
      </c>
      <c r="B211" s="3" t="s">
        <v>127</v>
      </c>
      <c r="C211" s="4" t="s">
        <v>985</v>
      </c>
      <c r="D211" s="10">
        <v>302</v>
      </c>
      <c r="E211" s="4" t="s">
        <v>986</v>
      </c>
      <c r="F211" s="10" t="s">
        <v>987</v>
      </c>
      <c r="G211" s="8">
        <v>1.958</v>
      </c>
      <c r="H211" s="3" t="s">
        <v>128</v>
      </c>
      <c r="I211" s="9">
        <v>1090.96</v>
      </c>
      <c r="J211" s="9">
        <v>465.94</v>
      </c>
      <c r="K211" s="9">
        <v>625.02</v>
      </c>
      <c r="L211" s="3" t="s">
        <v>883</v>
      </c>
    </row>
    <row r="212" spans="1:12" x14ac:dyDescent="0.25">
      <c r="A212" s="3" t="s">
        <v>988</v>
      </c>
      <c r="B212" s="3" t="s">
        <v>152</v>
      </c>
      <c r="C212" s="4" t="s">
        <v>989</v>
      </c>
      <c r="D212" s="10">
        <v>341</v>
      </c>
      <c r="E212" s="4" t="s">
        <v>186</v>
      </c>
      <c r="F212" s="10">
        <v>6</v>
      </c>
      <c r="G212" s="8">
        <v>2.04</v>
      </c>
      <c r="H212" s="3" t="s">
        <v>131</v>
      </c>
      <c r="I212" s="9">
        <v>1448.4</v>
      </c>
      <c r="J212" s="9">
        <v>644.04</v>
      </c>
      <c r="K212" s="9">
        <v>804.36</v>
      </c>
      <c r="L212" s="3" t="s">
        <v>883</v>
      </c>
    </row>
    <row r="213" spans="1:12" ht="15" x14ac:dyDescent="0.25">
      <c r="A213" s="3" t="s">
        <v>990</v>
      </c>
      <c r="B213" s="3" t="s">
        <v>991</v>
      </c>
      <c r="C213" s="4" t="s">
        <v>992</v>
      </c>
      <c r="D213" s="10" t="s">
        <v>993</v>
      </c>
      <c r="E213" s="4" t="s">
        <v>994</v>
      </c>
      <c r="F213" s="10" t="s">
        <v>995</v>
      </c>
      <c r="G213" s="8">
        <v>2.1</v>
      </c>
      <c r="H213" s="3" t="s">
        <v>128</v>
      </c>
      <c r="I213" s="9">
        <v>3392.61</v>
      </c>
      <c r="J213" s="9">
        <v>1478.44</v>
      </c>
      <c r="K213" s="9">
        <v>1914.17</v>
      </c>
      <c r="L213" s="3" t="s">
        <v>883</v>
      </c>
    </row>
    <row r="214" spans="1:12" x14ac:dyDescent="0.25">
      <c r="A214" s="3" t="s">
        <v>996</v>
      </c>
      <c r="B214" s="3" t="s">
        <v>920</v>
      </c>
      <c r="C214" s="4" t="s">
        <v>997</v>
      </c>
      <c r="D214" s="3" t="s">
        <v>998</v>
      </c>
      <c r="E214" s="4" t="s">
        <v>999</v>
      </c>
      <c r="F214" s="10">
        <v>34</v>
      </c>
      <c r="G214" s="8">
        <v>2.5</v>
      </c>
      <c r="H214" s="3" t="s">
        <v>128</v>
      </c>
      <c r="I214" s="9">
        <v>3403.32</v>
      </c>
      <c r="J214" s="9">
        <v>1652.25</v>
      </c>
      <c r="K214" s="9">
        <v>1751.07</v>
      </c>
      <c r="L214" s="3" t="s">
        <v>883</v>
      </c>
    </row>
    <row r="215" spans="1:12" x14ac:dyDescent="0.25">
      <c r="A215" s="3" t="s">
        <v>1000</v>
      </c>
      <c r="B215" s="3" t="s">
        <v>163</v>
      </c>
      <c r="C215" s="4" t="s">
        <v>1001</v>
      </c>
      <c r="D215" s="10">
        <v>171</v>
      </c>
      <c r="E215" s="4" t="s">
        <v>186</v>
      </c>
      <c r="F215" s="10">
        <v>5</v>
      </c>
      <c r="G215" s="8">
        <v>1.5</v>
      </c>
      <c r="H215" s="3" t="s">
        <v>131</v>
      </c>
      <c r="I215" s="9">
        <v>1316.9</v>
      </c>
      <c r="J215" s="9">
        <v>610.58000000000004</v>
      </c>
      <c r="K215" s="9">
        <v>706.32</v>
      </c>
      <c r="L215" s="3" t="s">
        <v>883</v>
      </c>
    </row>
    <row r="216" spans="1:12" x14ac:dyDescent="0.25">
      <c r="A216" s="3" t="s">
        <v>1002</v>
      </c>
      <c r="B216" s="3" t="s">
        <v>576</v>
      </c>
      <c r="C216" s="4" t="s">
        <v>1003</v>
      </c>
      <c r="D216" s="3" t="s">
        <v>1004</v>
      </c>
      <c r="E216" s="4" t="s">
        <v>1005</v>
      </c>
      <c r="F216" s="10">
        <v>26</v>
      </c>
      <c r="G216" s="8">
        <v>2.3039999999999998</v>
      </c>
      <c r="H216" s="3" t="s">
        <v>128</v>
      </c>
      <c r="I216" s="9">
        <v>4285.88</v>
      </c>
      <c r="J216" s="9">
        <v>2095.06</v>
      </c>
      <c r="K216" s="9">
        <v>2190.8200000000002</v>
      </c>
      <c r="L216" s="3" t="s">
        <v>883</v>
      </c>
    </row>
    <row r="217" spans="1:12" x14ac:dyDescent="0.25">
      <c r="A217" s="3" t="s">
        <v>1006</v>
      </c>
      <c r="B217" s="3" t="s">
        <v>141</v>
      </c>
      <c r="C217" s="4" t="s">
        <v>1007</v>
      </c>
      <c r="D217" s="10">
        <v>77</v>
      </c>
      <c r="E217" s="4" t="s">
        <v>1008</v>
      </c>
      <c r="F217" s="10">
        <v>40</v>
      </c>
      <c r="G217" s="8">
        <v>2.0499999999999998</v>
      </c>
      <c r="H217" s="3" t="s">
        <v>128</v>
      </c>
      <c r="I217" s="9">
        <v>1437.47</v>
      </c>
      <c r="J217" s="9">
        <v>753.08</v>
      </c>
      <c r="K217" s="9">
        <v>684.39</v>
      </c>
      <c r="L217" s="3" t="s">
        <v>883</v>
      </c>
    </row>
    <row r="218" spans="1:12" x14ac:dyDescent="0.25">
      <c r="A218" s="3" t="s">
        <v>1009</v>
      </c>
      <c r="B218" s="3" t="s">
        <v>141</v>
      </c>
      <c r="C218" s="4" t="s">
        <v>1010</v>
      </c>
      <c r="D218" s="10">
        <v>191</v>
      </c>
      <c r="E218" s="4" t="s">
        <v>1011</v>
      </c>
      <c r="F218" s="10">
        <v>5</v>
      </c>
      <c r="G218" s="8">
        <v>1.6</v>
      </c>
      <c r="H218" s="3" t="s">
        <v>131</v>
      </c>
      <c r="I218" s="9">
        <v>1273.3900000000001</v>
      </c>
      <c r="J218" s="9">
        <v>524.29</v>
      </c>
      <c r="K218" s="9">
        <v>749.1</v>
      </c>
      <c r="L218" s="3" t="s">
        <v>883</v>
      </c>
    </row>
    <row r="219" spans="1:12" ht="15" x14ac:dyDescent="0.25">
      <c r="A219" s="3" t="s">
        <v>1012</v>
      </c>
      <c r="B219" s="3" t="s">
        <v>1013</v>
      </c>
      <c r="C219" s="4" t="s">
        <v>1014</v>
      </c>
      <c r="D219" s="10" t="s">
        <v>1015</v>
      </c>
      <c r="E219" s="4" t="s">
        <v>1016</v>
      </c>
      <c r="F219" s="3" t="s">
        <v>1017</v>
      </c>
      <c r="G219" s="8">
        <v>2.2000000000000002</v>
      </c>
      <c r="H219" s="3" t="s">
        <v>128</v>
      </c>
      <c r="I219" s="9">
        <v>9079</v>
      </c>
      <c r="J219" s="9">
        <v>4243.8900000000003</v>
      </c>
      <c r="K219" s="9">
        <v>4835.1099999999997</v>
      </c>
      <c r="L219" s="3" t="s">
        <v>883</v>
      </c>
    </row>
    <row r="220" spans="1:12" ht="15" x14ac:dyDescent="0.25">
      <c r="A220" s="3" t="s">
        <v>1018</v>
      </c>
      <c r="B220" s="3" t="s">
        <v>127</v>
      </c>
      <c r="C220" s="4" t="s">
        <v>1019</v>
      </c>
      <c r="D220" s="10">
        <v>357</v>
      </c>
      <c r="E220" s="4" t="s">
        <v>1020</v>
      </c>
      <c r="F220" s="10" t="s">
        <v>1021</v>
      </c>
      <c r="G220" s="8">
        <v>2</v>
      </c>
      <c r="H220" s="3" t="s">
        <v>128</v>
      </c>
      <c r="I220" s="9">
        <v>3006.88</v>
      </c>
      <c r="J220" s="9">
        <v>1457.97</v>
      </c>
      <c r="K220" s="9">
        <v>1548.91</v>
      </c>
      <c r="L220" s="3" t="s">
        <v>883</v>
      </c>
    </row>
    <row r="221" spans="1:12" ht="15" x14ac:dyDescent="0.25">
      <c r="A221" s="3" t="s">
        <v>1022</v>
      </c>
      <c r="B221" s="3" t="s">
        <v>127</v>
      </c>
      <c r="C221" s="4" t="s">
        <v>1023</v>
      </c>
      <c r="D221" s="10">
        <v>373</v>
      </c>
      <c r="E221" s="4" t="s">
        <v>1020</v>
      </c>
      <c r="F221" s="10" t="s">
        <v>1021</v>
      </c>
      <c r="G221" s="8">
        <v>2</v>
      </c>
      <c r="H221" s="3" t="s">
        <v>128</v>
      </c>
      <c r="I221" s="9">
        <v>2436.0500000000002</v>
      </c>
      <c r="J221" s="9">
        <v>1235.46</v>
      </c>
      <c r="K221" s="9">
        <v>1200.5899999999999</v>
      </c>
      <c r="L221" s="3" t="s">
        <v>883</v>
      </c>
    </row>
    <row r="222" spans="1:12" x14ac:dyDescent="0.25">
      <c r="A222" s="3" t="s">
        <v>1024</v>
      </c>
      <c r="B222" s="3" t="s">
        <v>141</v>
      </c>
      <c r="C222" s="4" t="s">
        <v>1025</v>
      </c>
      <c r="D222" s="10">
        <v>129</v>
      </c>
      <c r="E222" s="4" t="s">
        <v>1026</v>
      </c>
      <c r="F222" s="10">
        <v>11</v>
      </c>
      <c r="G222" s="8">
        <v>1.8</v>
      </c>
      <c r="H222" s="3" t="s">
        <v>131</v>
      </c>
      <c r="I222" s="9">
        <v>2207.5700000000002</v>
      </c>
      <c r="J222" s="9">
        <v>1008.16</v>
      </c>
      <c r="K222" s="9">
        <v>1199.4100000000001</v>
      </c>
      <c r="L222" s="3" t="s">
        <v>883</v>
      </c>
    </row>
    <row r="223" spans="1:12" x14ac:dyDescent="0.25">
      <c r="A223" s="3" t="s">
        <v>1027</v>
      </c>
      <c r="B223" s="3" t="s">
        <v>220</v>
      </c>
      <c r="C223" s="4" t="s">
        <v>1028</v>
      </c>
      <c r="D223" s="10">
        <v>559</v>
      </c>
      <c r="E223" s="4" t="s">
        <v>1029</v>
      </c>
      <c r="F223" s="10">
        <v>7</v>
      </c>
      <c r="G223" s="8">
        <v>1.7</v>
      </c>
      <c r="H223" s="3" t="s">
        <v>131</v>
      </c>
      <c r="I223" s="9">
        <v>2175.11</v>
      </c>
      <c r="J223" s="9">
        <v>1002.9</v>
      </c>
      <c r="K223" s="9">
        <v>1172.21</v>
      </c>
      <c r="L223" s="3" t="s">
        <v>883</v>
      </c>
    </row>
    <row r="224" spans="1:12" x14ac:dyDescent="0.25">
      <c r="A224" s="3" t="s">
        <v>1030</v>
      </c>
      <c r="B224" s="3" t="s">
        <v>226</v>
      </c>
      <c r="C224" s="4" t="s">
        <v>1031</v>
      </c>
      <c r="D224" s="10">
        <v>92</v>
      </c>
      <c r="E224" s="4" t="s">
        <v>1032</v>
      </c>
      <c r="F224" s="10">
        <v>91</v>
      </c>
      <c r="G224" s="8">
        <v>2.081</v>
      </c>
      <c r="H224" s="3" t="s">
        <v>128</v>
      </c>
      <c r="I224" s="9">
        <v>324.24</v>
      </c>
      <c r="J224" s="9">
        <v>158.91999999999999</v>
      </c>
      <c r="K224" s="9">
        <v>165.32</v>
      </c>
      <c r="L224" s="3" t="s">
        <v>883</v>
      </c>
    </row>
    <row r="225" spans="1:12" x14ac:dyDescent="0.25">
      <c r="A225" s="3" t="s">
        <v>1033</v>
      </c>
      <c r="B225" s="3" t="s">
        <v>220</v>
      </c>
      <c r="C225" s="4" t="s">
        <v>1034</v>
      </c>
      <c r="D225" s="10">
        <v>321</v>
      </c>
      <c r="E225" s="4" t="s">
        <v>1035</v>
      </c>
      <c r="F225" s="10">
        <v>76</v>
      </c>
      <c r="G225" s="8">
        <v>2.1</v>
      </c>
      <c r="H225" s="3" t="s">
        <v>144</v>
      </c>
      <c r="I225" s="9">
        <v>2132.83</v>
      </c>
      <c r="J225" s="9">
        <v>1015.54</v>
      </c>
      <c r="K225" s="9">
        <v>1117.29</v>
      </c>
      <c r="L225" s="3" t="s">
        <v>883</v>
      </c>
    </row>
    <row r="226" spans="1:12" x14ac:dyDescent="0.25">
      <c r="A226" s="3" t="s">
        <v>1036</v>
      </c>
      <c r="B226" s="3" t="s">
        <v>163</v>
      </c>
      <c r="C226" s="4" t="s">
        <v>1037</v>
      </c>
      <c r="D226" s="10">
        <v>460</v>
      </c>
      <c r="E226" s="4" t="s">
        <v>168</v>
      </c>
      <c r="F226" s="10">
        <v>76</v>
      </c>
      <c r="G226" s="8">
        <v>2.3010000000000002</v>
      </c>
      <c r="H226" s="3" t="s">
        <v>144</v>
      </c>
      <c r="I226" s="9">
        <v>2737.49</v>
      </c>
      <c r="J226" s="9">
        <v>1325.41</v>
      </c>
      <c r="K226" s="9">
        <v>1412.08</v>
      </c>
      <c r="L226" s="3" t="s">
        <v>883</v>
      </c>
    </row>
    <row r="227" spans="1:12" x14ac:dyDescent="0.25">
      <c r="A227" s="3" t="s">
        <v>1038</v>
      </c>
      <c r="B227" s="3" t="s">
        <v>141</v>
      </c>
      <c r="C227" s="4" t="s">
        <v>1039</v>
      </c>
      <c r="D227" s="10">
        <v>709</v>
      </c>
      <c r="E227" s="4" t="s">
        <v>1040</v>
      </c>
      <c r="F227" s="10">
        <v>13</v>
      </c>
      <c r="G227" s="8">
        <v>2.2999999999999998</v>
      </c>
      <c r="H227" s="3" t="s">
        <v>131</v>
      </c>
      <c r="I227" s="9">
        <v>2076.3200000000002</v>
      </c>
      <c r="J227" s="9">
        <v>1002.76</v>
      </c>
      <c r="K227" s="9">
        <v>1073.56</v>
      </c>
      <c r="L227" s="3" t="s">
        <v>883</v>
      </c>
    </row>
    <row r="228" spans="1:12" x14ac:dyDescent="0.25">
      <c r="A228" s="3" t="s">
        <v>1041</v>
      </c>
      <c r="B228" s="3" t="s">
        <v>152</v>
      </c>
      <c r="C228" s="4" t="s">
        <v>1042</v>
      </c>
      <c r="D228" s="10">
        <v>561</v>
      </c>
      <c r="E228" s="4" t="s">
        <v>1043</v>
      </c>
      <c r="F228" s="10">
        <v>6</v>
      </c>
      <c r="G228" s="8">
        <v>2.2829999999999999</v>
      </c>
      <c r="H228" s="3" t="s">
        <v>131</v>
      </c>
      <c r="I228" s="9">
        <v>2024.81</v>
      </c>
      <c r="J228" s="9">
        <v>914.48</v>
      </c>
      <c r="K228" s="9">
        <v>1110.33</v>
      </c>
      <c r="L228" s="3" t="s">
        <v>883</v>
      </c>
    </row>
    <row r="229" spans="1:12" x14ac:dyDescent="0.25">
      <c r="A229" s="3" t="s">
        <v>1044</v>
      </c>
      <c r="B229" s="3" t="s">
        <v>1045</v>
      </c>
      <c r="C229" s="4" t="s">
        <v>1046</v>
      </c>
      <c r="D229" s="10">
        <v>251</v>
      </c>
      <c r="E229" s="4" t="s">
        <v>1047</v>
      </c>
      <c r="F229" s="10">
        <v>75</v>
      </c>
      <c r="G229" s="8">
        <v>2.21</v>
      </c>
      <c r="H229" s="3" t="s">
        <v>144</v>
      </c>
      <c r="I229" s="9">
        <v>3373.28</v>
      </c>
      <c r="J229" s="9">
        <v>1640.32</v>
      </c>
      <c r="K229" s="9">
        <v>1732.96</v>
      </c>
      <c r="L229" s="3" t="s">
        <v>883</v>
      </c>
    </row>
    <row r="230" spans="1:12" x14ac:dyDescent="0.25">
      <c r="A230" s="3" t="s">
        <v>1048</v>
      </c>
      <c r="B230" s="3" t="s">
        <v>220</v>
      </c>
      <c r="C230" s="4" t="s">
        <v>1049</v>
      </c>
      <c r="D230" s="10">
        <v>392</v>
      </c>
      <c r="E230" s="4" t="s">
        <v>1050</v>
      </c>
      <c r="F230" s="10">
        <v>5</v>
      </c>
      <c r="G230" s="8">
        <v>1.99</v>
      </c>
      <c r="H230" s="3" t="s">
        <v>131</v>
      </c>
      <c r="I230" s="9">
        <v>1211.99</v>
      </c>
      <c r="J230" s="9">
        <v>529.14</v>
      </c>
      <c r="K230" s="9">
        <v>682.85</v>
      </c>
      <c r="L230" s="3" t="s">
        <v>883</v>
      </c>
    </row>
    <row r="231" spans="1:12" x14ac:dyDescent="0.25">
      <c r="A231" s="3" t="s">
        <v>1051</v>
      </c>
      <c r="B231" s="3" t="s">
        <v>141</v>
      </c>
      <c r="C231" s="4" t="s">
        <v>1052</v>
      </c>
      <c r="D231" s="10">
        <v>400</v>
      </c>
      <c r="E231" s="4" t="s">
        <v>1053</v>
      </c>
      <c r="F231" s="10">
        <v>10</v>
      </c>
      <c r="G231" s="8">
        <v>2.15</v>
      </c>
      <c r="H231" s="3" t="s">
        <v>131</v>
      </c>
      <c r="I231" s="9">
        <v>2619.87</v>
      </c>
      <c r="J231" s="9">
        <v>1156.19</v>
      </c>
      <c r="K231" s="9">
        <v>1463.68</v>
      </c>
      <c r="L231" s="3" t="s">
        <v>883</v>
      </c>
    </row>
    <row r="232" spans="1:12" x14ac:dyDescent="0.25">
      <c r="A232" s="3" t="s">
        <v>1054</v>
      </c>
      <c r="B232" s="3" t="s">
        <v>147</v>
      </c>
      <c r="C232" s="4" t="s">
        <v>1055</v>
      </c>
      <c r="D232" s="10">
        <v>402</v>
      </c>
      <c r="E232" s="4" t="s">
        <v>1056</v>
      </c>
      <c r="F232" s="10">
        <v>15</v>
      </c>
      <c r="G232" s="8">
        <v>2.1</v>
      </c>
      <c r="H232" s="3" t="s">
        <v>131</v>
      </c>
      <c r="I232" s="9">
        <v>1779.3</v>
      </c>
      <c r="J232" s="9">
        <v>815.16</v>
      </c>
      <c r="K232" s="9">
        <v>964.14</v>
      </c>
      <c r="L232" s="3" t="s">
        <v>883</v>
      </c>
    </row>
    <row r="233" spans="1:12" x14ac:dyDescent="0.25">
      <c r="A233" s="3" t="s">
        <v>1057</v>
      </c>
      <c r="B233" s="3" t="s">
        <v>1058</v>
      </c>
      <c r="C233" s="4" t="s">
        <v>1059</v>
      </c>
      <c r="D233" s="3" t="s">
        <v>1060</v>
      </c>
      <c r="E233" s="4" t="s">
        <v>1061</v>
      </c>
      <c r="F233" s="10">
        <v>77</v>
      </c>
      <c r="G233" s="8">
        <v>2</v>
      </c>
      <c r="H233" s="3" t="s">
        <v>144</v>
      </c>
      <c r="I233" s="9">
        <v>3570.45</v>
      </c>
      <c r="J233" s="9">
        <v>1798.21</v>
      </c>
      <c r="K233" s="9">
        <v>1772.24</v>
      </c>
      <c r="L233" s="3" t="s">
        <v>883</v>
      </c>
    </row>
    <row r="234" spans="1:12" x14ac:dyDescent="0.25">
      <c r="A234" s="3" t="s">
        <v>1062</v>
      </c>
      <c r="B234" s="3" t="s">
        <v>524</v>
      </c>
      <c r="C234" s="4" t="s">
        <v>1063</v>
      </c>
      <c r="D234" s="10">
        <v>437</v>
      </c>
      <c r="E234" s="4" t="s">
        <v>1064</v>
      </c>
      <c r="F234" s="10">
        <v>17</v>
      </c>
      <c r="G234" s="8">
        <v>2.1</v>
      </c>
      <c r="H234" s="3" t="s">
        <v>144</v>
      </c>
      <c r="I234" s="9">
        <v>636.98</v>
      </c>
      <c r="J234" s="9">
        <v>313.97000000000003</v>
      </c>
      <c r="K234" s="9">
        <v>323.01</v>
      </c>
      <c r="L234" s="3" t="s">
        <v>883</v>
      </c>
    </row>
    <row r="235" spans="1:12" x14ac:dyDescent="0.25">
      <c r="A235" s="3" t="s">
        <v>1065</v>
      </c>
      <c r="B235" s="3" t="s">
        <v>141</v>
      </c>
      <c r="C235" s="4" t="s">
        <v>1066</v>
      </c>
      <c r="D235" s="10">
        <v>899</v>
      </c>
      <c r="E235" s="4" t="s">
        <v>201</v>
      </c>
      <c r="F235" s="10">
        <v>28</v>
      </c>
      <c r="G235" s="8">
        <v>2.4</v>
      </c>
      <c r="H235" s="3" t="s">
        <v>131</v>
      </c>
      <c r="I235" s="9">
        <v>2152.1799999999998</v>
      </c>
      <c r="J235" s="9">
        <v>909.27</v>
      </c>
      <c r="K235" s="9">
        <v>1242.9100000000001</v>
      </c>
      <c r="L235" s="3" t="s">
        <v>883</v>
      </c>
    </row>
    <row r="236" spans="1:12" x14ac:dyDescent="0.25">
      <c r="A236" s="3" t="s">
        <v>1067</v>
      </c>
      <c r="B236" s="3" t="s">
        <v>147</v>
      </c>
      <c r="C236" s="4" t="s">
        <v>1068</v>
      </c>
      <c r="D236" s="10">
        <v>470</v>
      </c>
      <c r="E236" s="4" t="s">
        <v>1069</v>
      </c>
      <c r="F236" s="10">
        <v>5</v>
      </c>
      <c r="G236" s="8">
        <v>2.2999999999999998</v>
      </c>
      <c r="H236" s="3" t="s">
        <v>131</v>
      </c>
      <c r="I236" s="9">
        <v>2132.5700000000002</v>
      </c>
      <c r="J236" s="9">
        <v>956.91</v>
      </c>
      <c r="K236" s="9">
        <v>1175.6600000000001</v>
      </c>
      <c r="L236" s="3" t="s">
        <v>883</v>
      </c>
    </row>
    <row r="237" spans="1:12" x14ac:dyDescent="0.25">
      <c r="A237" s="3" t="s">
        <v>1070</v>
      </c>
      <c r="B237" s="3" t="s">
        <v>163</v>
      </c>
      <c r="C237" s="4" t="s">
        <v>1071</v>
      </c>
      <c r="D237" s="10">
        <v>119</v>
      </c>
      <c r="E237" s="4" t="s">
        <v>1072</v>
      </c>
      <c r="F237" s="10">
        <v>11</v>
      </c>
      <c r="G237" s="8">
        <v>1.976</v>
      </c>
      <c r="H237" s="3" t="s">
        <v>131</v>
      </c>
      <c r="I237" s="9">
        <v>877.89</v>
      </c>
      <c r="J237" s="9">
        <v>414.65</v>
      </c>
      <c r="K237" s="9">
        <v>463.24</v>
      </c>
      <c r="L237" s="3" t="s">
        <v>883</v>
      </c>
    </row>
    <row r="238" spans="1:12" x14ac:dyDescent="0.25">
      <c r="A238" s="3" t="s">
        <v>1073</v>
      </c>
      <c r="B238" s="3" t="s">
        <v>1074</v>
      </c>
      <c r="C238" s="4" t="s">
        <v>1075</v>
      </c>
      <c r="D238" s="10">
        <v>681</v>
      </c>
      <c r="E238" s="4" t="s">
        <v>1076</v>
      </c>
      <c r="F238" s="3" t="s">
        <v>1077</v>
      </c>
      <c r="G238" s="8">
        <v>1.5</v>
      </c>
      <c r="H238" s="3" t="s">
        <v>128</v>
      </c>
      <c r="I238" s="9">
        <v>4502.4399999999996</v>
      </c>
      <c r="J238" s="9">
        <v>2138.64</v>
      </c>
      <c r="K238" s="9">
        <v>2363.8000000000002</v>
      </c>
      <c r="L238" s="3" t="s">
        <v>883</v>
      </c>
    </row>
    <row r="239" spans="1:12" x14ac:dyDescent="0.25">
      <c r="A239" s="3" t="s">
        <v>1078</v>
      </c>
      <c r="B239" s="3" t="s">
        <v>1079</v>
      </c>
      <c r="C239" s="4" t="s">
        <v>1080</v>
      </c>
      <c r="D239" s="10">
        <v>218</v>
      </c>
      <c r="E239" s="4" t="s">
        <v>406</v>
      </c>
      <c r="F239" s="10">
        <v>10</v>
      </c>
      <c r="G239" s="8">
        <v>1.9</v>
      </c>
      <c r="H239" s="3" t="s">
        <v>131</v>
      </c>
      <c r="I239" s="9">
        <v>1208.71</v>
      </c>
      <c r="J239" s="9">
        <v>531.09</v>
      </c>
      <c r="K239" s="9">
        <v>677.62</v>
      </c>
      <c r="L239" s="3" t="s">
        <v>883</v>
      </c>
    </row>
    <row r="240" spans="1:12" ht="15" x14ac:dyDescent="0.25">
      <c r="A240" s="3" t="s">
        <v>1081</v>
      </c>
      <c r="B240" s="3" t="s">
        <v>1082</v>
      </c>
      <c r="C240" s="4" t="s">
        <v>1083</v>
      </c>
      <c r="D240" s="10" t="s">
        <v>1084</v>
      </c>
      <c r="E240" s="4" t="s">
        <v>1085</v>
      </c>
      <c r="F240" s="3" t="s">
        <v>1086</v>
      </c>
      <c r="G240" s="8">
        <v>1.55</v>
      </c>
      <c r="H240" s="3" t="s">
        <v>128</v>
      </c>
      <c r="I240" s="9">
        <v>11866.03</v>
      </c>
      <c r="J240" s="9">
        <v>5734.06</v>
      </c>
      <c r="K240" s="9">
        <v>6131.97</v>
      </c>
      <c r="L240" s="3" t="s">
        <v>883</v>
      </c>
    </row>
    <row r="241" spans="1:12" ht="15" x14ac:dyDescent="0.25">
      <c r="A241" s="3" t="s">
        <v>1087</v>
      </c>
      <c r="B241" s="3" t="s">
        <v>129</v>
      </c>
      <c r="C241" s="4" t="s">
        <v>1088</v>
      </c>
      <c r="D241" s="10">
        <v>246</v>
      </c>
      <c r="E241" s="4" t="s">
        <v>1089</v>
      </c>
      <c r="F241" s="10" t="s">
        <v>1090</v>
      </c>
      <c r="G241" s="8">
        <v>2.41</v>
      </c>
      <c r="H241" s="3" t="s">
        <v>128</v>
      </c>
      <c r="I241" s="9">
        <v>4739.63</v>
      </c>
      <c r="J241" s="9">
        <v>2289.6999999999998</v>
      </c>
      <c r="K241" s="9">
        <v>2449.9299999999998</v>
      </c>
      <c r="L241" s="3" t="s">
        <v>883</v>
      </c>
    </row>
    <row r="242" spans="1:12" x14ac:dyDescent="0.25">
      <c r="A242" s="3" t="s">
        <v>1091</v>
      </c>
      <c r="B242" s="3" t="s">
        <v>1092</v>
      </c>
      <c r="C242" s="4" t="s">
        <v>1093</v>
      </c>
      <c r="D242" s="3" t="s">
        <v>1094</v>
      </c>
      <c r="E242" s="4" t="s">
        <v>1095</v>
      </c>
      <c r="F242" s="3" t="s">
        <v>1096</v>
      </c>
      <c r="G242" s="8">
        <v>2.5</v>
      </c>
      <c r="H242" s="3" t="s">
        <v>128</v>
      </c>
      <c r="I242" s="9">
        <v>5353.63</v>
      </c>
      <c r="J242" s="9">
        <v>2564.19</v>
      </c>
      <c r="K242" s="9">
        <v>2789.44</v>
      </c>
      <c r="L242" s="3" t="s">
        <v>883</v>
      </c>
    </row>
    <row r="243" spans="1:12" x14ac:dyDescent="0.25">
      <c r="A243" s="3" t="s">
        <v>1097</v>
      </c>
      <c r="B243" s="3" t="s">
        <v>220</v>
      </c>
      <c r="C243" s="4" t="s">
        <v>1098</v>
      </c>
      <c r="D243" s="10">
        <v>119</v>
      </c>
      <c r="E243" s="4" t="s">
        <v>1099</v>
      </c>
      <c r="F243" s="10">
        <v>27</v>
      </c>
      <c r="G243" s="8">
        <v>1.796</v>
      </c>
      <c r="H243" s="3" t="s">
        <v>128</v>
      </c>
      <c r="I243" s="9">
        <v>1549.99</v>
      </c>
      <c r="J243" s="9">
        <v>814.02</v>
      </c>
      <c r="K243" s="9">
        <v>735.97</v>
      </c>
      <c r="L243" s="3" t="s">
        <v>883</v>
      </c>
    </row>
    <row r="244" spans="1:12" x14ac:dyDescent="0.25">
      <c r="A244" s="3" t="s">
        <v>1100</v>
      </c>
      <c r="B244" s="3" t="s">
        <v>127</v>
      </c>
      <c r="C244" s="4" t="s">
        <v>1101</v>
      </c>
      <c r="D244" s="10">
        <v>481</v>
      </c>
      <c r="E244" s="4" t="s">
        <v>1102</v>
      </c>
      <c r="F244" s="3" t="s">
        <v>1103</v>
      </c>
      <c r="G244" s="8">
        <v>2.2000000000000002</v>
      </c>
      <c r="H244" s="3" t="s">
        <v>128</v>
      </c>
      <c r="I244" s="9">
        <v>2711.83</v>
      </c>
      <c r="J244" s="9">
        <v>1242.58</v>
      </c>
      <c r="K244" s="9">
        <v>1469.25</v>
      </c>
      <c r="L244" s="3" t="s">
        <v>883</v>
      </c>
    </row>
    <row r="245" spans="1:12" x14ac:dyDescent="0.25">
      <c r="A245" s="3" t="s">
        <v>1104</v>
      </c>
      <c r="B245" s="3" t="s">
        <v>1105</v>
      </c>
      <c r="C245" s="4" t="s">
        <v>1106</v>
      </c>
      <c r="D245" s="10">
        <v>77</v>
      </c>
      <c r="E245" s="4" t="s">
        <v>1107</v>
      </c>
      <c r="F245" s="10">
        <v>6</v>
      </c>
      <c r="G245" s="8">
        <v>1.81</v>
      </c>
      <c r="H245" s="3" t="s">
        <v>131</v>
      </c>
      <c r="I245" s="9">
        <v>1550.65</v>
      </c>
      <c r="J245" s="9">
        <v>645.6</v>
      </c>
      <c r="K245" s="9">
        <v>905.05</v>
      </c>
      <c r="L245" s="3" t="s">
        <v>883</v>
      </c>
    </row>
    <row r="246" spans="1:12" x14ac:dyDescent="0.25">
      <c r="A246" s="3" t="s">
        <v>1108</v>
      </c>
      <c r="B246" s="3" t="s">
        <v>220</v>
      </c>
      <c r="C246" s="4" t="s">
        <v>1109</v>
      </c>
      <c r="D246" s="10">
        <v>93</v>
      </c>
      <c r="E246" s="4" t="s">
        <v>1110</v>
      </c>
      <c r="F246" s="10">
        <v>27</v>
      </c>
      <c r="G246" s="8">
        <v>1.71</v>
      </c>
      <c r="H246" s="3" t="s">
        <v>128</v>
      </c>
      <c r="I246" s="9">
        <v>1643.25</v>
      </c>
      <c r="J246" s="9">
        <v>857.6</v>
      </c>
      <c r="K246" s="9">
        <v>785.65</v>
      </c>
      <c r="L246" s="3" t="s">
        <v>883</v>
      </c>
    </row>
    <row r="247" spans="1:12" x14ac:dyDescent="0.25">
      <c r="A247" s="3" t="s">
        <v>1111</v>
      </c>
      <c r="B247" s="3" t="s">
        <v>141</v>
      </c>
      <c r="C247" s="4" t="s">
        <v>1112</v>
      </c>
      <c r="D247" s="10">
        <v>636</v>
      </c>
      <c r="E247" s="4" t="s">
        <v>1113</v>
      </c>
      <c r="F247" s="10">
        <v>8</v>
      </c>
      <c r="G247" s="8">
        <v>2.1</v>
      </c>
      <c r="H247" s="3" t="s">
        <v>131</v>
      </c>
      <c r="I247" s="9">
        <v>2209.17</v>
      </c>
      <c r="J247" s="9">
        <v>973.78</v>
      </c>
      <c r="K247" s="9">
        <v>1235.3900000000001</v>
      </c>
      <c r="L247" s="3" t="s">
        <v>883</v>
      </c>
    </row>
    <row r="248" spans="1:12" x14ac:dyDescent="0.25">
      <c r="A248" s="3" t="s">
        <v>1114</v>
      </c>
      <c r="B248" s="3" t="s">
        <v>1115</v>
      </c>
      <c r="C248" s="4" t="s">
        <v>1116</v>
      </c>
      <c r="D248" s="10">
        <v>187</v>
      </c>
      <c r="E248" s="4" t="s">
        <v>1117</v>
      </c>
      <c r="F248" s="10">
        <v>37</v>
      </c>
      <c r="G248" s="8">
        <v>2.097</v>
      </c>
      <c r="H248" s="3" t="s">
        <v>128</v>
      </c>
      <c r="I248" s="9">
        <v>13504.93</v>
      </c>
      <c r="J248" s="9">
        <v>6218.77</v>
      </c>
      <c r="K248" s="9">
        <v>7286.16</v>
      </c>
      <c r="L248" s="3" t="s">
        <v>883</v>
      </c>
    </row>
    <row r="249" spans="1:12" ht="15" x14ac:dyDescent="0.25">
      <c r="A249" s="3" t="s">
        <v>1118</v>
      </c>
      <c r="B249" s="3" t="s">
        <v>166</v>
      </c>
      <c r="C249" s="4" t="s">
        <v>1119</v>
      </c>
      <c r="D249" s="10" t="s">
        <v>1120</v>
      </c>
      <c r="E249" s="4" t="s">
        <v>194</v>
      </c>
      <c r="F249" s="10">
        <v>90</v>
      </c>
      <c r="G249" s="8">
        <v>2.0699999999999998</v>
      </c>
      <c r="H249" s="3" t="s">
        <v>144</v>
      </c>
      <c r="I249" s="9">
        <v>1497.13</v>
      </c>
      <c r="J249" s="9">
        <v>753.19</v>
      </c>
      <c r="K249" s="9">
        <v>743.94</v>
      </c>
      <c r="L249" s="3" t="s">
        <v>883</v>
      </c>
    </row>
    <row r="250" spans="1:12" x14ac:dyDescent="0.25">
      <c r="A250" s="3" t="s">
        <v>1121</v>
      </c>
      <c r="B250" s="3" t="s">
        <v>220</v>
      </c>
      <c r="C250" s="4" t="s">
        <v>1122</v>
      </c>
      <c r="D250" s="10">
        <v>307</v>
      </c>
      <c r="E250" s="4" t="s">
        <v>1123</v>
      </c>
      <c r="F250" s="10">
        <v>6</v>
      </c>
      <c r="G250" s="8">
        <v>2.12</v>
      </c>
      <c r="H250" s="3" t="s">
        <v>131</v>
      </c>
      <c r="I250" s="9">
        <v>1627.43</v>
      </c>
      <c r="J250" s="9">
        <v>730.56</v>
      </c>
      <c r="K250" s="9">
        <v>896.87</v>
      </c>
      <c r="L250" s="3" t="s">
        <v>883</v>
      </c>
    </row>
    <row r="251" spans="1:12" ht="15" x14ac:dyDescent="0.25">
      <c r="A251" s="3" t="s">
        <v>1124</v>
      </c>
      <c r="B251" s="3" t="s">
        <v>127</v>
      </c>
      <c r="C251" s="4" t="s">
        <v>1125</v>
      </c>
      <c r="D251" s="10">
        <v>434</v>
      </c>
      <c r="E251" s="4" t="s">
        <v>1126</v>
      </c>
      <c r="F251" s="10" t="s">
        <v>995</v>
      </c>
      <c r="G251" s="8">
        <v>2.37</v>
      </c>
      <c r="H251" s="3" t="s">
        <v>128</v>
      </c>
      <c r="I251" s="9">
        <v>766.74</v>
      </c>
      <c r="J251" s="9">
        <v>386.24</v>
      </c>
      <c r="K251" s="9">
        <v>380.5</v>
      </c>
      <c r="L251" s="3" t="s">
        <v>883</v>
      </c>
    </row>
    <row r="252" spans="1:12" x14ac:dyDescent="0.25">
      <c r="A252" s="3" t="s">
        <v>1127</v>
      </c>
      <c r="B252" s="3" t="s">
        <v>141</v>
      </c>
      <c r="C252" s="4" t="s">
        <v>1128</v>
      </c>
      <c r="D252" s="10">
        <v>406</v>
      </c>
      <c r="E252" s="4" t="s">
        <v>1129</v>
      </c>
      <c r="F252" s="10">
        <v>10</v>
      </c>
      <c r="G252" s="8">
        <v>1.91</v>
      </c>
      <c r="H252" s="3" t="s">
        <v>131</v>
      </c>
      <c r="I252" s="9">
        <v>1540.6</v>
      </c>
      <c r="J252" s="9">
        <v>662.47</v>
      </c>
      <c r="K252" s="9">
        <v>878.13</v>
      </c>
      <c r="L252" s="3" t="s">
        <v>883</v>
      </c>
    </row>
    <row r="253" spans="1:12" x14ac:dyDescent="0.25">
      <c r="A253" s="3" t="s">
        <v>1130</v>
      </c>
      <c r="B253" s="3" t="s">
        <v>138</v>
      </c>
      <c r="C253" s="4" t="s">
        <v>1131</v>
      </c>
      <c r="D253" s="10">
        <v>185</v>
      </c>
      <c r="E253" s="4" t="s">
        <v>1132</v>
      </c>
      <c r="F253" s="10">
        <v>6</v>
      </c>
      <c r="G253" s="8">
        <v>1.82</v>
      </c>
      <c r="H253" s="3" t="s">
        <v>131</v>
      </c>
      <c r="I253" s="9">
        <v>2474.4</v>
      </c>
      <c r="J253" s="9">
        <v>968.66</v>
      </c>
      <c r="K253" s="9">
        <v>1505.74</v>
      </c>
      <c r="L253" s="3" t="s">
        <v>883</v>
      </c>
    </row>
    <row r="254" spans="1:12" x14ac:dyDescent="0.25">
      <c r="A254" s="3" t="s">
        <v>1133</v>
      </c>
      <c r="B254" s="3" t="s">
        <v>215</v>
      </c>
      <c r="C254" s="4" t="s">
        <v>1134</v>
      </c>
      <c r="D254" s="10">
        <v>192</v>
      </c>
      <c r="E254" s="4" t="s">
        <v>1135</v>
      </c>
      <c r="F254" s="10">
        <v>36</v>
      </c>
      <c r="G254" s="8">
        <v>2.41</v>
      </c>
      <c r="H254" s="3" t="s">
        <v>128</v>
      </c>
      <c r="I254" s="9">
        <v>2639.82</v>
      </c>
      <c r="J254" s="9">
        <v>1334.41</v>
      </c>
      <c r="K254" s="9">
        <v>1305.4100000000001</v>
      </c>
      <c r="L254" s="3" t="s">
        <v>883</v>
      </c>
    </row>
    <row r="255" spans="1:12" s="2" customFormat="1" ht="15" x14ac:dyDescent="0.25">
      <c r="A255" s="3" t="s">
        <v>1136</v>
      </c>
      <c r="B255" s="3" t="s">
        <v>1092</v>
      </c>
      <c r="C255" s="4" t="s">
        <v>1137</v>
      </c>
      <c r="D255" s="3" t="s">
        <v>1138</v>
      </c>
      <c r="E255" s="2" t="s">
        <v>1139</v>
      </c>
      <c r="F255" s="3" t="s">
        <v>1140</v>
      </c>
      <c r="G255" s="8">
        <v>1.905</v>
      </c>
      <c r="H255" s="3" t="s">
        <v>128</v>
      </c>
      <c r="I255" s="9">
        <v>6971.76</v>
      </c>
      <c r="J255" s="9">
        <v>3301.47</v>
      </c>
      <c r="K255" s="9">
        <v>3670.29</v>
      </c>
      <c r="L255" s="3" t="s">
        <v>883</v>
      </c>
    </row>
    <row r="256" spans="1:12" s="2" customFormat="1" ht="15" x14ac:dyDescent="0.25">
      <c r="A256" s="3" t="s">
        <v>1141</v>
      </c>
      <c r="B256" s="3" t="s">
        <v>138</v>
      </c>
      <c r="C256" s="4" t="s">
        <v>1142</v>
      </c>
      <c r="D256" s="10" t="s">
        <v>1143</v>
      </c>
      <c r="E256" s="4" t="s">
        <v>137</v>
      </c>
      <c r="F256" s="10">
        <v>59</v>
      </c>
      <c r="G256" s="8">
        <v>1.8949969604100001</v>
      </c>
      <c r="H256" s="3" t="s">
        <v>149</v>
      </c>
      <c r="I256" s="9">
        <v>3208.63</v>
      </c>
      <c r="J256" s="9">
        <v>1577.78</v>
      </c>
      <c r="K256" s="9">
        <v>1630.85</v>
      </c>
      <c r="L256" s="3" t="s">
        <v>883</v>
      </c>
    </row>
    <row r="257" spans="1:12" s="2" customFormat="1" x14ac:dyDescent="0.25">
      <c r="A257" s="3" t="s">
        <v>1144</v>
      </c>
      <c r="B257" s="3" t="s">
        <v>141</v>
      </c>
      <c r="C257" s="4" t="s">
        <v>1145</v>
      </c>
      <c r="D257" s="10">
        <v>201</v>
      </c>
      <c r="E257" s="4" t="s">
        <v>1146</v>
      </c>
      <c r="F257" s="10">
        <v>6</v>
      </c>
      <c r="G257" s="8">
        <v>2.2999999999999998</v>
      </c>
      <c r="H257" s="3" t="s">
        <v>131</v>
      </c>
      <c r="I257" s="9">
        <v>611.54</v>
      </c>
      <c r="J257" s="9">
        <v>274.22000000000003</v>
      </c>
      <c r="K257" s="9">
        <v>337.32</v>
      </c>
      <c r="L257" s="3" t="s">
        <v>883</v>
      </c>
    </row>
    <row r="258" spans="1:12" s="2" customFormat="1" x14ac:dyDescent="0.25">
      <c r="A258" s="3" t="s">
        <v>1147</v>
      </c>
      <c r="B258" s="3" t="s">
        <v>127</v>
      </c>
      <c r="C258" s="4" t="s">
        <v>1148</v>
      </c>
      <c r="D258" s="10">
        <v>690</v>
      </c>
      <c r="E258" s="4" t="s">
        <v>157</v>
      </c>
      <c r="F258" s="3" t="s">
        <v>1149</v>
      </c>
      <c r="G258" s="8">
        <v>2.34</v>
      </c>
      <c r="H258" s="3" t="s">
        <v>128</v>
      </c>
      <c r="I258" s="9">
        <v>3605.05</v>
      </c>
      <c r="J258" s="9">
        <v>1650.52</v>
      </c>
      <c r="K258" s="9">
        <v>1954.53</v>
      </c>
      <c r="L258" s="3" t="s">
        <v>883</v>
      </c>
    </row>
    <row r="259" spans="1:12" s="2" customFormat="1" x14ac:dyDescent="0.25">
      <c r="A259" s="3" t="s">
        <v>1150</v>
      </c>
      <c r="B259" s="3" t="s">
        <v>1151</v>
      </c>
      <c r="C259" s="4" t="s">
        <v>1152</v>
      </c>
      <c r="D259" s="10">
        <v>149</v>
      </c>
      <c r="E259" s="4" t="s">
        <v>1153</v>
      </c>
      <c r="F259" s="10">
        <v>6</v>
      </c>
      <c r="G259" s="8">
        <v>1.4410000000000001</v>
      </c>
      <c r="H259" s="3" t="s">
        <v>131</v>
      </c>
      <c r="I259" s="9">
        <v>3177.05</v>
      </c>
      <c r="J259" s="9">
        <v>1285.69</v>
      </c>
      <c r="K259" s="9">
        <v>1891.36</v>
      </c>
      <c r="L259" s="3" t="s">
        <v>883</v>
      </c>
    </row>
    <row r="260" spans="1:12" s="2" customFormat="1" x14ac:dyDescent="0.25">
      <c r="A260" s="3" t="s">
        <v>1154</v>
      </c>
      <c r="B260" s="3" t="s">
        <v>141</v>
      </c>
      <c r="C260" s="4" t="s">
        <v>1101</v>
      </c>
      <c r="D260" s="10">
        <v>137</v>
      </c>
      <c r="E260" s="4" t="s">
        <v>1155</v>
      </c>
      <c r="F260" s="10">
        <v>34</v>
      </c>
      <c r="G260" s="8">
        <v>1.9</v>
      </c>
      <c r="H260" s="3" t="s">
        <v>128</v>
      </c>
      <c r="I260" s="9">
        <v>1236.1199999999999</v>
      </c>
      <c r="J260" s="9">
        <v>648.45000000000005</v>
      </c>
      <c r="K260" s="9">
        <v>587.66999999999996</v>
      </c>
      <c r="L260" s="3" t="s">
        <v>883</v>
      </c>
    </row>
    <row r="261" spans="1:12" s="2" customFormat="1" x14ac:dyDescent="0.25">
      <c r="A261" s="3" t="s">
        <v>1156</v>
      </c>
      <c r="B261" s="3" t="s">
        <v>480</v>
      </c>
      <c r="C261" s="4" t="s">
        <v>1157</v>
      </c>
      <c r="D261" s="10">
        <v>432</v>
      </c>
      <c r="E261" s="4" t="s">
        <v>1158</v>
      </c>
      <c r="F261" s="10">
        <v>86</v>
      </c>
      <c r="G261" s="8">
        <v>1.89</v>
      </c>
      <c r="H261" s="3" t="s">
        <v>144</v>
      </c>
      <c r="I261" s="9">
        <v>2955.5</v>
      </c>
      <c r="J261" s="9">
        <v>1387</v>
      </c>
      <c r="K261" s="9">
        <v>1568.5</v>
      </c>
      <c r="L261" s="3" t="s">
        <v>883</v>
      </c>
    </row>
    <row r="262" spans="1:12" s="2" customFormat="1" ht="15" x14ac:dyDescent="0.25">
      <c r="A262" s="3" t="s">
        <v>1159</v>
      </c>
      <c r="B262" s="3" t="s">
        <v>1074</v>
      </c>
      <c r="C262" s="4" t="s">
        <v>1160</v>
      </c>
      <c r="D262" s="10">
        <v>728</v>
      </c>
      <c r="E262" s="3" t="s">
        <v>1161</v>
      </c>
      <c r="F262" s="10" t="s">
        <v>987</v>
      </c>
      <c r="G262" s="8">
        <v>2.1800000000000002</v>
      </c>
      <c r="H262" s="3" t="s">
        <v>128</v>
      </c>
      <c r="I262" s="9">
        <v>4192.8999999999996</v>
      </c>
      <c r="J262" s="9">
        <v>1997.89</v>
      </c>
      <c r="K262" s="9">
        <v>2195.0100000000002</v>
      </c>
      <c r="L262" s="3" t="s">
        <v>883</v>
      </c>
    </row>
    <row r="263" spans="1:12" s="2" customFormat="1" ht="15" x14ac:dyDescent="0.25">
      <c r="A263" s="3" t="s">
        <v>1162</v>
      </c>
      <c r="B263" s="3" t="s">
        <v>1074</v>
      </c>
      <c r="C263" s="4" t="s">
        <v>1163</v>
      </c>
      <c r="D263" s="10">
        <v>673</v>
      </c>
      <c r="E263" s="4" t="s">
        <v>1164</v>
      </c>
      <c r="F263" s="10" t="s">
        <v>1165</v>
      </c>
      <c r="G263" s="8">
        <v>1.4359999999999999</v>
      </c>
      <c r="H263" s="3" t="s">
        <v>128</v>
      </c>
      <c r="I263" s="9">
        <v>4408.9399999999996</v>
      </c>
      <c r="J263" s="9">
        <v>2062.16</v>
      </c>
      <c r="K263" s="9">
        <v>2346.7800000000002</v>
      </c>
      <c r="L263" s="3" t="s">
        <v>883</v>
      </c>
    </row>
    <row r="264" spans="1:12" s="2" customFormat="1" ht="15" x14ac:dyDescent="0.25">
      <c r="A264" s="3" t="s">
        <v>1166</v>
      </c>
      <c r="B264" s="3" t="s">
        <v>1167</v>
      </c>
      <c r="C264" s="4" t="s">
        <v>1168</v>
      </c>
      <c r="D264" s="10" t="s">
        <v>1169</v>
      </c>
      <c r="E264" s="4" t="s">
        <v>187</v>
      </c>
      <c r="F264" s="3" t="s">
        <v>1170</v>
      </c>
      <c r="G264" s="8">
        <v>1.798</v>
      </c>
      <c r="H264" s="3" t="s">
        <v>128</v>
      </c>
      <c r="I264" s="9">
        <v>3199.15</v>
      </c>
      <c r="J264" s="9">
        <v>1485.77</v>
      </c>
      <c r="K264" s="9">
        <v>1713.38</v>
      </c>
      <c r="L264" s="3" t="s">
        <v>883</v>
      </c>
    </row>
    <row r="265" spans="1:12" s="2" customFormat="1" ht="13.2" x14ac:dyDescent="0.25">
      <c r="A265" s="10"/>
      <c r="B265" s="10"/>
      <c r="D265" s="10"/>
      <c r="F265" s="10"/>
      <c r="G265" s="10"/>
      <c r="H265" s="10"/>
      <c r="I265" s="10"/>
      <c r="J265" s="10"/>
      <c r="K265" s="10"/>
      <c r="L265" s="10"/>
    </row>
    <row r="266" spans="1:12" s="2" customFormat="1" ht="13.2" x14ac:dyDescent="0.25">
      <c r="A266" s="10"/>
      <c r="B266" s="10"/>
      <c r="D266" s="10"/>
      <c r="F266" s="10"/>
      <c r="G266" s="10"/>
      <c r="H266" s="10"/>
      <c r="I266" s="10"/>
      <c r="J266" s="10"/>
      <c r="K266" s="10"/>
      <c r="L266" s="10"/>
    </row>
    <row r="267" spans="1:12" s="2" customFormat="1" ht="13.2" x14ac:dyDescent="0.25">
      <c r="A267" s="10"/>
      <c r="B267" s="10"/>
      <c r="D267" s="10"/>
      <c r="F267" s="10"/>
      <c r="G267" s="10"/>
      <c r="H267" s="10"/>
      <c r="I267" s="10"/>
      <c r="J267" s="10"/>
      <c r="K267" s="10"/>
      <c r="L267" s="10"/>
    </row>
    <row r="268" spans="1:12" s="2" customFormat="1" ht="13.2" x14ac:dyDescent="0.25">
      <c r="A268" s="10"/>
      <c r="B268" s="10"/>
      <c r="D268" s="10"/>
      <c r="F268" s="10"/>
      <c r="G268" s="10"/>
      <c r="H268" s="10"/>
      <c r="I268" s="10"/>
      <c r="J268" s="10"/>
      <c r="K268" s="10"/>
      <c r="L268" s="10"/>
    </row>
    <row r="269" spans="1:12" s="2" customFormat="1" ht="13.2" x14ac:dyDescent="0.25">
      <c r="A269" s="10"/>
      <c r="B269" s="10"/>
      <c r="D269" s="10"/>
      <c r="F269" s="10"/>
      <c r="G269" s="10"/>
      <c r="H269" s="10"/>
      <c r="I269" s="10"/>
      <c r="J269" s="10"/>
      <c r="K269" s="10"/>
      <c r="L269" s="10"/>
    </row>
    <row r="270" spans="1:12" s="2" customFormat="1" ht="13.2" x14ac:dyDescent="0.25">
      <c r="A270" s="10"/>
      <c r="B270" s="10"/>
      <c r="D270" s="10"/>
      <c r="F270" s="10"/>
      <c r="G270" s="10"/>
      <c r="H270" s="10"/>
      <c r="I270" s="10"/>
      <c r="J270" s="10"/>
      <c r="K270" s="10"/>
      <c r="L270" s="10"/>
    </row>
    <row r="271" spans="1:12" s="2" customFormat="1" ht="13.2" x14ac:dyDescent="0.25">
      <c r="A271" s="10"/>
      <c r="B271" s="10"/>
      <c r="D271" s="10"/>
      <c r="F271" s="10"/>
      <c r="G271" s="10"/>
      <c r="H271" s="10"/>
      <c r="I271" s="10"/>
      <c r="J271" s="10"/>
      <c r="K271" s="10"/>
      <c r="L271" s="10"/>
    </row>
    <row r="272" spans="1:12" s="2" customFormat="1" ht="13.2" x14ac:dyDescent="0.25">
      <c r="A272" s="10"/>
      <c r="B272" s="10"/>
      <c r="D272" s="10"/>
      <c r="F272" s="10"/>
      <c r="G272" s="10"/>
      <c r="H272" s="10"/>
      <c r="I272" s="10"/>
      <c r="J272" s="10"/>
      <c r="K272" s="10"/>
      <c r="L272" s="10"/>
    </row>
    <row r="273" spans="1:12" s="2" customFormat="1" ht="13.2" x14ac:dyDescent="0.25">
      <c r="A273" s="10"/>
      <c r="B273" s="10"/>
      <c r="D273" s="10"/>
      <c r="F273" s="10"/>
      <c r="G273" s="10"/>
      <c r="H273" s="10"/>
      <c r="I273" s="10"/>
      <c r="J273" s="10"/>
      <c r="K273" s="10"/>
      <c r="L273" s="10"/>
    </row>
    <row r="274" spans="1:12" s="2" customFormat="1" ht="13.2" x14ac:dyDescent="0.25">
      <c r="A274" s="10"/>
      <c r="B274" s="10"/>
      <c r="D274" s="10"/>
      <c r="F274" s="10"/>
      <c r="G274" s="10"/>
      <c r="H274" s="10"/>
      <c r="I274" s="10"/>
      <c r="J274" s="10"/>
      <c r="K274" s="10"/>
      <c r="L274" s="10"/>
    </row>
    <row r="275" spans="1:12" s="2" customFormat="1" ht="13.2" x14ac:dyDescent="0.25">
      <c r="A275" s="10"/>
      <c r="B275" s="10"/>
      <c r="D275" s="10"/>
      <c r="F275" s="10"/>
      <c r="G275" s="10"/>
      <c r="H275" s="10"/>
      <c r="I275" s="10"/>
      <c r="J275" s="10"/>
      <c r="K275" s="10"/>
      <c r="L275" s="10"/>
    </row>
    <row r="276" spans="1:12" s="2" customFormat="1" ht="13.2" x14ac:dyDescent="0.25">
      <c r="A276" s="10"/>
      <c r="B276" s="10"/>
      <c r="D276" s="10"/>
      <c r="F276" s="10"/>
      <c r="G276" s="10"/>
      <c r="H276" s="10"/>
      <c r="I276" s="10"/>
      <c r="J276" s="10"/>
      <c r="K276" s="10"/>
      <c r="L276" s="10"/>
    </row>
    <row r="277" spans="1:12" s="2" customFormat="1" ht="13.2" x14ac:dyDescent="0.25">
      <c r="A277" s="10"/>
      <c r="B277" s="10"/>
      <c r="D277" s="10"/>
      <c r="F277" s="10"/>
      <c r="G277" s="10"/>
      <c r="H277" s="10"/>
      <c r="I277" s="10"/>
      <c r="J277" s="10"/>
      <c r="K277" s="10"/>
      <c r="L277" s="10"/>
    </row>
    <row r="278" spans="1:12" s="2" customFormat="1" ht="13.2" x14ac:dyDescent="0.25">
      <c r="A278" s="10"/>
      <c r="B278" s="10"/>
      <c r="D278" s="10"/>
      <c r="F278" s="10"/>
      <c r="G278" s="10"/>
      <c r="H278" s="10"/>
      <c r="I278" s="10"/>
      <c r="J278" s="10"/>
      <c r="K278" s="10"/>
      <c r="L278" s="10"/>
    </row>
    <row r="279" spans="1:12" s="2" customFormat="1" ht="13.2" x14ac:dyDescent="0.25">
      <c r="A279" s="10"/>
      <c r="B279" s="10"/>
      <c r="D279" s="10"/>
      <c r="F279" s="10"/>
      <c r="G279" s="10"/>
      <c r="H279" s="10"/>
      <c r="I279" s="10"/>
      <c r="J279" s="10"/>
      <c r="K279" s="10"/>
      <c r="L279" s="10"/>
    </row>
    <row r="280" spans="1:12" s="2" customFormat="1" ht="13.2" x14ac:dyDescent="0.25">
      <c r="A280" s="10"/>
      <c r="B280" s="10"/>
      <c r="D280" s="10"/>
      <c r="F280" s="10"/>
      <c r="G280" s="10"/>
      <c r="H280" s="10"/>
      <c r="I280" s="10"/>
      <c r="J280" s="10"/>
      <c r="K280" s="10"/>
      <c r="L280" s="10"/>
    </row>
    <row r="281" spans="1:12" s="2" customFormat="1" ht="13.2" x14ac:dyDescent="0.25">
      <c r="A281" s="10"/>
      <c r="B281" s="10"/>
      <c r="D281" s="10"/>
      <c r="F281" s="10"/>
      <c r="G281" s="10"/>
      <c r="H281" s="10"/>
      <c r="I281" s="10"/>
      <c r="J281" s="10"/>
      <c r="K281" s="10"/>
      <c r="L281" s="10"/>
    </row>
    <row r="282" spans="1:12" s="2" customFormat="1" ht="13.2" x14ac:dyDescent="0.25">
      <c r="A282" s="10"/>
      <c r="B282" s="10"/>
      <c r="D282" s="10"/>
      <c r="F282" s="10"/>
      <c r="G282" s="10"/>
      <c r="H282" s="10"/>
      <c r="I282" s="10"/>
      <c r="J282" s="10"/>
      <c r="K282" s="10"/>
      <c r="L282" s="10"/>
    </row>
    <row r="283" spans="1:12" s="2" customFormat="1" ht="13.2" x14ac:dyDescent="0.25">
      <c r="A283" s="10"/>
      <c r="B283" s="10"/>
      <c r="D283" s="10"/>
      <c r="F283" s="10"/>
      <c r="G283" s="10"/>
      <c r="H283" s="10"/>
      <c r="I283" s="10"/>
      <c r="J283" s="10"/>
      <c r="K283" s="10"/>
      <c r="L283" s="10"/>
    </row>
    <row r="284" spans="1:12" s="2" customFormat="1" ht="13.2" x14ac:dyDescent="0.25">
      <c r="A284" s="10"/>
      <c r="B284" s="10"/>
      <c r="D284" s="10"/>
      <c r="F284" s="10"/>
      <c r="G284" s="10"/>
      <c r="H284" s="10"/>
      <c r="I284" s="10"/>
      <c r="J284" s="10"/>
      <c r="K284" s="10"/>
      <c r="L284" s="10"/>
    </row>
    <row r="285" spans="1:12" s="2" customFormat="1" ht="13.2" x14ac:dyDescent="0.25">
      <c r="A285" s="10"/>
      <c r="B285" s="10"/>
      <c r="D285" s="10"/>
      <c r="F285" s="10"/>
      <c r="G285" s="10"/>
      <c r="H285" s="10"/>
      <c r="I285" s="10"/>
      <c r="J285" s="10"/>
      <c r="K285" s="10"/>
      <c r="L285" s="10"/>
    </row>
    <row r="286" spans="1:12" s="2" customFormat="1" ht="13.2" x14ac:dyDescent="0.25">
      <c r="A286" s="10"/>
      <c r="B286" s="10"/>
      <c r="D286" s="10"/>
      <c r="F286" s="10"/>
      <c r="G286" s="10"/>
      <c r="H286" s="10"/>
      <c r="I286" s="10"/>
      <c r="J286" s="10"/>
      <c r="K286" s="10"/>
      <c r="L286" s="10"/>
    </row>
    <row r="287" spans="1:12" s="2" customFormat="1" ht="13.2" x14ac:dyDescent="0.25">
      <c r="A287" s="10"/>
      <c r="B287" s="10"/>
      <c r="D287" s="10"/>
      <c r="F287" s="10"/>
      <c r="G287" s="10"/>
      <c r="H287" s="10"/>
      <c r="I287" s="10"/>
      <c r="J287" s="10"/>
      <c r="K287" s="10"/>
      <c r="L287" s="10"/>
    </row>
    <row r="288" spans="1:12" s="2" customFormat="1" ht="13.2" x14ac:dyDescent="0.25">
      <c r="A288" s="10"/>
      <c r="B288" s="10"/>
      <c r="D288" s="10"/>
      <c r="F288" s="10"/>
      <c r="G288" s="10"/>
      <c r="H288" s="10"/>
      <c r="I288" s="10"/>
      <c r="J288" s="10"/>
      <c r="K288" s="10"/>
      <c r="L288" s="10"/>
    </row>
    <row r="289" spans="1:12" s="2" customFormat="1" ht="13.2" x14ac:dyDescent="0.25">
      <c r="A289" s="10"/>
      <c r="B289" s="10"/>
      <c r="D289" s="10"/>
      <c r="F289" s="10"/>
      <c r="G289" s="10"/>
      <c r="H289" s="10"/>
      <c r="I289" s="10"/>
      <c r="J289" s="10"/>
      <c r="K289" s="10"/>
      <c r="L289" s="10"/>
    </row>
    <row r="290" spans="1:12" s="2" customFormat="1" ht="13.2" x14ac:dyDescent="0.25">
      <c r="A290" s="10"/>
      <c r="B290" s="10"/>
      <c r="D290" s="10"/>
      <c r="F290" s="10"/>
      <c r="G290" s="10"/>
      <c r="H290" s="10"/>
      <c r="I290" s="10"/>
      <c r="J290" s="10"/>
      <c r="K290" s="10"/>
      <c r="L290" s="10"/>
    </row>
    <row r="291" spans="1:12" s="2" customFormat="1" ht="13.2" x14ac:dyDescent="0.25">
      <c r="A291" s="10"/>
      <c r="B291" s="10"/>
      <c r="D291" s="10"/>
      <c r="F291" s="10"/>
      <c r="G291" s="10"/>
      <c r="H291" s="10"/>
      <c r="I291" s="10"/>
      <c r="J291" s="10"/>
      <c r="K291" s="10"/>
      <c r="L291" s="10"/>
    </row>
    <row r="292" spans="1:12" s="2" customFormat="1" ht="13.2" x14ac:dyDescent="0.25">
      <c r="A292" s="10"/>
      <c r="B292" s="10"/>
      <c r="D292" s="10"/>
      <c r="F292" s="10"/>
      <c r="G292" s="10"/>
      <c r="H292" s="10"/>
      <c r="I292" s="10"/>
      <c r="J292" s="10"/>
      <c r="K292" s="10"/>
      <c r="L292" s="10"/>
    </row>
    <row r="293" spans="1:12" s="2" customFormat="1" ht="13.2" x14ac:dyDescent="0.25">
      <c r="A293" s="10"/>
      <c r="B293" s="10"/>
      <c r="D293" s="10"/>
      <c r="F293" s="10"/>
      <c r="G293" s="10"/>
      <c r="H293" s="10"/>
      <c r="I293" s="10"/>
      <c r="J293" s="10"/>
      <c r="K293" s="10"/>
      <c r="L293" s="10"/>
    </row>
    <row r="294" spans="1:12" s="2" customFormat="1" ht="13.2" x14ac:dyDescent="0.25">
      <c r="A294" s="10"/>
      <c r="B294" s="10"/>
      <c r="D294" s="10"/>
      <c r="F294" s="10"/>
      <c r="G294" s="10"/>
      <c r="H294" s="10"/>
      <c r="I294" s="10"/>
      <c r="J294" s="10"/>
      <c r="K294" s="10"/>
      <c r="L294" s="10"/>
    </row>
    <row r="295" spans="1:12" s="2" customFormat="1" ht="13.2" x14ac:dyDescent="0.25">
      <c r="A295" s="10"/>
      <c r="B295" s="10"/>
      <c r="D295" s="10"/>
      <c r="F295" s="10"/>
      <c r="G295" s="10"/>
      <c r="H295" s="10"/>
      <c r="I295" s="10"/>
      <c r="J295" s="10"/>
      <c r="K295" s="10"/>
      <c r="L295" s="10"/>
    </row>
    <row r="296" spans="1:12" s="2" customFormat="1" ht="13.2" x14ac:dyDescent="0.25">
      <c r="A296" s="10"/>
      <c r="B296" s="10"/>
      <c r="D296" s="10"/>
      <c r="F296" s="10"/>
      <c r="G296" s="10"/>
      <c r="H296" s="10"/>
      <c r="I296" s="10"/>
      <c r="J296" s="10"/>
      <c r="K296" s="10"/>
      <c r="L296" s="10"/>
    </row>
    <row r="297" spans="1:12" s="2" customFormat="1" ht="13.2" x14ac:dyDescent="0.25">
      <c r="A297" s="10"/>
      <c r="B297" s="10"/>
      <c r="D297" s="10"/>
      <c r="F297" s="10"/>
      <c r="G297" s="10"/>
      <c r="H297" s="10"/>
      <c r="I297" s="10"/>
      <c r="J297" s="10"/>
      <c r="K297" s="10"/>
      <c r="L297" s="10"/>
    </row>
    <row r="298" spans="1:12" s="2" customFormat="1" ht="13.2" x14ac:dyDescent="0.25">
      <c r="A298" s="10"/>
      <c r="B298" s="10"/>
      <c r="D298" s="10"/>
      <c r="F298" s="10"/>
      <c r="G298" s="10"/>
      <c r="H298" s="10"/>
      <c r="I298" s="10"/>
      <c r="J298" s="10"/>
      <c r="K298" s="10"/>
      <c r="L298" s="10"/>
    </row>
    <row r="299" spans="1:12" s="2" customFormat="1" ht="13.2" x14ac:dyDescent="0.25">
      <c r="A299" s="10"/>
      <c r="B299" s="10"/>
      <c r="D299" s="10"/>
      <c r="F299" s="10"/>
      <c r="G299" s="10"/>
      <c r="H299" s="10"/>
      <c r="I299" s="10"/>
      <c r="J299" s="10"/>
      <c r="K299" s="10"/>
      <c r="L299" s="10"/>
    </row>
    <row r="300" spans="1:12" s="2" customFormat="1" ht="13.2" x14ac:dyDescent="0.25">
      <c r="A300" s="10"/>
      <c r="B300" s="10"/>
      <c r="D300" s="10"/>
      <c r="F300" s="10"/>
      <c r="G300" s="10"/>
      <c r="H300" s="10"/>
      <c r="I300" s="10"/>
      <c r="J300" s="10"/>
      <c r="K300" s="10"/>
      <c r="L300" s="10"/>
    </row>
    <row r="301" spans="1:12" s="2" customFormat="1" ht="13.2" x14ac:dyDescent="0.25">
      <c r="A301" s="10"/>
      <c r="B301" s="10"/>
      <c r="D301" s="10"/>
      <c r="F301" s="10"/>
      <c r="G301" s="10"/>
      <c r="H301" s="10"/>
      <c r="I301" s="10"/>
      <c r="J301" s="10"/>
      <c r="K301" s="10"/>
      <c r="L301" s="10"/>
    </row>
    <row r="302" spans="1:12" s="2" customFormat="1" ht="13.2" x14ac:dyDescent="0.25">
      <c r="A302" s="10"/>
      <c r="B302" s="10"/>
      <c r="D302" s="10"/>
      <c r="F302" s="10"/>
      <c r="G302" s="10"/>
      <c r="H302" s="10"/>
      <c r="I302" s="10"/>
      <c r="J302" s="10"/>
      <c r="K302" s="10"/>
      <c r="L302" s="10"/>
    </row>
    <row r="303" spans="1:12" s="2" customFormat="1" ht="13.2" x14ac:dyDescent="0.25">
      <c r="A303" s="10"/>
      <c r="B303" s="10"/>
      <c r="D303" s="10"/>
      <c r="F303" s="10"/>
      <c r="G303" s="10"/>
      <c r="H303" s="10"/>
      <c r="I303" s="10"/>
      <c r="J303" s="10"/>
      <c r="K303" s="10"/>
      <c r="L303" s="10"/>
    </row>
    <row r="304" spans="1:12" s="2" customFormat="1" ht="13.2" x14ac:dyDescent="0.25">
      <c r="A304" s="10"/>
      <c r="B304" s="10"/>
      <c r="D304" s="10"/>
      <c r="F304" s="10"/>
      <c r="G304" s="10"/>
      <c r="H304" s="10"/>
      <c r="I304" s="10"/>
      <c r="J304" s="10"/>
      <c r="K304" s="10"/>
      <c r="L304" s="10"/>
    </row>
    <row r="305" spans="1:12" s="2" customFormat="1" ht="13.2" x14ac:dyDescent="0.25">
      <c r="A305" s="10"/>
      <c r="B305" s="10"/>
      <c r="D305" s="10"/>
      <c r="F305" s="10"/>
      <c r="G305" s="10"/>
      <c r="H305" s="10"/>
      <c r="I305" s="10"/>
      <c r="J305" s="10"/>
      <c r="K305" s="10"/>
      <c r="L305" s="10"/>
    </row>
    <row r="306" spans="1:12" s="2" customFormat="1" ht="13.2" x14ac:dyDescent="0.25">
      <c r="A306" s="10"/>
      <c r="B306" s="10"/>
      <c r="D306" s="10"/>
      <c r="F306" s="10"/>
      <c r="G306" s="10"/>
      <c r="H306" s="10"/>
      <c r="I306" s="10"/>
      <c r="J306" s="10"/>
      <c r="K306" s="10"/>
      <c r="L306" s="10"/>
    </row>
    <row r="307" spans="1:12" s="2" customFormat="1" ht="13.2" x14ac:dyDescent="0.25">
      <c r="A307" s="10"/>
      <c r="B307" s="10"/>
      <c r="D307" s="10"/>
      <c r="F307" s="10"/>
      <c r="G307" s="10"/>
      <c r="H307" s="10"/>
      <c r="I307" s="10"/>
      <c r="J307" s="10"/>
      <c r="K307" s="10"/>
      <c r="L307" s="10"/>
    </row>
    <row r="308" spans="1:12" s="2" customFormat="1" ht="13.2" x14ac:dyDescent="0.25">
      <c r="A308" s="10"/>
      <c r="B308" s="10"/>
      <c r="D308" s="10"/>
      <c r="F308" s="10"/>
      <c r="G308" s="10"/>
      <c r="H308" s="10"/>
      <c r="I308" s="10"/>
      <c r="J308" s="10"/>
      <c r="K308" s="10"/>
      <c r="L308" s="10"/>
    </row>
    <row r="309" spans="1:12" s="2" customFormat="1" ht="13.2" x14ac:dyDescent="0.25">
      <c r="A309" s="10"/>
      <c r="B309" s="10"/>
      <c r="D309" s="10"/>
      <c r="F309" s="10"/>
      <c r="G309" s="10"/>
      <c r="H309" s="10"/>
      <c r="I309" s="10"/>
      <c r="J309" s="10"/>
      <c r="K309" s="10"/>
      <c r="L309" s="10"/>
    </row>
    <row r="310" spans="1:12" s="2" customFormat="1" ht="13.2" x14ac:dyDescent="0.25">
      <c r="A310" s="10"/>
      <c r="B310" s="10"/>
      <c r="D310" s="10"/>
      <c r="F310" s="10"/>
      <c r="G310" s="10"/>
      <c r="H310" s="10"/>
      <c r="I310" s="10"/>
      <c r="J310" s="10"/>
      <c r="K310" s="10"/>
      <c r="L310" s="10"/>
    </row>
    <row r="311" spans="1:12" s="2" customFormat="1" ht="13.2" x14ac:dyDescent="0.25">
      <c r="A311" s="10"/>
      <c r="B311" s="10"/>
      <c r="D311" s="10"/>
      <c r="F311" s="10"/>
      <c r="G311" s="10"/>
      <c r="H311" s="10"/>
      <c r="I311" s="10"/>
      <c r="J311" s="10"/>
      <c r="K311" s="10"/>
      <c r="L311" s="10"/>
    </row>
    <row r="312" spans="1:12" s="2" customFormat="1" ht="13.2" x14ac:dyDescent="0.25">
      <c r="A312" s="10"/>
      <c r="B312" s="10"/>
      <c r="D312" s="10"/>
      <c r="F312" s="10"/>
      <c r="G312" s="10"/>
      <c r="H312" s="10"/>
      <c r="I312" s="10"/>
      <c r="J312" s="10"/>
      <c r="K312" s="10"/>
      <c r="L312" s="10"/>
    </row>
    <row r="313" spans="1:12" s="2" customFormat="1" ht="13.2" x14ac:dyDescent="0.25">
      <c r="A313" s="10"/>
      <c r="B313" s="10"/>
      <c r="D313" s="10"/>
      <c r="F313" s="10"/>
      <c r="G313" s="10"/>
      <c r="H313" s="10"/>
      <c r="I313" s="10"/>
      <c r="J313" s="10"/>
      <c r="K313" s="10"/>
      <c r="L313" s="10"/>
    </row>
    <row r="314" spans="1:12" s="2" customFormat="1" ht="13.2" x14ac:dyDescent="0.25">
      <c r="A314" s="10"/>
      <c r="B314" s="10"/>
      <c r="D314" s="10"/>
      <c r="F314" s="10"/>
      <c r="G314" s="10"/>
      <c r="H314" s="10"/>
      <c r="I314" s="10"/>
      <c r="J314" s="10"/>
      <c r="K314" s="10"/>
      <c r="L314" s="10"/>
    </row>
    <row r="315" spans="1:12" s="2" customFormat="1" ht="13.2" x14ac:dyDescent="0.25">
      <c r="A315" s="10"/>
      <c r="B315" s="10"/>
      <c r="D315" s="10"/>
      <c r="F315" s="10"/>
      <c r="G315" s="10"/>
      <c r="H315" s="10"/>
      <c r="I315" s="10"/>
      <c r="J315" s="10"/>
      <c r="K315" s="10"/>
      <c r="L315" s="10"/>
    </row>
    <row r="316" spans="1:12" s="2" customFormat="1" ht="13.2" x14ac:dyDescent="0.25">
      <c r="A316" s="10"/>
      <c r="B316" s="10"/>
      <c r="D316" s="10"/>
      <c r="F316" s="10"/>
      <c r="G316" s="10"/>
      <c r="H316" s="10"/>
      <c r="I316" s="10"/>
      <c r="J316" s="10"/>
      <c r="K316" s="10"/>
      <c r="L316" s="10"/>
    </row>
    <row r="317" spans="1:12" s="2" customFormat="1" ht="13.2" x14ac:dyDescent="0.25">
      <c r="A317" s="10"/>
      <c r="B317" s="10"/>
      <c r="D317" s="10"/>
      <c r="F317" s="10"/>
      <c r="G317" s="10"/>
      <c r="H317" s="10"/>
      <c r="I317" s="10"/>
      <c r="J317" s="10"/>
      <c r="K317" s="10"/>
      <c r="L317" s="10"/>
    </row>
    <row r="318" spans="1:12" s="2" customFormat="1" ht="13.2" x14ac:dyDescent="0.25">
      <c r="A318" s="10"/>
      <c r="B318" s="10"/>
      <c r="D318" s="10"/>
      <c r="F318" s="10"/>
      <c r="G318" s="10"/>
      <c r="H318" s="10"/>
      <c r="I318" s="10"/>
      <c r="J318" s="10"/>
      <c r="K318" s="10"/>
      <c r="L318" s="10"/>
    </row>
    <row r="319" spans="1:12" s="2" customFormat="1" ht="13.2" x14ac:dyDescent="0.25">
      <c r="A319" s="10"/>
      <c r="B319" s="10"/>
      <c r="D319" s="10"/>
      <c r="F319" s="10"/>
      <c r="G319" s="10"/>
      <c r="H319" s="10"/>
      <c r="I319" s="10"/>
      <c r="J319" s="10"/>
      <c r="K319" s="10"/>
      <c r="L319" s="10"/>
    </row>
    <row r="320" spans="1:12" s="2" customFormat="1" ht="13.2" x14ac:dyDescent="0.25">
      <c r="A320" s="10"/>
      <c r="B320" s="10"/>
      <c r="D320" s="10"/>
      <c r="F320" s="10"/>
      <c r="G320" s="10"/>
      <c r="H320" s="10"/>
      <c r="I320" s="10"/>
      <c r="J320" s="10"/>
      <c r="K320" s="10"/>
      <c r="L320" s="10"/>
    </row>
    <row r="321" spans="1:12" s="2" customFormat="1" ht="13.2" x14ac:dyDescent="0.25">
      <c r="A321" s="10"/>
      <c r="B321" s="10"/>
      <c r="D321" s="10"/>
      <c r="F321" s="10"/>
      <c r="G321" s="10"/>
      <c r="H321" s="10"/>
      <c r="I321" s="10"/>
      <c r="J321" s="10"/>
      <c r="K321" s="10"/>
      <c r="L321" s="10"/>
    </row>
    <row r="322" spans="1:12" s="2" customFormat="1" ht="13.2" x14ac:dyDescent="0.25">
      <c r="A322" s="10"/>
      <c r="B322" s="10"/>
      <c r="D322" s="10"/>
      <c r="F322" s="10"/>
      <c r="G322" s="10"/>
      <c r="H322" s="10"/>
      <c r="I322" s="10"/>
      <c r="J322" s="10"/>
      <c r="K322" s="10"/>
      <c r="L322" s="10"/>
    </row>
    <row r="323" spans="1:12" s="2" customFormat="1" ht="13.2" x14ac:dyDescent="0.25">
      <c r="A323" s="10"/>
      <c r="B323" s="10"/>
      <c r="D323" s="10"/>
      <c r="F323" s="10"/>
      <c r="G323" s="10"/>
      <c r="H323" s="10"/>
      <c r="I323" s="10"/>
      <c r="J323" s="10"/>
      <c r="K323" s="10"/>
      <c r="L323" s="10"/>
    </row>
    <row r="324" spans="1:12" s="2" customFormat="1" ht="13.2" x14ac:dyDescent="0.25">
      <c r="A324" s="10"/>
      <c r="B324" s="10"/>
      <c r="D324" s="10"/>
      <c r="F324" s="10"/>
      <c r="G324" s="10"/>
      <c r="H324" s="10"/>
      <c r="I324" s="10"/>
      <c r="J324" s="10"/>
      <c r="K324" s="10"/>
      <c r="L324" s="10"/>
    </row>
    <row r="325" spans="1:12" s="2" customFormat="1" ht="13.2" x14ac:dyDescent="0.25">
      <c r="A325" s="10"/>
      <c r="B325" s="10"/>
      <c r="D325" s="10"/>
      <c r="F325" s="10"/>
      <c r="G325" s="10"/>
      <c r="H325" s="10"/>
      <c r="I325" s="10"/>
      <c r="J325" s="10"/>
      <c r="K325" s="10"/>
      <c r="L325" s="10"/>
    </row>
    <row r="326" spans="1:12" s="2" customFormat="1" ht="13.2" x14ac:dyDescent="0.25">
      <c r="A326" s="10"/>
      <c r="B326" s="10"/>
      <c r="D326" s="10"/>
      <c r="F326" s="10"/>
      <c r="G326" s="10"/>
      <c r="H326" s="10"/>
      <c r="I326" s="10"/>
      <c r="J326" s="10"/>
      <c r="K326" s="10"/>
      <c r="L326" s="10"/>
    </row>
    <row r="327" spans="1:12" s="2" customFormat="1" ht="13.2" x14ac:dyDescent="0.25">
      <c r="A327" s="10"/>
      <c r="B327" s="10"/>
      <c r="D327" s="10"/>
      <c r="F327" s="10"/>
      <c r="G327" s="10"/>
      <c r="H327" s="10"/>
      <c r="I327" s="10"/>
      <c r="J327" s="10"/>
      <c r="K327" s="10"/>
      <c r="L327" s="10"/>
    </row>
    <row r="328" spans="1:12" s="2" customFormat="1" ht="13.2" x14ac:dyDescent="0.25">
      <c r="A328" s="10"/>
      <c r="B328" s="10"/>
      <c r="D328" s="10"/>
      <c r="F328" s="10"/>
      <c r="G328" s="10"/>
      <c r="H328" s="10"/>
      <c r="I328" s="10"/>
      <c r="J328" s="10"/>
      <c r="K328" s="10"/>
      <c r="L328" s="10"/>
    </row>
    <row r="329" spans="1:12" s="2" customFormat="1" ht="13.2" x14ac:dyDescent="0.25">
      <c r="A329" s="10"/>
      <c r="B329" s="10"/>
      <c r="D329" s="10"/>
      <c r="F329" s="10"/>
      <c r="G329" s="10"/>
      <c r="H329" s="10"/>
      <c r="I329" s="10"/>
      <c r="J329" s="10"/>
      <c r="K329" s="10"/>
      <c r="L329" s="10"/>
    </row>
    <row r="330" spans="1:12" s="2" customFormat="1" ht="13.2" x14ac:dyDescent="0.25">
      <c r="A330" s="10"/>
      <c r="B330" s="10"/>
      <c r="D330" s="10"/>
      <c r="F330" s="10"/>
      <c r="G330" s="10"/>
      <c r="H330" s="10"/>
      <c r="I330" s="10"/>
      <c r="J330" s="10"/>
      <c r="K330" s="10"/>
      <c r="L330" s="10"/>
    </row>
    <row r="331" spans="1:12" s="2" customFormat="1" ht="13.2" x14ac:dyDescent="0.25">
      <c r="A331" s="10"/>
      <c r="B331" s="10"/>
      <c r="D331" s="10"/>
      <c r="F331" s="10"/>
      <c r="G331" s="10"/>
      <c r="H331" s="10"/>
      <c r="I331" s="10"/>
      <c r="J331" s="10"/>
      <c r="K331" s="10"/>
      <c r="L331" s="10"/>
    </row>
    <row r="332" spans="1:12" s="2" customFormat="1" ht="13.2" x14ac:dyDescent="0.25">
      <c r="A332" s="10"/>
      <c r="B332" s="10"/>
      <c r="D332" s="10"/>
      <c r="F332" s="10"/>
      <c r="G332" s="10"/>
      <c r="H332" s="10"/>
      <c r="I332" s="10"/>
      <c r="J332" s="10"/>
      <c r="K332" s="10"/>
      <c r="L332" s="10"/>
    </row>
    <row r="333" spans="1:12" s="2" customFormat="1" ht="13.2" x14ac:dyDescent="0.25">
      <c r="A333" s="10"/>
      <c r="B333" s="10"/>
      <c r="D333" s="10"/>
      <c r="F333" s="10"/>
      <c r="G333" s="10"/>
      <c r="H333" s="10"/>
      <c r="I333" s="10"/>
      <c r="J333" s="10"/>
      <c r="K333" s="10"/>
      <c r="L333" s="10"/>
    </row>
    <row r="334" spans="1:12" s="2" customFormat="1" ht="13.2" x14ac:dyDescent="0.25">
      <c r="A334" s="10"/>
      <c r="B334" s="10"/>
      <c r="D334" s="10"/>
      <c r="F334" s="10"/>
      <c r="G334" s="10"/>
      <c r="H334" s="10"/>
      <c r="I334" s="10"/>
      <c r="J334" s="10"/>
      <c r="K334" s="10"/>
      <c r="L334" s="10"/>
    </row>
    <row r="335" spans="1:12" s="2" customFormat="1" ht="13.2" x14ac:dyDescent="0.25">
      <c r="A335" s="10"/>
      <c r="B335" s="10"/>
      <c r="D335" s="10"/>
      <c r="F335" s="10"/>
      <c r="G335" s="10"/>
      <c r="H335" s="10"/>
      <c r="I335" s="10"/>
      <c r="J335" s="10"/>
      <c r="K335" s="10"/>
      <c r="L335" s="10"/>
    </row>
    <row r="336" spans="1:12" s="2" customFormat="1" ht="13.2" x14ac:dyDescent="0.25">
      <c r="A336" s="10"/>
      <c r="B336" s="10"/>
      <c r="D336" s="10"/>
      <c r="F336" s="10"/>
      <c r="G336" s="10"/>
      <c r="H336" s="10"/>
      <c r="I336" s="10"/>
      <c r="J336" s="10"/>
      <c r="K336" s="10"/>
      <c r="L336" s="10"/>
    </row>
    <row r="337" spans="1:12" s="2" customFormat="1" ht="13.2" x14ac:dyDescent="0.25">
      <c r="A337" s="10"/>
      <c r="B337" s="10"/>
      <c r="D337" s="10"/>
      <c r="F337" s="10"/>
      <c r="G337" s="10"/>
      <c r="H337" s="10"/>
      <c r="I337" s="10"/>
      <c r="J337" s="10"/>
      <c r="K337" s="10"/>
      <c r="L337" s="10"/>
    </row>
    <row r="338" spans="1:12" s="2" customFormat="1" ht="13.2" x14ac:dyDescent="0.25">
      <c r="A338" s="10"/>
      <c r="B338" s="10"/>
      <c r="D338" s="10"/>
      <c r="F338" s="10"/>
      <c r="G338" s="10"/>
      <c r="H338" s="10"/>
      <c r="I338" s="10"/>
      <c r="J338" s="10"/>
      <c r="K338" s="10"/>
      <c r="L338" s="10"/>
    </row>
    <row r="339" spans="1:12" s="2" customFormat="1" ht="13.2" x14ac:dyDescent="0.25">
      <c r="A339" s="10"/>
      <c r="B339" s="10"/>
      <c r="D339" s="10"/>
      <c r="F339" s="10"/>
      <c r="G339" s="10"/>
      <c r="H339" s="10"/>
      <c r="I339" s="10"/>
      <c r="J339" s="10"/>
      <c r="K339" s="10"/>
      <c r="L339" s="10"/>
    </row>
    <row r="340" spans="1:12" s="2" customFormat="1" ht="13.2" x14ac:dyDescent="0.25">
      <c r="A340" s="10"/>
      <c r="B340" s="10"/>
      <c r="D340" s="10"/>
      <c r="F340" s="10"/>
      <c r="G340" s="10"/>
      <c r="H340" s="10"/>
      <c r="I340" s="10"/>
      <c r="J340" s="10"/>
      <c r="K340" s="10"/>
      <c r="L340" s="10"/>
    </row>
    <row r="341" spans="1:12" s="2" customFormat="1" ht="13.2" x14ac:dyDescent="0.25">
      <c r="A341" s="10"/>
      <c r="B341" s="10"/>
      <c r="D341" s="10"/>
      <c r="F341" s="10"/>
      <c r="G341" s="10"/>
      <c r="H341" s="10"/>
      <c r="I341" s="10"/>
      <c r="J341" s="10"/>
      <c r="K341" s="10"/>
      <c r="L341" s="10"/>
    </row>
    <row r="342" spans="1:12" s="2" customFormat="1" ht="13.2" x14ac:dyDescent="0.25">
      <c r="A342" s="10"/>
      <c r="B342" s="10"/>
      <c r="D342" s="10"/>
      <c r="F342" s="10"/>
      <c r="G342" s="10"/>
      <c r="H342" s="10"/>
      <c r="I342" s="10"/>
      <c r="J342" s="10"/>
      <c r="K342" s="10"/>
      <c r="L342" s="10"/>
    </row>
    <row r="343" spans="1:12" s="2" customFormat="1" ht="13.2" x14ac:dyDescent="0.25">
      <c r="A343" s="10"/>
      <c r="B343" s="10"/>
      <c r="D343" s="10"/>
      <c r="F343" s="10"/>
      <c r="G343" s="10"/>
      <c r="H343" s="10"/>
      <c r="I343" s="10"/>
      <c r="J343" s="10"/>
      <c r="K343" s="10"/>
      <c r="L343" s="10"/>
    </row>
    <row r="344" spans="1:12" s="2" customFormat="1" ht="13.2" x14ac:dyDescent="0.25">
      <c r="A344" s="10"/>
      <c r="B344" s="10"/>
      <c r="D344" s="10"/>
      <c r="F344" s="10"/>
      <c r="G344" s="10"/>
      <c r="H344" s="10"/>
      <c r="I344" s="10"/>
      <c r="J344" s="10"/>
      <c r="K344" s="10"/>
      <c r="L344" s="10"/>
    </row>
    <row r="345" spans="1:12" s="2" customFormat="1" ht="13.2" x14ac:dyDescent="0.25">
      <c r="A345" s="10"/>
      <c r="B345" s="10"/>
      <c r="D345" s="10"/>
      <c r="F345" s="10"/>
      <c r="G345" s="10"/>
      <c r="H345" s="10"/>
      <c r="I345" s="10"/>
      <c r="J345" s="10"/>
      <c r="K345" s="10"/>
      <c r="L345" s="10"/>
    </row>
    <row r="346" spans="1:12" s="2" customFormat="1" ht="13.2" x14ac:dyDescent="0.25">
      <c r="A346" s="10"/>
      <c r="B346" s="10"/>
      <c r="D346" s="10"/>
      <c r="F346" s="10"/>
      <c r="G346" s="10"/>
      <c r="H346" s="10"/>
      <c r="I346" s="10"/>
      <c r="J346" s="10"/>
      <c r="K346" s="10"/>
      <c r="L346" s="10"/>
    </row>
    <row r="347" spans="1:12" s="2" customFormat="1" ht="13.2" x14ac:dyDescent="0.25">
      <c r="A347" s="10"/>
      <c r="B347" s="10"/>
      <c r="D347" s="10"/>
      <c r="F347" s="10"/>
      <c r="G347" s="10"/>
      <c r="H347" s="10"/>
      <c r="I347" s="10"/>
      <c r="J347" s="10"/>
      <c r="K347" s="10"/>
      <c r="L347" s="10"/>
    </row>
    <row r="348" spans="1:12" s="2" customFormat="1" ht="13.2" x14ac:dyDescent="0.25">
      <c r="A348" s="10"/>
      <c r="B348" s="10"/>
      <c r="D348" s="10"/>
      <c r="F348" s="10"/>
      <c r="G348" s="10"/>
      <c r="H348" s="10"/>
      <c r="I348" s="10"/>
      <c r="J348" s="10"/>
      <c r="K348" s="10"/>
      <c r="L348" s="10"/>
    </row>
    <row r="349" spans="1:12" s="2" customFormat="1" ht="13.2" x14ac:dyDescent="0.25">
      <c r="A349" s="10"/>
      <c r="B349" s="10"/>
      <c r="D349" s="10"/>
      <c r="F349" s="10"/>
      <c r="G349" s="10"/>
      <c r="H349" s="10"/>
      <c r="I349" s="10"/>
      <c r="J349" s="10"/>
      <c r="K349" s="10"/>
      <c r="L349" s="10"/>
    </row>
    <row r="350" spans="1:12" s="2" customFormat="1" ht="13.2" x14ac:dyDescent="0.25">
      <c r="A350" s="10"/>
      <c r="B350" s="10"/>
      <c r="D350" s="10"/>
      <c r="F350" s="10"/>
      <c r="G350" s="10"/>
      <c r="H350" s="10"/>
      <c r="I350" s="10"/>
      <c r="J350" s="10"/>
      <c r="K350" s="10"/>
      <c r="L350" s="10"/>
    </row>
    <row r="351" spans="1:12" s="2" customFormat="1" ht="13.2" x14ac:dyDescent="0.25">
      <c r="A351" s="10"/>
      <c r="B351" s="10"/>
      <c r="D351" s="10"/>
      <c r="F351" s="10"/>
      <c r="G351" s="10"/>
      <c r="H351" s="10"/>
      <c r="I351" s="10"/>
      <c r="J351" s="10"/>
      <c r="K351" s="10"/>
      <c r="L351" s="10"/>
    </row>
    <row r="352" spans="1:12" s="2" customFormat="1" ht="13.2" x14ac:dyDescent="0.25">
      <c r="A352" s="10"/>
      <c r="B352" s="10"/>
      <c r="D352" s="10"/>
      <c r="F352" s="10"/>
      <c r="G352" s="10"/>
      <c r="H352" s="10"/>
      <c r="I352" s="10"/>
      <c r="J352" s="10"/>
      <c r="K352" s="10"/>
      <c r="L352" s="10"/>
    </row>
    <row r="353" spans="1:12" s="2" customFormat="1" ht="13.2" x14ac:dyDescent="0.25">
      <c r="A353" s="10"/>
      <c r="B353" s="10"/>
      <c r="D353" s="10"/>
      <c r="F353" s="10"/>
      <c r="G353" s="10"/>
      <c r="H353" s="10"/>
      <c r="I353" s="10"/>
      <c r="J353" s="10"/>
      <c r="K353" s="10"/>
      <c r="L353" s="10"/>
    </row>
    <row r="354" spans="1:12" s="2" customFormat="1" ht="13.2" x14ac:dyDescent="0.25">
      <c r="A354" s="10"/>
      <c r="B354" s="10"/>
      <c r="D354" s="10"/>
      <c r="F354" s="10"/>
      <c r="G354" s="10"/>
      <c r="H354" s="10"/>
      <c r="I354" s="10"/>
      <c r="J354" s="10"/>
      <c r="K354" s="10"/>
      <c r="L354" s="10"/>
    </row>
    <row r="355" spans="1:12" s="2" customFormat="1" ht="13.2" x14ac:dyDescent="0.25">
      <c r="A355" s="10"/>
      <c r="B355" s="10"/>
      <c r="D355" s="10"/>
      <c r="F355" s="10"/>
      <c r="G355" s="10"/>
      <c r="H355" s="10"/>
      <c r="I355" s="10"/>
      <c r="J355" s="10"/>
      <c r="K355" s="10"/>
      <c r="L355" s="10"/>
    </row>
    <row r="356" spans="1:12" s="2" customFormat="1" ht="13.2" x14ac:dyDescent="0.25">
      <c r="A356" s="10"/>
      <c r="B356" s="10"/>
      <c r="D356" s="10"/>
      <c r="F356" s="10"/>
      <c r="G356" s="10"/>
      <c r="H356" s="10"/>
      <c r="I356" s="10"/>
      <c r="J356" s="10"/>
      <c r="K356" s="10"/>
      <c r="L356" s="10"/>
    </row>
    <row r="357" spans="1:12" s="2" customFormat="1" ht="13.2" x14ac:dyDescent="0.25">
      <c r="A357" s="10"/>
      <c r="B357" s="10"/>
      <c r="D357" s="10"/>
      <c r="F357" s="10"/>
      <c r="G357" s="10"/>
      <c r="H357" s="10"/>
      <c r="I357" s="10"/>
      <c r="J357" s="10"/>
      <c r="K357" s="10"/>
      <c r="L357" s="10"/>
    </row>
    <row r="358" spans="1:12" s="2" customFormat="1" ht="13.2" x14ac:dyDescent="0.25">
      <c r="A358" s="10"/>
      <c r="B358" s="10"/>
      <c r="D358" s="10"/>
      <c r="F358" s="10"/>
      <c r="G358" s="10"/>
      <c r="H358" s="10"/>
      <c r="I358" s="10"/>
      <c r="J358" s="10"/>
      <c r="K358" s="10"/>
      <c r="L358" s="10"/>
    </row>
    <row r="359" spans="1:12" s="2" customFormat="1" ht="13.2" x14ac:dyDescent="0.25">
      <c r="A359" s="10"/>
      <c r="B359" s="10"/>
      <c r="D359" s="10"/>
      <c r="F359" s="10"/>
      <c r="G359" s="10"/>
      <c r="H359" s="10"/>
      <c r="I359" s="10"/>
      <c r="J359" s="10"/>
      <c r="K359" s="10"/>
      <c r="L359" s="10"/>
    </row>
    <row r="360" spans="1:12" s="2" customFormat="1" ht="13.2" x14ac:dyDescent="0.25">
      <c r="A360" s="10"/>
      <c r="B360" s="10"/>
      <c r="D360" s="10"/>
      <c r="F360" s="10"/>
      <c r="G360" s="10"/>
      <c r="H360" s="10"/>
      <c r="I360" s="10"/>
      <c r="J360" s="10"/>
      <c r="K360" s="10"/>
      <c r="L360" s="10"/>
    </row>
    <row r="361" spans="1:12" s="2" customFormat="1" ht="13.2" x14ac:dyDescent="0.25">
      <c r="A361" s="10"/>
      <c r="B361" s="10"/>
      <c r="D361" s="10"/>
      <c r="F361" s="10"/>
      <c r="G361" s="10"/>
      <c r="H361" s="10"/>
      <c r="I361" s="10"/>
      <c r="J361" s="10"/>
      <c r="K361" s="10"/>
      <c r="L361" s="10"/>
    </row>
    <row r="362" spans="1:12" s="2" customFormat="1" ht="13.2" x14ac:dyDescent="0.25">
      <c r="A362" s="10"/>
      <c r="B362" s="10"/>
      <c r="D362" s="10"/>
      <c r="F362" s="10"/>
      <c r="G362" s="10"/>
      <c r="H362" s="10"/>
      <c r="I362" s="10"/>
      <c r="J362" s="10"/>
      <c r="K362" s="10"/>
      <c r="L362" s="10"/>
    </row>
    <row r="363" spans="1:12" s="2" customFormat="1" ht="13.2" x14ac:dyDescent="0.25">
      <c r="A363" s="10"/>
      <c r="B363" s="10"/>
      <c r="D363" s="10"/>
      <c r="F363" s="10"/>
      <c r="G363" s="10"/>
      <c r="H363" s="10"/>
      <c r="I363" s="10"/>
      <c r="J363" s="10"/>
      <c r="K363" s="10"/>
      <c r="L363" s="10"/>
    </row>
    <row r="364" spans="1:12" s="2" customFormat="1" ht="13.2" x14ac:dyDescent="0.25">
      <c r="A364" s="10"/>
      <c r="B364" s="10"/>
      <c r="D364" s="10"/>
      <c r="F364" s="10"/>
      <c r="G364" s="10"/>
      <c r="H364" s="10"/>
      <c r="I364" s="10"/>
      <c r="J364" s="10"/>
      <c r="K364" s="10"/>
      <c r="L364" s="10"/>
    </row>
    <row r="365" spans="1:12" s="2" customFormat="1" ht="13.2" x14ac:dyDescent="0.25">
      <c r="A365" s="10"/>
      <c r="B365" s="10"/>
      <c r="D365" s="10"/>
      <c r="F365" s="10"/>
      <c r="G365" s="10"/>
      <c r="H365" s="10"/>
      <c r="I365" s="10"/>
      <c r="J365" s="10"/>
      <c r="K365" s="10"/>
      <c r="L365" s="10"/>
    </row>
    <row r="366" spans="1:12" s="2" customFormat="1" ht="13.2" x14ac:dyDescent="0.25">
      <c r="A366" s="10"/>
      <c r="B366" s="10"/>
      <c r="D366" s="10"/>
      <c r="F366" s="10"/>
      <c r="G366" s="10"/>
      <c r="H366" s="10"/>
      <c r="I366" s="10"/>
      <c r="J366" s="10"/>
      <c r="K366" s="10"/>
      <c r="L366" s="10"/>
    </row>
    <row r="367" spans="1:12" s="2" customFormat="1" ht="13.2" x14ac:dyDescent="0.25">
      <c r="A367" s="10"/>
      <c r="B367" s="10"/>
      <c r="D367" s="10"/>
      <c r="F367" s="10"/>
      <c r="G367" s="10"/>
      <c r="H367" s="10"/>
      <c r="I367" s="10"/>
      <c r="J367" s="10"/>
      <c r="K367" s="10"/>
      <c r="L367" s="10"/>
    </row>
    <row r="368" spans="1:12" s="2" customFormat="1" ht="13.2" x14ac:dyDescent="0.25">
      <c r="A368" s="10"/>
      <c r="B368" s="10"/>
      <c r="D368" s="10"/>
      <c r="F368" s="10"/>
      <c r="G368" s="10"/>
      <c r="H368" s="10"/>
      <c r="I368" s="10"/>
      <c r="J368" s="10"/>
      <c r="K368" s="10"/>
      <c r="L368" s="10"/>
    </row>
    <row r="369" spans="1:12" s="2" customFormat="1" ht="13.2" x14ac:dyDescent="0.25">
      <c r="A369" s="10"/>
      <c r="B369" s="10"/>
      <c r="D369" s="10"/>
      <c r="F369" s="10"/>
      <c r="G369" s="10"/>
      <c r="H369" s="10"/>
      <c r="I369" s="10"/>
      <c r="J369" s="10"/>
      <c r="K369" s="10"/>
      <c r="L369" s="10"/>
    </row>
    <row r="370" spans="1:12" s="2" customFormat="1" ht="13.2" x14ac:dyDescent="0.25">
      <c r="A370" s="10"/>
      <c r="B370" s="10"/>
      <c r="D370" s="10"/>
      <c r="F370" s="10"/>
      <c r="G370" s="10"/>
      <c r="H370" s="10"/>
      <c r="I370" s="10"/>
      <c r="J370" s="10"/>
      <c r="K370" s="10"/>
      <c r="L370" s="10"/>
    </row>
    <row r="371" spans="1:12" s="2" customFormat="1" ht="13.2" x14ac:dyDescent="0.25">
      <c r="A371" s="10"/>
      <c r="B371" s="10"/>
      <c r="D371" s="10"/>
      <c r="F371" s="10"/>
      <c r="G371" s="10"/>
      <c r="H371" s="10"/>
      <c r="I371" s="10"/>
      <c r="J371" s="10"/>
      <c r="K371" s="10"/>
      <c r="L371" s="10"/>
    </row>
    <row r="372" spans="1:12" s="2" customFormat="1" ht="13.2" x14ac:dyDescent="0.25">
      <c r="A372" s="10"/>
      <c r="B372" s="10"/>
      <c r="D372" s="10"/>
      <c r="F372" s="10"/>
      <c r="G372" s="10"/>
      <c r="H372" s="10"/>
      <c r="I372" s="10"/>
      <c r="J372" s="10"/>
      <c r="K372" s="10"/>
      <c r="L372" s="10"/>
    </row>
    <row r="373" spans="1:12" s="2" customFormat="1" ht="13.2" x14ac:dyDescent="0.25">
      <c r="A373" s="10"/>
      <c r="B373" s="10"/>
      <c r="D373" s="10"/>
      <c r="F373" s="10"/>
      <c r="G373" s="10"/>
      <c r="H373" s="10"/>
      <c r="I373" s="10"/>
      <c r="J373" s="10"/>
      <c r="K373" s="10"/>
      <c r="L373" s="10"/>
    </row>
    <row r="374" spans="1:12" s="2" customFormat="1" ht="13.2" x14ac:dyDescent="0.25">
      <c r="A374" s="10"/>
      <c r="B374" s="10"/>
      <c r="D374" s="10"/>
      <c r="F374" s="10"/>
      <c r="G374" s="10"/>
      <c r="H374" s="10"/>
      <c r="I374" s="10"/>
      <c r="J374" s="10"/>
      <c r="K374" s="10"/>
      <c r="L374" s="10"/>
    </row>
    <row r="375" spans="1:12" s="2" customFormat="1" ht="13.2" x14ac:dyDescent="0.25">
      <c r="A375" s="10"/>
      <c r="B375" s="10"/>
      <c r="D375" s="10"/>
      <c r="F375" s="10"/>
      <c r="G375" s="10"/>
      <c r="H375" s="10"/>
      <c r="I375" s="10"/>
      <c r="J375" s="10"/>
      <c r="K375" s="10"/>
      <c r="L375" s="10"/>
    </row>
    <row r="376" spans="1:12" s="2" customFormat="1" ht="13.2" x14ac:dyDescent="0.25">
      <c r="A376" s="10"/>
      <c r="B376" s="10"/>
      <c r="D376" s="10"/>
      <c r="F376" s="10"/>
      <c r="G376" s="10"/>
      <c r="H376" s="10"/>
      <c r="I376" s="10"/>
      <c r="J376" s="10"/>
      <c r="K376" s="10"/>
      <c r="L376" s="10"/>
    </row>
    <row r="377" spans="1:12" s="2" customFormat="1" ht="13.2" x14ac:dyDescent="0.25">
      <c r="A377" s="10"/>
      <c r="B377" s="10"/>
      <c r="D377" s="10"/>
      <c r="F377" s="10"/>
      <c r="G377" s="10"/>
      <c r="H377" s="10"/>
      <c r="I377" s="10"/>
      <c r="J377" s="10"/>
      <c r="K377" s="10"/>
      <c r="L377" s="10"/>
    </row>
    <row r="378" spans="1:12" s="2" customFormat="1" ht="13.2" x14ac:dyDescent="0.25">
      <c r="A378" s="10"/>
      <c r="B378" s="10"/>
      <c r="D378" s="10"/>
      <c r="F378" s="10"/>
      <c r="G378" s="10"/>
      <c r="H378" s="10"/>
      <c r="I378" s="10"/>
      <c r="J378" s="10"/>
      <c r="K378" s="10"/>
      <c r="L378" s="10"/>
    </row>
    <row r="379" spans="1:12" s="2" customFormat="1" ht="13.2" x14ac:dyDescent="0.25">
      <c r="A379" s="10"/>
      <c r="B379" s="10"/>
      <c r="D379" s="10"/>
      <c r="F379" s="10"/>
      <c r="G379" s="10"/>
      <c r="H379" s="10"/>
      <c r="I379" s="10"/>
      <c r="J379" s="10"/>
      <c r="K379" s="10"/>
      <c r="L379" s="10"/>
    </row>
    <row r="380" spans="1:12" s="2" customFormat="1" ht="13.2" x14ac:dyDescent="0.25">
      <c r="A380" s="10"/>
      <c r="B380" s="10"/>
      <c r="D380" s="10"/>
      <c r="F380" s="10"/>
      <c r="G380" s="10"/>
      <c r="H380" s="10"/>
      <c r="I380" s="10"/>
      <c r="J380" s="10"/>
      <c r="K380" s="10"/>
      <c r="L380" s="10"/>
    </row>
    <row r="381" spans="1:12" s="2" customFormat="1" ht="13.2" x14ac:dyDescent="0.25">
      <c r="A381" s="10"/>
      <c r="B381" s="10"/>
      <c r="D381" s="10"/>
      <c r="F381" s="10"/>
      <c r="G381" s="10"/>
      <c r="H381" s="10"/>
      <c r="I381" s="10"/>
      <c r="J381" s="10"/>
      <c r="K381" s="10"/>
      <c r="L381" s="10"/>
    </row>
    <row r="382" spans="1:12" s="2" customFormat="1" ht="13.2" x14ac:dyDescent="0.25">
      <c r="A382" s="10"/>
      <c r="B382" s="10"/>
      <c r="D382" s="10"/>
      <c r="F382" s="10"/>
      <c r="G382" s="10"/>
      <c r="H382" s="10"/>
      <c r="I382" s="10"/>
      <c r="J382" s="10"/>
      <c r="K382" s="10"/>
      <c r="L382" s="10"/>
    </row>
    <row r="383" spans="1:12" s="2" customFormat="1" ht="13.2" x14ac:dyDescent="0.25">
      <c r="A383" s="10"/>
      <c r="B383" s="10"/>
      <c r="D383" s="10"/>
      <c r="F383" s="10"/>
      <c r="G383" s="10"/>
      <c r="H383" s="10"/>
      <c r="I383" s="10"/>
      <c r="J383" s="10"/>
      <c r="K383" s="10"/>
      <c r="L383" s="10"/>
    </row>
    <row r="384" spans="1:12" s="2" customFormat="1" ht="13.2" x14ac:dyDescent="0.25">
      <c r="A384" s="10"/>
      <c r="B384" s="10"/>
      <c r="D384" s="10"/>
      <c r="F384" s="10"/>
      <c r="G384" s="10"/>
      <c r="H384" s="10"/>
      <c r="I384" s="10"/>
      <c r="J384" s="10"/>
      <c r="K384" s="10"/>
      <c r="L384" s="10"/>
    </row>
    <row r="385" spans="1:12" s="2" customFormat="1" ht="13.2" x14ac:dyDescent="0.25">
      <c r="A385" s="10"/>
      <c r="B385" s="10"/>
      <c r="D385" s="10"/>
      <c r="F385" s="10"/>
      <c r="G385" s="10"/>
      <c r="H385" s="10"/>
      <c r="I385" s="10"/>
      <c r="J385" s="10"/>
      <c r="K385" s="10"/>
      <c r="L385" s="10"/>
    </row>
    <row r="386" spans="1:12" s="2" customFormat="1" ht="13.2" x14ac:dyDescent="0.25">
      <c r="A386" s="10"/>
      <c r="B386" s="10"/>
      <c r="D386" s="10"/>
      <c r="F386" s="10"/>
      <c r="G386" s="10"/>
      <c r="H386" s="10"/>
      <c r="I386" s="10"/>
      <c r="J386" s="10"/>
      <c r="K386" s="10"/>
      <c r="L386" s="10"/>
    </row>
    <row r="387" spans="1:12" s="2" customFormat="1" ht="13.2" x14ac:dyDescent="0.25">
      <c r="A387" s="10"/>
      <c r="B387" s="10"/>
      <c r="D387" s="10"/>
      <c r="F387" s="10"/>
      <c r="G387" s="10"/>
      <c r="H387" s="10"/>
      <c r="I387" s="10"/>
      <c r="J387" s="10"/>
      <c r="K387" s="10"/>
      <c r="L387" s="10"/>
    </row>
    <row r="388" spans="1:12" s="2" customFormat="1" ht="13.2" x14ac:dyDescent="0.25">
      <c r="A388" s="10"/>
      <c r="B388" s="10"/>
      <c r="D388" s="10"/>
      <c r="F388" s="10"/>
      <c r="G388" s="10"/>
      <c r="H388" s="10"/>
      <c r="I388" s="10"/>
      <c r="J388" s="10"/>
      <c r="K388" s="10"/>
      <c r="L388" s="10"/>
    </row>
    <row r="389" spans="1:12" s="2" customFormat="1" ht="13.2" x14ac:dyDescent="0.25">
      <c r="A389" s="10"/>
      <c r="B389" s="10"/>
      <c r="D389" s="10"/>
      <c r="F389" s="10"/>
      <c r="G389" s="10"/>
      <c r="H389" s="10"/>
      <c r="I389" s="10"/>
      <c r="J389" s="10"/>
      <c r="K389" s="10"/>
      <c r="L389" s="10"/>
    </row>
    <row r="390" spans="1:12" s="2" customFormat="1" ht="13.2" x14ac:dyDescent="0.25">
      <c r="A390" s="10"/>
      <c r="B390" s="10"/>
      <c r="D390" s="10"/>
      <c r="F390" s="10"/>
      <c r="G390" s="10"/>
      <c r="H390" s="10"/>
      <c r="I390" s="10"/>
      <c r="J390" s="10"/>
      <c r="K390" s="10"/>
      <c r="L390" s="10"/>
    </row>
    <row r="391" spans="1:12" s="2" customFormat="1" ht="13.2" x14ac:dyDescent="0.25">
      <c r="A391" s="10"/>
      <c r="B391" s="10"/>
      <c r="D391" s="10"/>
      <c r="F391" s="10"/>
      <c r="G391" s="10"/>
      <c r="H391" s="10"/>
      <c r="I391" s="10"/>
      <c r="J391" s="10"/>
      <c r="K391" s="10"/>
      <c r="L391" s="10"/>
    </row>
    <row r="392" spans="1:12" s="2" customFormat="1" ht="13.2" x14ac:dyDescent="0.25">
      <c r="A392" s="10"/>
      <c r="B392" s="10"/>
      <c r="D392" s="10"/>
      <c r="F392" s="10"/>
      <c r="G392" s="10"/>
      <c r="H392" s="10"/>
      <c r="I392" s="10"/>
      <c r="J392" s="10"/>
      <c r="K392" s="10"/>
      <c r="L392" s="10"/>
    </row>
    <row r="393" spans="1:12" s="2" customFormat="1" ht="13.2" x14ac:dyDescent="0.25">
      <c r="A393" s="10"/>
      <c r="B393" s="10"/>
      <c r="D393" s="10"/>
      <c r="F393" s="10"/>
      <c r="G393" s="10"/>
      <c r="H393" s="10"/>
      <c r="I393" s="10"/>
      <c r="J393" s="10"/>
      <c r="K393" s="10"/>
      <c r="L393" s="10"/>
    </row>
    <row r="394" spans="1:12" s="2" customFormat="1" ht="13.2" x14ac:dyDescent="0.25">
      <c r="A394" s="10"/>
      <c r="B394" s="10"/>
      <c r="D394" s="10"/>
      <c r="F394" s="10"/>
      <c r="G394" s="10"/>
      <c r="H394" s="10"/>
      <c r="I394" s="10"/>
      <c r="J394" s="10"/>
      <c r="K394" s="10"/>
      <c r="L394" s="10"/>
    </row>
    <row r="395" spans="1:12" s="2" customFormat="1" ht="13.2" x14ac:dyDescent="0.25">
      <c r="A395" s="10"/>
      <c r="B395" s="10"/>
      <c r="D395" s="10"/>
      <c r="F395" s="10"/>
      <c r="G395" s="10"/>
      <c r="H395" s="10"/>
      <c r="I395" s="10"/>
      <c r="J395" s="10"/>
      <c r="K395" s="10"/>
      <c r="L395" s="10"/>
    </row>
    <row r="396" spans="1:12" s="2" customFormat="1" ht="13.2" x14ac:dyDescent="0.25">
      <c r="A396" s="10"/>
      <c r="B396" s="10"/>
      <c r="D396" s="10"/>
      <c r="F396" s="10"/>
      <c r="G396" s="10"/>
      <c r="H396" s="10"/>
      <c r="I396" s="10"/>
      <c r="J396" s="10"/>
      <c r="K396" s="10"/>
      <c r="L396" s="10"/>
    </row>
    <row r="397" spans="1:12" s="2" customFormat="1" ht="13.2" x14ac:dyDescent="0.25">
      <c r="A397" s="10"/>
      <c r="B397" s="10"/>
      <c r="D397" s="10"/>
      <c r="F397" s="10"/>
      <c r="G397" s="10"/>
      <c r="H397" s="10"/>
      <c r="I397" s="10"/>
      <c r="J397" s="10"/>
      <c r="K397" s="10"/>
      <c r="L397" s="10"/>
    </row>
    <row r="398" spans="1:12" s="2" customFormat="1" ht="13.2" x14ac:dyDescent="0.25">
      <c r="A398" s="10"/>
      <c r="B398" s="10"/>
      <c r="D398" s="10"/>
      <c r="F398" s="10"/>
      <c r="G398" s="10"/>
      <c r="H398" s="10"/>
      <c r="I398" s="10"/>
      <c r="J398" s="10"/>
      <c r="K398" s="10"/>
      <c r="L398" s="10"/>
    </row>
    <row r="399" spans="1:12" s="2" customFormat="1" ht="13.2" x14ac:dyDescent="0.25">
      <c r="A399" s="10"/>
      <c r="B399" s="10"/>
      <c r="D399" s="10"/>
      <c r="F399" s="10"/>
      <c r="G399" s="10"/>
      <c r="H399" s="10"/>
      <c r="I399" s="10"/>
      <c r="J399" s="10"/>
      <c r="K399" s="10"/>
      <c r="L399" s="10"/>
    </row>
    <row r="400" spans="1:12" s="2" customFormat="1" ht="13.2" x14ac:dyDescent="0.25">
      <c r="A400" s="10"/>
      <c r="B400" s="10"/>
      <c r="D400" s="10"/>
      <c r="F400" s="10"/>
      <c r="G400" s="10"/>
      <c r="H400" s="10"/>
      <c r="I400" s="10"/>
      <c r="J400" s="10"/>
      <c r="K400" s="10"/>
      <c r="L400" s="10"/>
    </row>
    <row r="401" spans="1:12" s="2" customFormat="1" ht="13.2" x14ac:dyDescent="0.25">
      <c r="A401" s="10"/>
      <c r="B401" s="10"/>
      <c r="D401" s="10"/>
      <c r="F401" s="10"/>
      <c r="G401" s="10"/>
      <c r="H401" s="10"/>
      <c r="I401" s="10"/>
      <c r="J401" s="10"/>
      <c r="K401" s="10"/>
      <c r="L401" s="10"/>
    </row>
    <row r="402" spans="1:12" s="2" customFormat="1" ht="13.2" x14ac:dyDescent="0.25">
      <c r="A402" s="10"/>
      <c r="B402" s="10"/>
      <c r="D402" s="10"/>
      <c r="F402" s="10"/>
      <c r="G402" s="10"/>
      <c r="H402" s="10"/>
      <c r="I402" s="10"/>
      <c r="J402" s="10"/>
      <c r="K402" s="10"/>
      <c r="L402" s="10"/>
    </row>
    <row r="403" spans="1:12" s="2" customFormat="1" ht="13.2" x14ac:dyDescent="0.25">
      <c r="A403" s="10"/>
      <c r="B403" s="10"/>
      <c r="D403" s="10"/>
      <c r="F403" s="10"/>
      <c r="G403" s="10"/>
      <c r="H403" s="10"/>
      <c r="I403" s="10"/>
      <c r="J403" s="10"/>
      <c r="K403" s="10"/>
      <c r="L403" s="10"/>
    </row>
    <row r="404" spans="1:12" s="2" customFormat="1" ht="13.2" x14ac:dyDescent="0.25">
      <c r="A404" s="10"/>
      <c r="B404" s="10"/>
      <c r="D404" s="10"/>
      <c r="F404" s="10"/>
      <c r="G404" s="10"/>
      <c r="H404" s="10"/>
      <c r="I404" s="10"/>
      <c r="J404" s="10"/>
      <c r="K404" s="10"/>
      <c r="L404" s="10"/>
    </row>
    <row r="405" spans="1:12" s="2" customFormat="1" ht="13.2" x14ac:dyDescent="0.25">
      <c r="A405" s="10"/>
      <c r="B405" s="10"/>
      <c r="D405" s="10"/>
      <c r="F405" s="10"/>
      <c r="G405" s="10"/>
      <c r="H405" s="10"/>
      <c r="I405" s="10"/>
      <c r="J405" s="10"/>
      <c r="K405" s="10"/>
      <c r="L405" s="10"/>
    </row>
    <row r="406" spans="1:12" s="2" customFormat="1" ht="13.2" x14ac:dyDescent="0.25">
      <c r="A406" s="10"/>
      <c r="B406" s="10"/>
      <c r="D406" s="10"/>
      <c r="F406" s="10"/>
      <c r="G406" s="10"/>
      <c r="H406" s="10"/>
      <c r="I406" s="10"/>
      <c r="J406" s="10"/>
      <c r="K406" s="10"/>
      <c r="L406" s="10"/>
    </row>
    <row r="407" spans="1:12" s="2" customFormat="1" ht="13.2" x14ac:dyDescent="0.25">
      <c r="A407" s="10"/>
      <c r="B407" s="10"/>
      <c r="D407" s="10"/>
      <c r="F407" s="10"/>
      <c r="G407" s="10"/>
      <c r="H407" s="10"/>
      <c r="I407" s="10"/>
      <c r="J407" s="10"/>
      <c r="K407" s="10"/>
      <c r="L407" s="10"/>
    </row>
    <row r="408" spans="1:12" s="2" customFormat="1" ht="13.2" x14ac:dyDescent="0.25">
      <c r="A408" s="10"/>
      <c r="B408" s="10"/>
      <c r="D408" s="10"/>
      <c r="F408" s="10"/>
      <c r="G408" s="10"/>
      <c r="H408" s="10"/>
      <c r="I408" s="10"/>
      <c r="J408" s="10"/>
      <c r="K408" s="10"/>
      <c r="L408" s="10"/>
    </row>
    <row r="409" spans="1:12" s="2" customFormat="1" ht="13.2" x14ac:dyDescent="0.25">
      <c r="A409" s="10"/>
      <c r="B409" s="10"/>
      <c r="D409" s="10"/>
      <c r="F409" s="10"/>
      <c r="G409" s="10"/>
      <c r="H409" s="10"/>
      <c r="I409" s="10"/>
      <c r="J409" s="10"/>
      <c r="K409" s="10"/>
      <c r="L409" s="10"/>
    </row>
    <row r="410" spans="1:12" s="2" customFormat="1" ht="13.2" x14ac:dyDescent="0.25">
      <c r="A410" s="10"/>
      <c r="B410" s="10"/>
      <c r="D410" s="10"/>
      <c r="F410" s="10"/>
      <c r="G410" s="10"/>
      <c r="H410" s="10"/>
      <c r="I410" s="10"/>
      <c r="J410" s="10"/>
      <c r="K410" s="10"/>
      <c r="L410" s="10"/>
    </row>
    <row r="411" spans="1:12" s="2" customFormat="1" ht="13.2" x14ac:dyDescent="0.25">
      <c r="A411" s="10"/>
      <c r="B411" s="10"/>
      <c r="D411" s="10"/>
      <c r="F411" s="10"/>
      <c r="G411" s="10"/>
      <c r="H411" s="10"/>
      <c r="I411" s="10"/>
      <c r="J411" s="10"/>
      <c r="K411" s="10"/>
      <c r="L411" s="10"/>
    </row>
    <row r="412" spans="1:12" s="2" customFormat="1" ht="13.2" x14ac:dyDescent="0.25">
      <c r="A412" s="10"/>
      <c r="B412" s="10"/>
      <c r="D412" s="10"/>
      <c r="F412" s="10"/>
      <c r="G412" s="10"/>
      <c r="H412" s="10"/>
      <c r="I412" s="10"/>
      <c r="J412" s="10"/>
      <c r="K412" s="10"/>
      <c r="L412" s="10"/>
    </row>
    <row r="413" spans="1:12" s="2" customFormat="1" ht="13.2" x14ac:dyDescent="0.25">
      <c r="A413" s="10"/>
      <c r="B413" s="10"/>
      <c r="D413" s="10"/>
      <c r="F413" s="10"/>
      <c r="G413" s="10"/>
      <c r="H413" s="10"/>
      <c r="I413" s="10"/>
      <c r="J413" s="10"/>
      <c r="K413" s="10"/>
      <c r="L413" s="10"/>
    </row>
    <row r="414" spans="1:12" s="2" customFormat="1" ht="13.2" x14ac:dyDescent="0.25">
      <c r="A414" s="10"/>
      <c r="B414" s="10"/>
      <c r="D414" s="10"/>
      <c r="F414" s="10"/>
      <c r="G414" s="10"/>
      <c r="H414" s="10"/>
      <c r="I414" s="10"/>
      <c r="J414" s="10"/>
      <c r="K414" s="10"/>
      <c r="L414" s="10"/>
    </row>
    <row r="415" spans="1:12" s="2" customFormat="1" ht="13.2" x14ac:dyDescent="0.25">
      <c r="A415" s="10"/>
      <c r="B415" s="10"/>
      <c r="D415" s="10"/>
      <c r="F415" s="10"/>
      <c r="G415" s="10"/>
      <c r="H415" s="10"/>
      <c r="I415" s="10"/>
      <c r="J415" s="10"/>
      <c r="K415" s="10"/>
      <c r="L415" s="10"/>
    </row>
    <row r="416" spans="1:12" s="2" customFormat="1" ht="13.2" x14ac:dyDescent="0.25">
      <c r="A416" s="10"/>
      <c r="B416" s="10"/>
      <c r="D416" s="10"/>
      <c r="F416" s="10"/>
      <c r="G416" s="10"/>
      <c r="H416" s="10"/>
      <c r="I416" s="10"/>
      <c r="J416" s="10"/>
      <c r="K416" s="10"/>
      <c r="L416" s="10"/>
    </row>
    <row r="417" spans="1:12" s="2" customFormat="1" ht="13.2" x14ac:dyDescent="0.25">
      <c r="A417" s="10"/>
      <c r="B417" s="10"/>
      <c r="D417" s="10"/>
      <c r="F417" s="10"/>
      <c r="G417" s="10"/>
      <c r="H417" s="10"/>
      <c r="I417" s="10"/>
      <c r="J417" s="10"/>
      <c r="K417" s="10"/>
      <c r="L417" s="10"/>
    </row>
    <row r="418" spans="1:12" s="2" customFormat="1" ht="13.2" x14ac:dyDescent="0.25">
      <c r="A418" s="10"/>
      <c r="B418" s="10"/>
      <c r="D418" s="10"/>
      <c r="F418" s="10"/>
      <c r="G418" s="10"/>
      <c r="H418" s="10"/>
      <c r="I418" s="10"/>
      <c r="J418" s="10"/>
      <c r="K418" s="10"/>
      <c r="L418" s="10"/>
    </row>
    <row r="419" spans="1:12" s="2" customFormat="1" ht="13.2" x14ac:dyDescent="0.25">
      <c r="A419" s="10"/>
      <c r="B419" s="10"/>
      <c r="D419" s="10"/>
      <c r="F419" s="10"/>
      <c r="G419" s="10"/>
      <c r="H419" s="10"/>
      <c r="I419" s="10"/>
      <c r="J419" s="10"/>
      <c r="K419" s="10"/>
      <c r="L419" s="10"/>
    </row>
    <row r="420" spans="1:12" s="2" customFormat="1" ht="13.2" x14ac:dyDescent="0.25">
      <c r="A420" s="10"/>
      <c r="B420" s="10"/>
      <c r="D420" s="10"/>
      <c r="F420" s="10"/>
      <c r="G420" s="10"/>
      <c r="H420" s="10"/>
      <c r="I420" s="10"/>
      <c r="J420" s="10"/>
      <c r="K420" s="10"/>
      <c r="L420" s="10"/>
    </row>
    <row r="421" spans="1:12" s="2" customFormat="1" ht="13.2" x14ac:dyDescent="0.25">
      <c r="A421" s="10"/>
      <c r="B421" s="10"/>
      <c r="D421" s="10"/>
      <c r="F421" s="10"/>
      <c r="G421" s="10"/>
      <c r="H421" s="10"/>
      <c r="I421" s="10"/>
      <c r="J421" s="10"/>
      <c r="K421" s="10"/>
      <c r="L421" s="10"/>
    </row>
    <row r="422" spans="1:12" s="2" customFormat="1" ht="13.2" x14ac:dyDescent="0.25">
      <c r="A422" s="10"/>
      <c r="B422" s="10"/>
      <c r="D422" s="10"/>
      <c r="F422" s="10"/>
      <c r="G422" s="10"/>
      <c r="H422" s="10"/>
      <c r="I422" s="10"/>
      <c r="J422" s="10"/>
      <c r="K422" s="10"/>
      <c r="L422" s="10"/>
    </row>
    <row r="423" spans="1:12" s="2" customFormat="1" ht="13.2" x14ac:dyDescent="0.25">
      <c r="A423" s="10"/>
      <c r="B423" s="10"/>
      <c r="D423" s="10"/>
      <c r="F423" s="10"/>
      <c r="G423" s="10"/>
      <c r="H423" s="10"/>
      <c r="I423" s="10"/>
      <c r="J423" s="10"/>
      <c r="K423" s="10"/>
      <c r="L423" s="10"/>
    </row>
    <row r="424" spans="1:12" s="2" customFormat="1" ht="13.2" x14ac:dyDescent="0.25">
      <c r="A424" s="10"/>
      <c r="B424" s="10"/>
      <c r="D424" s="10"/>
      <c r="F424" s="10"/>
      <c r="G424" s="10"/>
      <c r="H424" s="10"/>
      <c r="I424" s="10"/>
      <c r="J424" s="10"/>
      <c r="K424" s="10"/>
      <c r="L424" s="10"/>
    </row>
    <row r="425" spans="1:12" s="2" customFormat="1" ht="13.2" x14ac:dyDescent="0.25">
      <c r="A425" s="10"/>
      <c r="B425" s="10"/>
      <c r="D425" s="10"/>
      <c r="F425" s="10"/>
      <c r="G425" s="10"/>
      <c r="H425" s="10"/>
      <c r="I425" s="10"/>
      <c r="J425" s="10"/>
      <c r="K425" s="10"/>
      <c r="L425" s="10"/>
    </row>
    <row r="426" spans="1:12" s="2" customFormat="1" ht="13.2" x14ac:dyDescent="0.25">
      <c r="A426" s="10"/>
      <c r="B426" s="10"/>
      <c r="D426" s="10"/>
      <c r="F426" s="10"/>
      <c r="G426" s="10"/>
      <c r="H426" s="10"/>
      <c r="I426" s="10"/>
      <c r="J426" s="10"/>
      <c r="K426" s="10"/>
      <c r="L426" s="10"/>
    </row>
    <row r="427" spans="1:12" s="2" customFormat="1" ht="13.2" x14ac:dyDescent="0.25">
      <c r="A427" s="10"/>
      <c r="B427" s="10"/>
      <c r="D427" s="10"/>
      <c r="F427" s="10"/>
      <c r="G427" s="10"/>
      <c r="H427" s="10"/>
      <c r="I427" s="10"/>
      <c r="J427" s="10"/>
      <c r="K427" s="10"/>
      <c r="L427" s="10"/>
    </row>
    <row r="428" spans="1:12" s="2" customFormat="1" ht="13.2" x14ac:dyDescent="0.25">
      <c r="A428" s="10"/>
      <c r="B428" s="10"/>
      <c r="D428" s="10"/>
      <c r="F428" s="10"/>
      <c r="G428" s="10"/>
      <c r="H428" s="10"/>
      <c r="I428" s="10"/>
      <c r="J428" s="10"/>
      <c r="K428" s="10"/>
      <c r="L428" s="10"/>
    </row>
    <row r="429" spans="1:12" s="2" customFormat="1" ht="13.2" x14ac:dyDescent="0.25">
      <c r="A429" s="10"/>
      <c r="B429" s="10"/>
      <c r="D429" s="10"/>
      <c r="F429" s="10"/>
      <c r="G429" s="10"/>
      <c r="H429" s="10"/>
      <c r="I429" s="10"/>
      <c r="J429" s="10"/>
      <c r="K429" s="10"/>
      <c r="L429" s="10"/>
    </row>
    <row r="430" spans="1:12" s="2" customFormat="1" ht="13.2" x14ac:dyDescent="0.25">
      <c r="A430" s="10"/>
      <c r="B430" s="10"/>
      <c r="D430" s="10"/>
      <c r="F430" s="10"/>
      <c r="G430" s="10"/>
      <c r="H430" s="10"/>
      <c r="I430" s="10"/>
      <c r="J430" s="10"/>
      <c r="K430" s="10"/>
      <c r="L430" s="10"/>
    </row>
    <row r="431" spans="1:12" s="2" customFormat="1" ht="13.2" x14ac:dyDescent="0.25">
      <c r="A431" s="10"/>
      <c r="B431" s="10"/>
      <c r="D431" s="10"/>
      <c r="F431" s="10"/>
      <c r="G431" s="10"/>
      <c r="H431" s="10"/>
      <c r="I431" s="10"/>
      <c r="J431" s="10"/>
      <c r="K431" s="10"/>
      <c r="L431" s="10"/>
    </row>
    <row r="432" spans="1:12" s="2" customFormat="1" ht="13.2" x14ac:dyDescent="0.25">
      <c r="A432" s="10"/>
      <c r="B432" s="10"/>
      <c r="D432" s="10"/>
      <c r="F432" s="10"/>
      <c r="G432" s="10"/>
      <c r="H432" s="10"/>
      <c r="I432" s="10"/>
      <c r="J432" s="10"/>
      <c r="K432" s="10"/>
      <c r="L432" s="10"/>
    </row>
    <row r="433" spans="1:12" s="2" customFormat="1" ht="13.2" x14ac:dyDescent="0.25">
      <c r="A433" s="10"/>
      <c r="B433" s="10"/>
      <c r="D433" s="10"/>
      <c r="F433" s="10"/>
      <c r="G433" s="10"/>
      <c r="H433" s="10"/>
      <c r="I433" s="10"/>
      <c r="J433" s="10"/>
      <c r="K433" s="10"/>
      <c r="L433" s="10"/>
    </row>
    <row r="434" spans="1:12" s="2" customFormat="1" ht="13.2" x14ac:dyDescent="0.25">
      <c r="A434" s="10"/>
      <c r="B434" s="10"/>
      <c r="D434" s="10"/>
      <c r="F434" s="10"/>
      <c r="G434" s="10"/>
      <c r="H434" s="10"/>
      <c r="I434" s="10"/>
      <c r="J434" s="10"/>
      <c r="K434" s="10"/>
      <c r="L434" s="10"/>
    </row>
    <row r="435" spans="1:12" s="2" customFormat="1" ht="13.2" x14ac:dyDescent="0.25">
      <c r="A435" s="10"/>
      <c r="B435" s="10"/>
      <c r="D435" s="10"/>
      <c r="F435" s="10"/>
      <c r="G435" s="10"/>
      <c r="H435" s="10"/>
      <c r="I435" s="10"/>
      <c r="J435" s="10"/>
      <c r="K435" s="10"/>
      <c r="L435" s="10"/>
    </row>
    <row r="436" spans="1:12" s="2" customFormat="1" ht="13.2" x14ac:dyDescent="0.25">
      <c r="A436" s="10"/>
      <c r="B436" s="10"/>
      <c r="D436" s="10"/>
      <c r="F436" s="10"/>
      <c r="G436" s="10"/>
      <c r="H436" s="10"/>
      <c r="I436" s="10"/>
      <c r="J436" s="10"/>
      <c r="K436" s="10"/>
      <c r="L436" s="10"/>
    </row>
    <row r="437" spans="1:12" s="2" customFormat="1" ht="13.2" x14ac:dyDescent="0.25">
      <c r="A437" s="10"/>
      <c r="B437" s="10"/>
      <c r="D437" s="10"/>
      <c r="F437" s="10"/>
      <c r="G437" s="10"/>
      <c r="H437" s="10"/>
      <c r="I437" s="10"/>
      <c r="J437" s="10"/>
      <c r="K437" s="10"/>
      <c r="L437" s="10"/>
    </row>
    <row r="438" spans="1:12" s="2" customFormat="1" ht="13.2" x14ac:dyDescent="0.25">
      <c r="A438" s="10"/>
      <c r="B438" s="10"/>
      <c r="D438" s="10"/>
      <c r="F438" s="10"/>
      <c r="G438" s="10"/>
      <c r="H438" s="10"/>
      <c r="I438" s="10"/>
      <c r="J438" s="10"/>
      <c r="K438" s="10"/>
      <c r="L438" s="10"/>
    </row>
    <row r="439" spans="1:12" s="2" customFormat="1" ht="13.2" x14ac:dyDescent="0.25">
      <c r="A439" s="10"/>
      <c r="B439" s="10"/>
      <c r="D439" s="10"/>
      <c r="F439" s="10"/>
      <c r="G439" s="10"/>
      <c r="H439" s="10"/>
      <c r="I439" s="10"/>
      <c r="J439" s="10"/>
      <c r="K439" s="10"/>
      <c r="L439" s="10"/>
    </row>
    <row r="440" spans="1:12" s="2" customFormat="1" ht="13.2" x14ac:dyDescent="0.25">
      <c r="A440" s="10"/>
      <c r="B440" s="10"/>
      <c r="D440" s="10"/>
      <c r="F440" s="10"/>
      <c r="G440" s="10"/>
      <c r="H440" s="10"/>
      <c r="I440" s="10"/>
      <c r="J440" s="10"/>
      <c r="K440" s="10"/>
      <c r="L440" s="10"/>
    </row>
    <row r="441" spans="1:12" s="2" customFormat="1" ht="13.2" x14ac:dyDescent="0.25">
      <c r="A441" s="10"/>
      <c r="B441" s="10"/>
      <c r="D441" s="10"/>
      <c r="F441" s="10"/>
      <c r="G441" s="10"/>
      <c r="H441" s="10"/>
      <c r="I441" s="10"/>
      <c r="J441" s="10"/>
      <c r="K441" s="10"/>
      <c r="L441" s="10"/>
    </row>
    <row r="442" spans="1:12" s="2" customFormat="1" ht="13.2" x14ac:dyDescent="0.25">
      <c r="A442" s="10"/>
      <c r="B442" s="10"/>
      <c r="D442" s="10"/>
      <c r="F442" s="10"/>
      <c r="G442" s="10"/>
      <c r="H442" s="10"/>
      <c r="I442" s="10"/>
      <c r="J442" s="10"/>
      <c r="K442" s="10"/>
      <c r="L442" s="10"/>
    </row>
    <row r="443" spans="1:12" s="2" customFormat="1" ht="13.2" x14ac:dyDescent="0.25">
      <c r="A443" s="10"/>
      <c r="B443" s="10"/>
      <c r="D443" s="10"/>
      <c r="F443" s="10"/>
      <c r="G443" s="10"/>
      <c r="H443" s="10"/>
      <c r="I443" s="10"/>
      <c r="J443" s="10"/>
      <c r="K443" s="10"/>
      <c r="L443" s="10"/>
    </row>
    <row r="444" spans="1:12" s="2" customFormat="1" ht="13.2" x14ac:dyDescent="0.25">
      <c r="A444" s="10"/>
      <c r="B444" s="10"/>
      <c r="D444" s="10"/>
      <c r="F444" s="10"/>
      <c r="G444" s="10"/>
      <c r="H444" s="10"/>
      <c r="I444" s="10"/>
      <c r="J444" s="10"/>
      <c r="K444" s="10"/>
      <c r="L444" s="10"/>
    </row>
    <row r="445" spans="1:12" s="2" customFormat="1" ht="13.2" x14ac:dyDescent="0.25">
      <c r="A445" s="10"/>
      <c r="B445" s="10"/>
      <c r="D445" s="10"/>
      <c r="F445" s="10"/>
      <c r="G445" s="10"/>
      <c r="H445" s="10"/>
      <c r="I445" s="10"/>
      <c r="J445" s="10"/>
      <c r="K445" s="10"/>
      <c r="L445" s="10"/>
    </row>
    <row r="446" spans="1:12" s="2" customFormat="1" ht="13.2" x14ac:dyDescent="0.25">
      <c r="A446" s="10"/>
      <c r="B446" s="10"/>
      <c r="D446" s="10"/>
      <c r="F446" s="10"/>
      <c r="G446" s="10"/>
      <c r="H446" s="10"/>
      <c r="I446" s="10"/>
      <c r="J446" s="10"/>
      <c r="K446" s="10"/>
      <c r="L446" s="10"/>
    </row>
    <row r="447" spans="1:12" s="2" customFormat="1" ht="13.2" x14ac:dyDescent="0.25">
      <c r="A447" s="10"/>
      <c r="B447" s="10"/>
      <c r="D447" s="10"/>
      <c r="F447" s="10"/>
      <c r="G447" s="10"/>
      <c r="H447" s="10"/>
      <c r="I447" s="10"/>
      <c r="J447" s="10"/>
      <c r="K447" s="10"/>
      <c r="L447" s="10"/>
    </row>
    <row r="448" spans="1:12" s="2" customFormat="1" ht="13.2" x14ac:dyDescent="0.25">
      <c r="A448" s="10"/>
      <c r="B448" s="10"/>
      <c r="D448" s="10"/>
      <c r="F448" s="10"/>
      <c r="G448" s="10"/>
      <c r="H448" s="10"/>
      <c r="I448" s="10"/>
      <c r="J448" s="10"/>
      <c r="K448" s="10"/>
      <c r="L448" s="10"/>
    </row>
    <row r="449" spans="1:12" s="2" customFormat="1" ht="13.2" x14ac:dyDescent="0.25">
      <c r="A449" s="10"/>
      <c r="B449" s="10"/>
      <c r="D449" s="10"/>
      <c r="F449" s="10"/>
      <c r="G449" s="10"/>
      <c r="H449" s="10"/>
      <c r="I449" s="10"/>
      <c r="J449" s="10"/>
      <c r="K449" s="10"/>
      <c r="L449" s="10"/>
    </row>
    <row r="450" spans="1:12" s="2" customFormat="1" ht="13.2" x14ac:dyDescent="0.25">
      <c r="A450" s="10"/>
      <c r="B450" s="10"/>
      <c r="D450" s="10"/>
      <c r="F450" s="10"/>
      <c r="G450" s="10"/>
      <c r="H450" s="10"/>
      <c r="I450" s="10"/>
      <c r="J450" s="10"/>
      <c r="K450" s="10"/>
      <c r="L450" s="10"/>
    </row>
    <row r="451" spans="1:12" s="2" customFormat="1" ht="13.2" x14ac:dyDescent="0.25">
      <c r="A451" s="10"/>
      <c r="B451" s="10"/>
      <c r="D451" s="10"/>
      <c r="F451" s="10"/>
      <c r="G451" s="10"/>
      <c r="H451" s="10"/>
      <c r="I451" s="10"/>
      <c r="J451" s="10"/>
      <c r="K451" s="10"/>
      <c r="L451" s="10"/>
    </row>
    <row r="452" spans="1:12" s="2" customFormat="1" ht="13.2" x14ac:dyDescent="0.25">
      <c r="A452" s="10"/>
      <c r="B452" s="10"/>
      <c r="D452" s="10"/>
      <c r="F452" s="10"/>
      <c r="G452" s="10"/>
      <c r="H452" s="10"/>
      <c r="I452" s="10"/>
      <c r="J452" s="10"/>
      <c r="K452" s="10"/>
      <c r="L452" s="10"/>
    </row>
    <row r="453" spans="1:12" s="2" customFormat="1" ht="13.2" x14ac:dyDescent="0.25">
      <c r="A453" s="10"/>
      <c r="B453" s="10"/>
      <c r="D453" s="10"/>
      <c r="F453" s="10"/>
      <c r="G453" s="10"/>
      <c r="H453" s="10"/>
      <c r="I453" s="10"/>
      <c r="J453" s="10"/>
      <c r="K453" s="10"/>
      <c r="L453" s="10"/>
    </row>
    <row r="454" spans="1:12" s="2" customFormat="1" ht="13.2" x14ac:dyDescent="0.25">
      <c r="A454" s="10"/>
      <c r="B454" s="10"/>
      <c r="D454" s="10"/>
      <c r="F454" s="10"/>
      <c r="G454" s="10"/>
      <c r="H454" s="10"/>
      <c r="I454" s="10"/>
      <c r="J454" s="10"/>
      <c r="K454" s="10"/>
      <c r="L454" s="10"/>
    </row>
    <row r="455" spans="1:12" s="2" customFormat="1" ht="13.2" x14ac:dyDescent="0.25">
      <c r="A455" s="10"/>
      <c r="B455" s="10"/>
      <c r="D455" s="10"/>
      <c r="F455" s="10"/>
      <c r="G455" s="10"/>
      <c r="H455" s="10"/>
      <c r="I455" s="10"/>
      <c r="J455" s="10"/>
      <c r="K455" s="10"/>
      <c r="L455" s="10"/>
    </row>
    <row r="456" spans="1:12" s="2" customFormat="1" ht="13.2" x14ac:dyDescent="0.25">
      <c r="A456" s="10"/>
      <c r="B456" s="10"/>
      <c r="D456" s="10"/>
      <c r="F456" s="10"/>
      <c r="G456" s="10"/>
      <c r="H456" s="10"/>
      <c r="I456" s="10"/>
      <c r="J456" s="10"/>
      <c r="K456" s="10"/>
      <c r="L456" s="10"/>
    </row>
    <row r="457" spans="1:12" s="2" customFormat="1" ht="13.2" x14ac:dyDescent="0.25">
      <c r="A457" s="10"/>
      <c r="B457" s="10"/>
      <c r="D457" s="10"/>
      <c r="F457" s="10"/>
      <c r="G457" s="10"/>
      <c r="H457" s="10"/>
      <c r="I457" s="10"/>
      <c r="J457" s="10"/>
      <c r="K457" s="10"/>
      <c r="L457" s="10"/>
    </row>
    <row r="458" spans="1:12" s="2" customFormat="1" ht="13.2" x14ac:dyDescent="0.25">
      <c r="A458" s="10"/>
      <c r="B458" s="10"/>
      <c r="D458" s="10"/>
      <c r="F458" s="10"/>
      <c r="G458" s="10"/>
      <c r="H458" s="10"/>
      <c r="I458" s="10"/>
      <c r="J458" s="10"/>
      <c r="K458" s="10"/>
      <c r="L458" s="10"/>
    </row>
    <row r="459" spans="1:12" s="2" customFormat="1" ht="13.2" x14ac:dyDescent="0.25">
      <c r="A459" s="10"/>
      <c r="B459" s="10"/>
      <c r="D459" s="10"/>
      <c r="F459" s="10"/>
      <c r="G459" s="10"/>
      <c r="H459" s="10"/>
      <c r="I459" s="10"/>
      <c r="J459" s="10"/>
      <c r="K459" s="10"/>
      <c r="L459" s="10"/>
    </row>
    <row r="460" spans="1:12" s="2" customFormat="1" ht="13.2" x14ac:dyDescent="0.25">
      <c r="A460" s="10"/>
      <c r="B460" s="10"/>
      <c r="D460" s="10"/>
      <c r="F460" s="10"/>
      <c r="G460" s="10"/>
      <c r="H460" s="10"/>
      <c r="I460" s="10"/>
      <c r="J460" s="10"/>
      <c r="K460" s="10"/>
      <c r="L460" s="10"/>
    </row>
    <row r="461" spans="1:12" s="2" customFormat="1" ht="13.2" x14ac:dyDescent="0.25">
      <c r="A461" s="10"/>
      <c r="B461" s="10"/>
      <c r="D461" s="10"/>
      <c r="F461" s="10"/>
      <c r="G461" s="10"/>
      <c r="H461" s="10"/>
      <c r="I461" s="10"/>
      <c r="J461" s="10"/>
      <c r="K461" s="10"/>
      <c r="L461" s="10"/>
    </row>
    <row r="462" spans="1:12" s="2" customFormat="1" ht="13.2" x14ac:dyDescent="0.25">
      <c r="A462" s="10"/>
      <c r="B462" s="10"/>
      <c r="D462" s="10"/>
      <c r="F462" s="10"/>
      <c r="G462" s="10"/>
      <c r="H462" s="10"/>
      <c r="I462" s="10"/>
      <c r="J462" s="10"/>
      <c r="K462" s="10"/>
      <c r="L462" s="10"/>
    </row>
    <row r="463" spans="1:12" s="2" customFormat="1" ht="13.2" x14ac:dyDescent="0.25">
      <c r="A463" s="10"/>
      <c r="B463" s="10"/>
      <c r="D463" s="10"/>
      <c r="F463" s="10"/>
      <c r="G463" s="10"/>
      <c r="H463" s="10"/>
      <c r="I463" s="10"/>
      <c r="J463" s="10"/>
      <c r="K463" s="10"/>
      <c r="L463" s="10"/>
    </row>
    <row r="464" spans="1:12" s="2" customFormat="1" ht="13.2" x14ac:dyDescent="0.25">
      <c r="A464" s="10"/>
      <c r="B464" s="10"/>
      <c r="D464" s="10"/>
      <c r="F464" s="10"/>
      <c r="G464" s="10"/>
      <c r="H464" s="10"/>
      <c r="I464" s="10"/>
      <c r="J464" s="10"/>
      <c r="K464" s="10"/>
      <c r="L464" s="10"/>
    </row>
    <row r="465" spans="1:12" s="2" customFormat="1" ht="13.2" x14ac:dyDescent="0.25">
      <c r="A465" s="10"/>
      <c r="B465" s="10"/>
      <c r="D465" s="10"/>
      <c r="F465" s="10"/>
      <c r="G465" s="10"/>
      <c r="H465" s="10"/>
      <c r="I465" s="10"/>
      <c r="J465" s="10"/>
      <c r="K465" s="10"/>
      <c r="L465" s="10"/>
    </row>
    <row r="466" spans="1:12" s="2" customFormat="1" ht="13.2" x14ac:dyDescent="0.25">
      <c r="A466" s="10"/>
      <c r="B466" s="10"/>
      <c r="D466" s="10"/>
      <c r="F466" s="10"/>
      <c r="G466" s="10"/>
      <c r="H466" s="10"/>
      <c r="I466" s="10"/>
      <c r="J466" s="10"/>
      <c r="K466" s="10"/>
      <c r="L466" s="10"/>
    </row>
    <row r="467" spans="1:12" s="2" customFormat="1" ht="13.2" x14ac:dyDescent="0.25">
      <c r="A467" s="10"/>
      <c r="B467" s="10"/>
      <c r="D467" s="10"/>
      <c r="F467" s="10"/>
      <c r="G467" s="10"/>
      <c r="H467" s="10"/>
      <c r="I467" s="10"/>
      <c r="J467" s="10"/>
      <c r="K467" s="10"/>
      <c r="L467" s="10"/>
    </row>
    <row r="468" spans="1:12" s="2" customFormat="1" ht="13.2" x14ac:dyDescent="0.25">
      <c r="A468" s="10"/>
      <c r="B468" s="10"/>
      <c r="D468" s="10"/>
      <c r="F468" s="10"/>
      <c r="G468" s="10"/>
      <c r="H468" s="10"/>
      <c r="I468" s="10"/>
      <c r="J468" s="10"/>
      <c r="K468" s="10"/>
      <c r="L468" s="10"/>
    </row>
    <row r="469" spans="1:12" s="2" customFormat="1" ht="13.2" x14ac:dyDescent="0.25">
      <c r="A469" s="10"/>
      <c r="B469" s="10"/>
      <c r="D469" s="10"/>
      <c r="F469" s="10"/>
      <c r="G469" s="10"/>
      <c r="H469" s="10"/>
      <c r="I469" s="10"/>
      <c r="J469" s="10"/>
      <c r="K469" s="10"/>
      <c r="L469" s="10"/>
    </row>
    <row r="470" spans="1:12" s="2" customFormat="1" ht="13.2" x14ac:dyDescent="0.25">
      <c r="A470" s="10"/>
      <c r="B470" s="10"/>
      <c r="D470" s="10"/>
      <c r="F470" s="10"/>
      <c r="G470" s="10"/>
      <c r="H470" s="10"/>
      <c r="I470" s="10"/>
      <c r="J470" s="10"/>
      <c r="K470" s="10"/>
      <c r="L470" s="10"/>
    </row>
    <row r="471" spans="1:12" s="2" customFormat="1" ht="13.2" x14ac:dyDescent="0.25">
      <c r="A471" s="10"/>
      <c r="B471" s="10"/>
      <c r="D471" s="10"/>
      <c r="F471" s="10"/>
      <c r="G471" s="10"/>
      <c r="H471" s="10"/>
      <c r="I471" s="10"/>
      <c r="J471" s="10"/>
      <c r="K471" s="10"/>
      <c r="L471" s="10"/>
    </row>
    <row r="472" spans="1:12" s="2" customFormat="1" ht="13.2" x14ac:dyDescent="0.25">
      <c r="A472" s="10"/>
      <c r="B472" s="10"/>
      <c r="D472" s="10"/>
      <c r="F472" s="10"/>
      <c r="G472" s="10"/>
      <c r="H472" s="10"/>
      <c r="I472" s="10"/>
      <c r="J472" s="10"/>
      <c r="K472" s="10"/>
      <c r="L472" s="10"/>
    </row>
    <row r="473" spans="1:12" s="2" customFormat="1" ht="13.2" x14ac:dyDescent="0.25">
      <c r="A473" s="10"/>
      <c r="B473" s="10"/>
      <c r="D473" s="10"/>
      <c r="F473" s="10"/>
      <c r="G473" s="10"/>
      <c r="H473" s="10"/>
      <c r="I473" s="10"/>
      <c r="J473" s="10"/>
      <c r="K473" s="10"/>
      <c r="L473" s="10"/>
    </row>
    <row r="474" spans="1:12" s="2" customFormat="1" ht="13.2" x14ac:dyDescent="0.25">
      <c r="A474" s="10"/>
      <c r="B474" s="10"/>
      <c r="D474" s="10"/>
      <c r="F474" s="10"/>
      <c r="G474" s="10"/>
      <c r="H474" s="10"/>
      <c r="I474" s="10"/>
      <c r="J474" s="10"/>
      <c r="K474" s="10"/>
      <c r="L474" s="10"/>
    </row>
    <row r="475" spans="1:12" s="2" customFormat="1" ht="13.2" x14ac:dyDescent="0.25">
      <c r="A475" s="10"/>
      <c r="B475" s="10"/>
      <c r="D475" s="10"/>
      <c r="F475" s="10"/>
      <c r="G475" s="10"/>
      <c r="H475" s="10"/>
      <c r="I475" s="10"/>
      <c r="J475" s="10"/>
      <c r="K475" s="10"/>
      <c r="L475" s="10"/>
    </row>
    <row r="476" spans="1:12" s="2" customFormat="1" ht="13.2" x14ac:dyDescent="0.25">
      <c r="A476" s="10"/>
      <c r="B476" s="10"/>
      <c r="D476" s="10"/>
      <c r="F476" s="10"/>
      <c r="G476" s="10"/>
      <c r="H476" s="10"/>
      <c r="I476" s="10"/>
      <c r="J476" s="10"/>
      <c r="K476" s="10"/>
      <c r="L476" s="10"/>
    </row>
    <row r="477" spans="1:12" s="2" customFormat="1" ht="13.2" x14ac:dyDescent="0.25">
      <c r="A477" s="10"/>
      <c r="B477" s="10"/>
      <c r="D477" s="10"/>
      <c r="F477" s="10"/>
      <c r="G477" s="10"/>
      <c r="H477" s="10"/>
      <c r="I477" s="10"/>
      <c r="J477" s="10"/>
      <c r="K477" s="10"/>
      <c r="L477" s="10"/>
    </row>
    <row r="478" spans="1:12" s="2" customFormat="1" ht="13.2" x14ac:dyDescent="0.25">
      <c r="A478" s="10"/>
      <c r="B478" s="10"/>
      <c r="D478" s="10"/>
      <c r="F478" s="10"/>
      <c r="G478" s="10"/>
      <c r="H478" s="10"/>
      <c r="I478" s="10"/>
      <c r="J478" s="10"/>
      <c r="K478" s="10"/>
      <c r="L478" s="10"/>
    </row>
    <row r="479" spans="1:12" s="2" customFormat="1" ht="13.2" x14ac:dyDescent="0.25">
      <c r="A479" s="10"/>
      <c r="B479" s="10"/>
      <c r="D479" s="10"/>
      <c r="F479" s="10"/>
      <c r="G479" s="10"/>
      <c r="H479" s="10"/>
      <c r="I479" s="10"/>
      <c r="J479" s="10"/>
      <c r="K479" s="10"/>
      <c r="L479" s="10"/>
    </row>
    <row r="480" spans="1:12" s="2" customFormat="1" ht="13.2" x14ac:dyDescent="0.25">
      <c r="A480" s="10"/>
      <c r="B480" s="10"/>
      <c r="D480" s="10"/>
      <c r="F480" s="10"/>
      <c r="G480" s="10"/>
      <c r="H480" s="10"/>
      <c r="I480" s="10"/>
      <c r="J480" s="10"/>
      <c r="K480" s="10"/>
      <c r="L480" s="10"/>
    </row>
    <row r="481" spans="1:12" s="2" customFormat="1" ht="13.2" x14ac:dyDescent="0.25">
      <c r="A481" s="10"/>
      <c r="B481" s="10"/>
      <c r="D481" s="10"/>
      <c r="F481" s="10"/>
      <c r="G481" s="10"/>
      <c r="H481" s="10"/>
      <c r="I481" s="10"/>
      <c r="J481" s="10"/>
      <c r="K481" s="10"/>
      <c r="L481" s="10"/>
    </row>
    <row r="482" spans="1:12" s="2" customFormat="1" ht="13.2" x14ac:dyDescent="0.25">
      <c r="A482" s="10"/>
      <c r="B482" s="10"/>
      <c r="D482" s="10"/>
      <c r="F482" s="10"/>
      <c r="G482" s="10"/>
      <c r="H482" s="10"/>
      <c r="I482" s="10"/>
      <c r="J482" s="10"/>
      <c r="K482" s="10"/>
      <c r="L482" s="10"/>
    </row>
    <row r="483" spans="1:12" s="2" customFormat="1" ht="13.2" x14ac:dyDescent="0.25">
      <c r="A483" s="10"/>
      <c r="B483" s="10"/>
      <c r="D483" s="10"/>
      <c r="F483" s="10"/>
      <c r="G483" s="10"/>
      <c r="H483" s="10"/>
      <c r="I483" s="10"/>
      <c r="J483" s="10"/>
      <c r="K483" s="10"/>
      <c r="L483" s="10"/>
    </row>
    <row r="484" spans="1:12" s="2" customFormat="1" ht="13.2" x14ac:dyDescent="0.25">
      <c r="A484" s="10"/>
      <c r="B484" s="10"/>
      <c r="D484" s="10"/>
      <c r="F484" s="10"/>
      <c r="G484" s="10"/>
      <c r="H484" s="10"/>
      <c r="I484" s="10"/>
      <c r="J484" s="10"/>
      <c r="K484" s="10"/>
      <c r="L484" s="10"/>
    </row>
    <row r="485" spans="1:12" s="2" customFormat="1" ht="13.2" x14ac:dyDescent="0.25">
      <c r="A485" s="10"/>
      <c r="B485" s="10"/>
      <c r="D485" s="10"/>
      <c r="F485" s="10"/>
      <c r="G485" s="10"/>
      <c r="H485" s="10"/>
      <c r="I485" s="10"/>
      <c r="J485" s="10"/>
      <c r="K485" s="10"/>
      <c r="L485" s="10"/>
    </row>
    <row r="486" spans="1:12" s="2" customFormat="1" ht="13.2" x14ac:dyDescent="0.25">
      <c r="A486" s="10"/>
      <c r="B486" s="10"/>
      <c r="D486" s="10"/>
      <c r="F486" s="10"/>
      <c r="G486" s="10"/>
      <c r="H486" s="10"/>
      <c r="I486" s="10"/>
      <c r="J486" s="10"/>
      <c r="K486" s="10"/>
      <c r="L486" s="10"/>
    </row>
    <row r="487" spans="1:12" s="2" customFormat="1" ht="13.2" x14ac:dyDescent="0.25">
      <c r="A487" s="10"/>
      <c r="B487" s="10"/>
      <c r="D487" s="10"/>
      <c r="F487" s="10"/>
      <c r="G487" s="10"/>
      <c r="H487" s="10"/>
      <c r="I487" s="10"/>
      <c r="J487" s="10"/>
      <c r="K487" s="10"/>
      <c r="L487" s="10"/>
    </row>
    <row r="488" spans="1:12" s="2" customFormat="1" ht="13.2" x14ac:dyDescent="0.25">
      <c r="A488" s="10"/>
      <c r="B488" s="10"/>
      <c r="D488" s="10"/>
      <c r="F488" s="10"/>
      <c r="G488" s="10"/>
      <c r="H488" s="10"/>
      <c r="I488" s="10"/>
      <c r="J488" s="10"/>
      <c r="K488" s="10"/>
      <c r="L488" s="10"/>
    </row>
    <row r="489" spans="1:12" s="2" customFormat="1" ht="13.2" x14ac:dyDescent="0.25">
      <c r="A489" s="10"/>
      <c r="B489" s="10"/>
      <c r="D489" s="10"/>
      <c r="F489" s="10"/>
      <c r="G489" s="10"/>
      <c r="H489" s="10"/>
      <c r="I489" s="10"/>
      <c r="J489" s="10"/>
      <c r="K489" s="10"/>
      <c r="L489" s="10"/>
    </row>
    <row r="490" spans="1:12" s="2" customFormat="1" ht="13.2" x14ac:dyDescent="0.25">
      <c r="A490" s="10"/>
      <c r="B490" s="10"/>
      <c r="D490" s="10"/>
      <c r="F490" s="10"/>
      <c r="G490" s="10"/>
      <c r="H490" s="10"/>
      <c r="I490" s="10"/>
      <c r="J490" s="10"/>
      <c r="K490" s="10"/>
      <c r="L490" s="10"/>
    </row>
    <row r="491" spans="1:12" s="2" customFormat="1" ht="13.2" x14ac:dyDescent="0.25">
      <c r="A491" s="10"/>
      <c r="B491" s="10"/>
      <c r="D491" s="10"/>
      <c r="F491" s="10"/>
      <c r="G491" s="10"/>
      <c r="H491" s="10"/>
      <c r="I491" s="10"/>
      <c r="J491" s="10"/>
      <c r="K491" s="10"/>
      <c r="L491" s="10"/>
    </row>
    <row r="492" spans="1:12" s="2" customFormat="1" ht="13.2" x14ac:dyDescent="0.25">
      <c r="A492" s="10"/>
      <c r="B492" s="10"/>
      <c r="D492" s="10"/>
      <c r="F492" s="10"/>
      <c r="G492" s="10"/>
      <c r="H492" s="10"/>
      <c r="I492" s="10"/>
      <c r="J492" s="10"/>
      <c r="K492" s="10"/>
      <c r="L492" s="10"/>
    </row>
    <row r="493" spans="1:12" s="2" customFormat="1" ht="13.2" x14ac:dyDescent="0.25">
      <c r="A493" s="10"/>
      <c r="B493" s="10"/>
      <c r="D493" s="10"/>
      <c r="F493" s="10"/>
      <c r="G493" s="10"/>
      <c r="H493" s="10"/>
      <c r="I493" s="10"/>
      <c r="J493" s="10"/>
      <c r="K493" s="10"/>
      <c r="L493" s="10"/>
    </row>
    <row r="494" spans="1:12" s="2" customFormat="1" ht="13.2" x14ac:dyDescent="0.25">
      <c r="A494" s="10"/>
      <c r="B494" s="10"/>
      <c r="D494" s="10"/>
      <c r="F494" s="10"/>
      <c r="G494" s="10"/>
      <c r="H494" s="10"/>
      <c r="I494" s="10"/>
      <c r="J494" s="10"/>
      <c r="K494" s="10"/>
      <c r="L494" s="10"/>
    </row>
    <row r="495" spans="1:12" s="2" customFormat="1" ht="13.2" x14ac:dyDescent="0.25">
      <c r="A495" s="10"/>
      <c r="B495" s="10"/>
      <c r="D495" s="10"/>
      <c r="F495" s="10"/>
      <c r="G495" s="10"/>
      <c r="H495" s="10"/>
      <c r="I495" s="10"/>
      <c r="J495" s="10"/>
      <c r="K495" s="10"/>
      <c r="L495" s="10"/>
    </row>
    <row r="496" spans="1:12" s="2" customFormat="1" ht="13.2" x14ac:dyDescent="0.25">
      <c r="A496" s="10"/>
      <c r="B496" s="10"/>
      <c r="D496" s="10"/>
      <c r="F496" s="10"/>
      <c r="G496" s="10"/>
      <c r="H496" s="10"/>
      <c r="I496" s="10"/>
      <c r="J496" s="10"/>
      <c r="K496" s="10"/>
      <c r="L496" s="10"/>
    </row>
    <row r="497" spans="1:12" s="2" customFormat="1" ht="13.2" x14ac:dyDescent="0.25">
      <c r="A497" s="10"/>
      <c r="B497" s="10"/>
      <c r="D497" s="10"/>
      <c r="F497" s="10"/>
      <c r="G497" s="10"/>
      <c r="H497" s="10"/>
      <c r="I497" s="10"/>
      <c r="J497" s="10"/>
      <c r="K497" s="10"/>
      <c r="L497" s="10"/>
    </row>
    <row r="498" spans="1:12" s="2" customFormat="1" ht="13.2" x14ac:dyDescent="0.25">
      <c r="A498" s="10"/>
      <c r="B498" s="10"/>
      <c r="D498" s="10"/>
      <c r="F498" s="10"/>
      <c r="G498" s="10"/>
      <c r="H498" s="10"/>
      <c r="I498" s="10"/>
      <c r="J498" s="10"/>
      <c r="K498" s="10"/>
      <c r="L498" s="10"/>
    </row>
    <row r="499" spans="1:12" s="2" customFormat="1" ht="13.2" x14ac:dyDescent="0.25">
      <c r="A499" s="10"/>
      <c r="B499" s="10"/>
      <c r="D499" s="10"/>
      <c r="F499" s="10"/>
      <c r="G499" s="10"/>
      <c r="H499" s="10"/>
      <c r="I499" s="10"/>
      <c r="J499" s="10"/>
      <c r="K499" s="10"/>
      <c r="L499" s="10"/>
    </row>
    <row r="500" spans="1:12" s="2" customFormat="1" ht="13.2" x14ac:dyDescent="0.25">
      <c r="A500" s="10"/>
      <c r="B500" s="10"/>
      <c r="D500" s="10"/>
      <c r="F500" s="10"/>
      <c r="G500" s="10"/>
      <c r="H500" s="10"/>
      <c r="I500" s="10"/>
      <c r="J500" s="10"/>
      <c r="K500" s="10"/>
      <c r="L500" s="10"/>
    </row>
    <row r="501" spans="1:12" s="2" customFormat="1" ht="13.2" x14ac:dyDescent="0.25">
      <c r="A501" s="10"/>
      <c r="B501" s="10"/>
      <c r="D501" s="10"/>
      <c r="F501" s="10"/>
      <c r="G501" s="10"/>
      <c r="H501" s="10"/>
      <c r="I501" s="10"/>
      <c r="J501" s="10"/>
      <c r="K501" s="10"/>
      <c r="L501" s="10"/>
    </row>
    <row r="502" spans="1:12" s="2" customFormat="1" ht="13.2" x14ac:dyDescent="0.25">
      <c r="A502" s="10"/>
      <c r="B502" s="10"/>
      <c r="D502" s="10"/>
      <c r="F502" s="10"/>
      <c r="G502" s="10"/>
      <c r="H502" s="10"/>
      <c r="I502" s="10"/>
      <c r="J502" s="10"/>
      <c r="K502" s="10"/>
      <c r="L502" s="10"/>
    </row>
    <row r="503" spans="1:12" s="2" customFormat="1" ht="13.2" x14ac:dyDescent="0.25">
      <c r="A503" s="10"/>
      <c r="B503" s="10"/>
      <c r="D503" s="10"/>
      <c r="F503" s="10"/>
      <c r="G503" s="10"/>
      <c r="H503" s="10"/>
      <c r="I503" s="10"/>
      <c r="J503" s="10"/>
      <c r="K503" s="10"/>
      <c r="L503" s="10"/>
    </row>
    <row r="504" spans="1:12" s="2" customFormat="1" ht="13.2" x14ac:dyDescent="0.25">
      <c r="A504" s="10"/>
      <c r="B504" s="10"/>
      <c r="D504" s="10"/>
      <c r="F504" s="10"/>
      <c r="G504" s="10"/>
      <c r="H504" s="10"/>
      <c r="I504" s="10"/>
      <c r="J504" s="10"/>
      <c r="K504" s="10"/>
      <c r="L504" s="10"/>
    </row>
    <row r="505" spans="1:12" s="2" customFormat="1" ht="13.2" x14ac:dyDescent="0.25">
      <c r="A505" s="10"/>
      <c r="B505" s="10"/>
      <c r="D505" s="10"/>
      <c r="F505" s="10"/>
      <c r="G505" s="10"/>
      <c r="H505" s="10"/>
      <c r="I505" s="10"/>
      <c r="J505" s="10"/>
      <c r="K505" s="10"/>
      <c r="L505" s="10"/>
    </row>
    <row r="506" spans="1:12" s="2" customFormat="1" ht="13.2" x14ac:dyDescent="0.25">
      <c r="A506" s="10"/>
      <c r="B506" s="10"/>
      <c r="D506" s="10"/>
      <c r="F506" s="10"/>
      <c r="G506" s="10"/>
      <c r="H506" s="10"/>
      <c r="I506" s="10"/>
      <c r="J506" s="10"/>
      <c r="K506" s="10"/>
      <c r="L506" s="10"/>
    </row>
    <row r="507" spans="1:12" s="2" customFormat="1" ht="13.2" x14ac:dyDescent="0.25">
      <c r="A507" s="10"/>
      <c r="B507" s="10"/>
      <c r="D507" s="10"/>
      <c r="F507" s="10"/>
      <c r="G507" s="10"/>
      <c r="H507" s="10"/>
      <c r="I507" s="10"/>
      <c r="J507" s="10"/>
      <c r="K507" s="10"/>
      <c r="L507" s="10"/>
    </row>
    <row r="508" spans="1:12" s="2" customFormat="1" ht="13.2" x14ac:dyDescent="0.25">
      <c r="A508" s="10"/>
      <c r="B508" s="10"/>
      <c r="D508" s="10"/>
      <c r="F508" s="10"/>
      <c r="G508" s="10"/>
      <c r="H508" s="10"/>
      <c r="I508" s="10"/>
      <c r="J508" s="10"/>
      <c r="K508" s="10"/>
      <c r="L508" s="10"/>
    </row>
    <row r="509" spans="1:12" s="2" customFormat="1" ht="13.2" x14ac:dyDescent="0.25">
      <c r="A509" s="10"/>
      <c r="B509" s="10"/>
      <c r="D509" s="10"/>
      <c r="F509" s="10"/>
      <c r="G509" s="10"/>
      <c r="H509" s="10"/>
      <c r="I509" s="10"/>
      <c r="J509" s="10"/>
      <c r="K509" s="10"/>
      <c r="L509" s="10"/>
    </row>
    <row r="510" spans="1:12" s="2" customFormat="1" ht="13.2" x14ac:dyDescent="0.25">
      <c r="A510" s="10"/>
      <c r="B510" s="10"/>
      <c r="D510" s="10"/>
      <c r="F510" s="10"/>
      <c r="G510" s="10"/>
      <c r="H510" s="10"/>
      <c r="I510" s="10"/>
      <c r="J510" s="10"/>
      <c r="K510" s="10"/>
      <c r="L510" s="10"/>
    </row>
    <row r="511" spans="1:12" s="2" customFormat="1" ht="13.2" x14ac:dyDescent="0.25">
      <c r="A511" s="10"/>
      <c r="B511" s="10"/>
      <c r="D511" s="10"/>
      <c r="F511" s="10"/>
      <c r="G511" s="10"/>
      <c r="H511" s="10"/>
      <c r="I511" s="10"/>
      <c r="J511" s="10"/>
      <c r="K511" s="10"/>
      <c r="L511" s="10"/>
    </row>
    <row r="512" spans="1:12" s="2" customFormat="1" ht="13.2" x14ac:dyDescent="0.25">
      <c r="A512" s="10"/>
      <c r="B512" s="10"/>
      <c r="D512" s="10"/>
      <c r="F512" s="10"/>
      <c r="G512" s="10"/>
      <c r="H512" s="10"/>
      <c r="I512" s="10"/>
      <c r="J512" s="10"/>
      <c r="K512" s="10"/>
      <c r="L512" s="10"/>
    </row>
    <row r="513" spans="1:12" s="2" customFormat="1" ht="13.2" x14ac:dyDescent="0.25">
      <c r="A513" s="10"/>
      <c r="B513" s="10"/>
      <c r="D513" s="10"/>
      <c r="F513" s="10"/>
      <c r="G513" s="10"/>
      <c r="H513" s="10"/>
      <c r="I513" s="10"/>
      <c r="J513" s="10"/>
      <c r="K513" s="10"/>
      <c r="L513" s="10"/>
    </row>
    <row r="514" spans="1:12" s="2" customFormat="1" ht="13.2" x14ac:dyDescent="0.25">
      <c r="A514" s="10"/>
      <c r="B514" s="10"/>
      <c r="D514" s="10"/>
      <c r="F514" s="10"/>
      <c r="G514" s="10"/>
      <c r="H514" s="10"/>
      <c r="I514" s="10"/>
      <c r="J514" s="10"/>
      <c r="K514" s="10"/>
      <c r="L514" s="10"/>
    </row>
    <row r="515" spans="1:12" s="2" customFormat="1" ht="13.2" x14ac:dyDescent="0.25">
      <c r="A515" s="10"/>
      <c r="B515" s="10"/>
      <c r="D515" s="10"/>
      <c r="F515" s="10"/>
      <c r="G515" s="10"/>
      <c r="H515" s="10"/>
      <c r="I515" s="10"/>
      <c r="J515" s="10"/>
      <c r="K515" s="10"/>
      <c r="L515" s="10"/>
    </row>
    <row r="516" spans="1:12" s="2" customFormat="1" ht="13.2" x14ac:dyDescent="0.25">
      <c r="A516" s="10"/>
      <c r="B516" s="10"/>
      <c r="D516" s="10"/>
      <c r="F516" s="10"/>
      <c r="G516" s="10"/>
      <c r="H516" s="10"/>
      <c r="I516" s="10"/>
      <c r="J516" s="10"/>
      <c r="K516" s="10"/>
      <c r="L516" s="10"/>
    </row>
    <row r="517" spans="1:12" s="2" customFormat="1" ht="13.2" x14ac:dyDescent="0.25">
      <c r="A517" s="10"/>
      <c r="B517" s="10"/>
      <c r="D517" s="10"/>
      <c r="F517" s="10"/>
      <c r="G517" s="10"/>
      <c r="H517" s="10"/>
      <c r="I517" s="10"/>
      <c r="J517" s="10"/>
      <c r="K517" s="10"/>
      <c r="L517" s="10"/>
    </row>
    <row r="518" spans="1:12" s="2" customFormat="1" ht="13.2" x14ac:dyDescent="0.25">
      <c r="A518" s="10"/>
      <c r="B518" s="10"/>
      <c r="D518" s="10"/>
      <c r="F518" s="10"/>
      <c r="G518" s="10"/>
      <c r="H518" s="10"/>
      <c r="I518" s="10"/>
      <c r="J518" s="10"/>
      <c r="K518" s="10"/>
      <c r="L518" s="10"/>
    </row>
    <row r="519" spans="1:12" s="2" customFormat="1" ht="13.2" x14ac:dyDescent="0.25">
      <c r="A519" s="10"/>
      <c r="B519" s="10"/>
      <c r="D519" s="10"/>
      <c r="F519" s="10"/>
      <c r="G519" s="10"/>
      <c r="H519" s="10"/>
      <c r="I519" s="10"/>
      <c r="J519" s="10"/>
      <c r="K519" s="10"/>
      <c r="L519" s="10"/>
    </row>
    <row r="520" spans="1:12" s="2" customFormat="1" ht="13.2" x14ac:dyDescent="0.25">
      <c r="A520" s="10"/>
      <c r="B520" s="10"/>
      <c r="D520" s="10"/>
      <c r="F520" s="10"/>
      <c r="G520" s="10"/>
      <c r="H520" s="10"/>
      <c r="I520" s="10"/>
      <c r="J520" s="10"/>
      <c r="K520" s="10"/>
      <c r="L520" s="10"/>
    </row>
    <row r="521" spans="1:12" s="2" customFormat="1" ht="13.2" x14ac:dyDescent="0.25">
      <c r="A521" s="10"/>
      <c r="B521" s="10"/>
      <c r="D521" s="10"/>
      <c r="F521" s="10"/>
      <c r="G521" s="10"/>
      <c r="H521" s="10"/>
      <c r="I521" s="10"/>
      <c r="J521" s="10"/>
      <c r="K521" s="10"/>
      <c r="L521" s="10"/>
    </row>
    <row r="522" spans="1:12" s="2" customFormat="1" ht="13.2" x14ac:dyDescent="0.25">
      <c r="A522" s="10"/>
      <c r="B522" s="10"/>
      <c r="D522" s="10"/>
      <c r="F522" s="10"/>
      <c r="G522" s="10"/>
      <c r="H522" s="10"/>
      <c r="I522" s="10"/>
      <c r="J522" s="10"/>
      <c r="K522" s="10"/>
      <c r="L522" s="10"/>
    </row>
    <row r="523" spans="1:12" s="2" customFormat="1" ht="13.2" x14ac:dyDescent="0.25">
      <c r="A523" s="10"/>
      <c r="B523" s="10"/>
      <c r="D523" s="10"/>
      <c r="F523" s="10"/>
      <c r="G523" s="10"/>
      <c r="H523" s="10"/>
      <c r="I523" s="10"/>
      <c r="J523" s="10"/>
      <c r="K523" s="10"/>
      <c r="L523" s="10"/>
    </row>
    <row r="524" spans="1:12" s="2" customFormat="1" ht="13.2" x14ac:dyDescent="0.25">
      <c r="A524" s="10"/>
      <c r="B524" s="10"/>
      <c r="D524" s="10"/>
      <c r="F524" s="10"/>
      <c r="G524" s="10"/>
      <c r="H524" s="10"/>
      <c r="I524" s="10"/>
      <c r="J524" s="10"/>
      <c r="K524" s="10"/>
      <c r="L524" s="10"/>
    </row>
    <row r="525" spans="1:12" s="2" customFormat="1" ht="13.2" x14ac:dyDescent="0.25">
      <c r="A525" s="10"/>
      <c r="B525" s="10"/>
      <c r="D525" s="10"/>
      <c r="F525" s="10"/>
      <c r="G525" s="10"/>
      <c r="H525" s="10"/>
      <c r="I525" s="10"/>
      <c r="J525" s="10"/>
      <c r="K525" s="10"/>
      <c r="L525" s="10"/>
    </row>
    <row r="526" spans="1:12" s="2" customFormat="1" ht="13.2" x14ac:dyDescent="0.25">
      <c r="A526" s="10"/>
      <c r="B526" s="10"/>
      <c r="D526" s="10"/>
      <c r="F526" s="10"/>
      <c r="G526" s="10"/>
      <c r="H526" s="10"/>
      <c r="I526" s="10"/>
      <c r="J526" s="10"/>
      <c r="K526" s="10"/>
      <c r="L526" s="10"/>
    </row>
    <row r="527" spans="1:12" s="2" customFormat="1" ht="13.2" x14ac:dyDescent="0.25">
      <c r="A527" s="10"/>
      <c r="B527" s="10"/>
      <c r="D527" s="10"/>
      <c r="F527" s="10"/>
      <c r="G527" s="10"/>
      <c r="H527" s="10"/>
      <c r="I527" s="10"/>
      <c r="J527" s="10"/>
      <c r="K527" s="10"/>
      <c r="L527" s="10"/>
    </row>
    <row r="528" spans="1:12" s="2" customFormat="1" ht="13.2" x14ac:dyDescent="0.25">
      <c r="A528" s="10"/>
      <c r="B528" s="10"/>
      <c r="D528" s="10"/>
      <c r="F528" s="10"/>
      <c r="G528" s="10"/>
      <c r="H528" s="10"/>
      <c r="I528" s="10"/>
      <c r="J528" s="10"/>
      <c r="K528" s="10"/>
      <c r="L528" s="10"/>
    </row>
    <row r="529" spans="1:12" s="2" customFormat="1" ht="13.2" x14ac:dyDescent="0.25">
      <c r="A529" s="10"/>
      <c r="B529" s="10"/>
      <c r="D529" s="10"/>
      <c r="F529" s="10"/>
      <c r="G529" s="10"/>
      <c r="H529" s="10"/>
      <c r="I529" s="10"/>
      <c r="J529" s="10"/>
      <c r="K529" s="10"/>
      <c r="L529" s="10"/>
    </row>
    <row r="530" spans="1:12" s="2" customFormat="1" ht="13.2" x14ac:dyDescent="0.25">
      <c r="A530" s="10"/>
      <c r="B530" s="10"/>
      <c r="D530" s="10"/>
      <c r="F530" s="10"/>
      <c r="G530" s="10"/>
      <c r="H530" s="10"/>
      <c r="I530" s="10"/>
      <c r="J530" s="10"/>
      <c r="K530" s="10"/>
      <c r="L530" s="10"/>
    </row>
    <row r="531" spans="1:12" s="2" customFormat="1" ht="13.2" x14ac:dyDescent="0.25">
      <c r="A531" s="10"/>
      <c r="B531" s="10"/>
      <c r="D531" s="10"/>
      <c r="F531" s="10"/>
      <c r="G531" s="10"/>
      <c r="H531" s="10"/>
      <c r="I531" s="10"/>
      <c r="J531" s="10"/>
      <c r="K531" s="10"/>
      <c r="L531" s="10"/>
    </row>
    <row r="532" spans="1:12" s="2" customFormat="1" ht="13.2" x14ac:dyDescent="0.25">
      <c r="A532" s="10"/>
      <c r="B532" s="10"/>
      <c r="D532" s="10"/>
      <c r="F532" s="10"/>
      <c r="G532" s="10"/>
      <c r="H532" s="10"/>
      <c r="I532" s="10"/>
      <c r="J532" s="10"/>
      <c r="K532" s="10"/>
      <c r="L532" s="10"/>
    </row>
    <row r="533" spans="1:12" s="2" customFormat="1" ht="13.2" x14ac:dyDescent="0.25">
      <c r="A533" s="10"/>
      <c r="B533" s="10"/>
      <c r="D533" s="10"/>
      <c r="F533" s="10"/>
      <c r="G533" s="10"/>
      <c r="H533" s="10"/>
      <c r="I533" s="10"/>
      <c r="J533" s="10"/>
      <c r="K533" s="10"/>
      <c r="L533" s="10"/>
    </row>
    <row r="534" spans="1:12" s="2" customFormat="1" ht="13.2" x14ac:dyDescent="0.25">
      <c r="A534" s="10"/>
      <c r="B534" s="10"/>
      <c r="D534" s="10"/>
      <c r="F534" s="10"/>
      <c r="G534" s="10"/>
      <c r="H534" s="10"/>
      <c r="I534" s="10"/>
      <c r="J534" s="10"/>
      <c r="K534" s="10"/>
      <c r="L534" s="10"/>
    </row>
    <row r="535" spans="1:12" s="2" customFormat="1" ht="13.2" x14ac:dyDescent="0.25">
      <c r="A535" s="10"/>
      <c r="B535" s="10"/>
      <c r="D535" s="10"/>
      <c r="F535" s="10"/>
      <c r="G535" s="10"/>
      <c r="H535" s="10"/>
      <c r="I535" s="10"/>
      <c r="J535" s="10"/>
      <c r="K535" s="10"/>
      <c r="L535" s="10"/>
    </row>
    <row r="536" spans="1:12" s="2" customFormat="1" ht="13.2" x14ac:dyDescent="0.25">
      <c r="A536" s="10"/>
      <c r="B536" s="10"/>
      <c r="D536" s="10"/>
      <c r="F536" s="10"/>
      <c r="G536" s="10"/>
      <c r="H536" s="10"/>
      <c r="I536" s="10"/>
      <c r="J536" s="10"/>
      <c r="K536" s="10"/>
      <c r="L536" s="10"/>
    </row>
    <row r="537" spans="1:12" s="2" customFormat="1" ht="13.2" x14ac:dyDescent="0.25">
      <c r="A537" s="10"/>
      <c r="B537" s="10"/>
      <c r="D537" s="10"/>
      <c r="F537" s="10"/>
      <c r="G537" s="10"/>
      <c r="H537" s="10"/>
      <c r="I537" s="10"/>
      <c r="J537" s="10"/>
      <c r="K537" s="10"/>
      <c r="L537" s="10"/>
    </row>
    <row r="538" spans="1:12" s="2" customFormat="1" ht="13.2" x14ac:dyDescent="0.25">
      <c r="A538" s="10"/>
      <c r="B538" s="10"/>
      <c r="D538" s="10"/>
      <c r="F538" s="10"/>
      <c r="G538" s="10"/>
      <c r="H538" s="10"/>
      <c r="I538" s="10"/>
      <c r="J538" s="10"/>
      <c r="K538" s="10"/>
      <c r="L538" s="10"/>
    </row>
    <row r="539" spans="1:12" s="2" customFormat="1" ht="13.2" x14ac:dyDescent="0.25">
      <c r="A539" s="10"/>
      <c r="B539" s="10"/>
      <c r="D539" s="10"/>
      <c r="F539" s="10"/>
      <c r="G539" s="10"/>
      <c r="H539" s="10"/>
      <c r="I539" s="10"/>
      <c r="J539" s="10"/>
      <c r="K539" s="10"/>
      <c r="L539" s="10"/>
    </row>
    <row r="540" spans="1:12" s="2" customFormat="1" ht="13.2" x14ac:dyDescent="0.25">
      <c r="A540" s="10"/>
      <c r="B540" s="10"/>
      <c r="D540" s="10"/>
      <c r="F540" s="10"/>
      <c r="G540" s="10"/>
      <c r="H540" s="10"/>
      <c r="I540" s="10"/>
      <c r="J540" s="10"/>
      <c r="K540" s="10"/>
      <c r="L540" s="10"/>
    </row>
    <row r="541" spans="1:12" s="2" customFormat="1" ht="13.2" x14ac:dyDescent="0.25">
      <c r="A541" s="10"/>
      <c r="B541" s="10"/>
      <c r="D541" s="10"/>
      <c r="F541" s="10"/>
      <c r="G541" s="10"/>
      <c r="H541" s="10"/>
      <c r="I541" s="10"/>
      <c r="J541" s="10"/>
      <c r="K541" s="10"/>
      <c r="L541" s="10"/>
    </row>
    <row r="542" spans="1:12" s="2" customFormat="1" ht="13.2" x14ac:dyDescent="0.25">
      <c r="A542" s="10"/>
      <c r="B542" s="10"/>
      <c r="D542" s="10"/>
      <c r="F542" s="10"/>
      <c r="G542" s="10"/>
      <c r="H542" s="10"/>
      <c r="I542" s="10"/>
      <c r="J542" s="10"/>
      <c r="K542" s="10"/>
      <c r="L542" s="10"/>
    </row>
    <row r="543" spans="1:12" s="2" customFormat="1" ht="13.2" x14ac:dyDescent="0.25">
      <c r="A543" s="10"/>
      <c r="B543" s="10"/>
      <c r="D543" s="10"/>
      <c r="F543" s="10"/>
      <c r="G543" s="10"/>
      <c r="H543" s="10"/>
      <c r="I543" s="10"/>
      <c r="J543" s="10"/>
      <c r="K543" s="10"/>
      <c r="L543" s="10"/>
    </row>
    <row r="544" spans="1:12" s="2" customFormat="1" ht="13.2" x14ac:dyDescent="0.25">
      <c r="A544" s="10"/>
      <c r="B544" s="10"/>
      <c r="D544" s="10"/>
      <c r="F544" s="10"/>
      <c r="G544" s="10"/>
      <c r="H544" s="10"/>
      <c r="I544" s="10"/>
      <c r="J544" s="10"/>
      <c r="K544" s="10"/>
      <c r="L544" s="10"/>
    </row>
    <row r="545" spans="1:12" s="2" customFormat="1" ht="13.2" x14ac:dyDescent="0.25">
      <c r="A545" s="10"/>
      <c r="B545" s="10"/>
      <c r="D545" s="10"/>
      <c r="F545" s="10"/>
      <c r="G545" s="10"/>
      <c r="H545" s="10"/>
      <c r="I545" s="10"/>
      <c r="J545" s="10"/>
      <c r="K545" s="10"/>
      <c r="L545" s="10"/>
    </row>
    <row r="546" spans="1:12" s="2" customFormat="1" ht="13.2" x14ac:dyDescent="0.25">
      <c r="A546" s="10"/>
      <c r="B546" s="10"/>
      <c r="D546" s="10"/>
      <c r="F546" s="10"/>
      <c r="G546" s="10"/>
      <c r="H546" s="10"/>
      <c r="I546" s="10"/>
      <c r="J546" s="10"/>
      <c r="K546" s="10"/>
      <c r="L546" s="10"/>
    </row>
    <row r="547" spans="1:12" s="2" customFormat="1" ht="13.2" x14ac:dyDescent="0.25">
      <c r="A547" s="10"/>
      <c r="B547" s="10"/>
      <c r="D547" s="10"/>
      <c r="F547" s="10"/>
      <c r="G547" s="10"/>
      <c r="H547" s="10"/>
      <c r="I547" s="10"/>
      <c r="J547" s="10"/>
      <c r="K547" s="10"/>
      <c r="L547" s="10"/>
    </row>
    <row r="548" spans="1:12" s="2" customFormat="1" ht="13.2" x14ac:dyDescent="0.25">
      <c r="A548" s="10"/>
      <c r="B548" s="10"/>
      <c r="D548" s="10"/>
      <c r="F548" s="10"/>
      <c r="G548" s="10"/>
      <c r="H548" s="10"/>
      <c r="I548" s="10"/>
      <c r="J548" s="10"/>
      <c r="K548" s="10"/>
      <c r="L548" s="10"/>
    </row>
    <row r="549" spans="1:12" s="2" customFormat="1" ht="13.2" x14ac:dyDescent="0.25">
      <c r="A549" s="10"/>
      <c r="B549" s="10"/>
      <c r="D549" s="10"/>
      <c r="F549" s="10"/>
      <c r="G549" s="10"/>
      <c r="H549" s="10"/>
      <c r="I549" s="10"/>
      <c r="J549" s="10"/>
      <c r="K549" s="10"/>
      <c r="L549" s="10"/>
    </row>
    <row r="550" spans="1:12" s="2" customFormat="1" ht="13.2" x14ac:dyDescent="0.25">
      <c r="A550" s="10"/>
      <c r="B550" s="10"/>
      <c r="D550" s="10"/>
      <c r="F550" s="10"/>
      <c r="G550" s="10"/>
      <c r="H550" s="10"/>
      <c r="I550" s="10"/>
      <c r="J550" s="10"/>
      <c r="K550" s="10"/>
      <c r="L550" s="10"/>
    </row>
    <row r="551" spans="1:12" s="2" customFormat="1" ht="13.2" x14ac:dyDescent="0.25">
      <c r="A551" s="10"/>
      <c r="B551" s="10"/>
      <c r="D551" s="10"/>
      <c r="F551" s="10"/>
      <c r="G551" s="10"/>
      <c r="H551" s="10"/>
      <c r="I551" s="10"/>
      <c r="J551" s="10"/>
      <c r="K551" s="10"/>
      <c r="L551" s="10"/>
    </row>
    <row r="552" spans="1:12" s="2" customFormat="1" ht="13.2" x14ac:dyDescent="0.25">
      <c r="A552" s="10"/>
      <c r="B552" s="10"/>
      <c r="D552" s="10"/>
      <c r="F552" s="10"/>
      <c r="G552" s="10"/>
      <c r="H552" s="10"/>
      <c r="I552" s="10"/>
      <c r="J552" s="10"/>
      <c r="K552" s="10"/>
      <c r="L552" s="10"/>
    </row>
    <row r="553" spans="1:12" s="2" customFormat="1" ht="13.2" x14ac:dyDescent="0.25">
      <c r="A553" s="10"/>
      <c r="B553" s="10"/>
      <c r="D553" s="10"/>
      <c r="F553" s="10"/>
      <c r="G553" s="10"/>
      <c r="H553" s="10"/>
      <c r="I553" s="10"/>
      <c r="J553" s="10"/>
      <c r="K553" s="10"/>
      <c r="L553" s="10"/>
    </row>
    <row r="554" spans="1:12" s="2" customFormat="1" ht="13.2" x14ac:dyDescent="0.25">
      <c r="A554" s="10"/>
      <c r="B554" s="10"/>
      <c r="D554" s="10"/>
      <c r="F554" s="10"/>
      <c r="G554" s="10"/>
      <c r="H554" s="10"/>
      <c r="I554" s="10"/>
      <c r="J554" s="10"/>
      <c r="K554" s="10"/>
      <c r="L554" s="10"/>
    </row>
    <row r="555" spans="1:12" s="2" customFormat="1" ht="13.2" x14ac:dyDescent="0.25">
      <c r="A555" s="10"/>
      <c r="B555" s="10"/>
      <c r="D555" s="10"/>
      <c r="F555" s="10"/>
      <c r="G555" s="10"/>
      <c r="H555" s="10"/>
      <c r="I555" s="10"/>
      <c r="J555" s="10"/>
      <c r="K555" s="10"/>
      <c r="L555" s="10"/>
    </row>
    <row r="556" spans="1:12" s="2" customFormat="1" ht="13.2" x14ac:dyDescent="0.25">
      <c r="A556" s="10"/>
      <c r="B556" s="10"/>
      <c r="D556" s="10"/>
      <c r="F556" s="10"/>
      <c r="G556" s="10"/>
      <c r="H556" s="10"/>
      <c r="I556" s="10"/>
      <c r="J556" s="10"/>
      <c r="K556" s="10"/>
      <c r="L556" s="10"/>
    </row>
    <row r="557" spans="1:12" s="2" customFormat="1" ht="13.2" x14ac:dyDescent="0.25">
      <c r="A557" s="10"/>
      <c r="B557" s="10"/>
      <c r="D557" s="10"/>
      <c r="F557" s="10"/>
      <c r="G557" s="10"/>
      <c r="H557" s="10"/>
      <c r="I557" s="10"/>
      <c r="J557" s="10"/>
      <c r="K557" s="10"/>
      <c r="L557" s="10"/>
    </row>
    <row r="558" spans="1:12" s="2" customFormat="1" ht="13.2" x14ac:dyDescent="0.25">
      <c r="A558" s="10"/>
      <c r="B558" s="10"/>
      <c r="D558" s="10"/>
      <c r="F558" s="10"/>
      <c r="G558" s="10"/>
      <c r="H558" s="10"/>
      <c r="I558" s="10"/>
      <c r="J558" s="10"/>
      <c r="K558" s="10"/>
      <c r="L558" s="10"/>
    </row>
    <row r="559" spans="1:12" s="2" customFormat="1" ht="13.2" x14ac:dyDescent="0.25">
      <c r="A559" s="10"/>
      <c r="B559" s="10"/>
      <c r="D559" s="10"/>
      <c r="F559" s="10"/>
      <c r="G559" s="10"/>
      <c r="H559" s="10"/>
      <c r="I559" s="10"/>
      <c r="J559" s="10"/>
      <c r="K559" s="10"/>
      <c r="L559" s="10"/>
    </row>
    <row r="560" spans="1:12" s="2" customFormat="1" ht="13.2" x14ac:dyDescent="0.25">
      <c r="A560" s="10"/>
      <c r="B560" s="10"/>
      <c r="D560" s="10"/>
      <c r="F560" s="10"/>
      <c r="G560" s="10"/>
      <c r="H560" s="10"/>
      <c r="I560" s="10"/>
      <c r="J560" s="10"/>
      <c r="K560" s="10"/>
      <c r="L560" s="10"/>
    </row>
    <row r="561" spans="1:12" s="2" customFormat="1" ht="13.2" x14ac:dyDescent="0.25">
      <c r="A561" s="10"/>
      <c r="B561" s="10"/>
      <c r="D561" s="10"/>
      <c r="F561" s="10"/>
      <c r="G561" s="10"/>
      <c r="H561" s="10"/>
      <c r="I561" s="10"/>
      <c r="J561" s="10"/>
      <c r="K561" s="10"/>
      <c r="L561" s="10"/>
    </row>
    <row r="562" spans="1:12" s="2" customFormat="1" ht="13.2" x14ac:dyDescent="0.25">
      <c r="A562" s="10"/>
      <c r="B562" s="10"/>
      <c r="D562" s="10"/>
      <c r="F562" s="10"/>
      <c r="G562" s="10"/>
      <c r="H562" s="10"/>
      <c r="I562" s="10"/>
      <c r="J562" s="10"/>
      <c r="K562" s="10"/>
      <c r="L562" s="10"/>
    </row>
    <row r="563" spans="1:12" s="2" customFormat="1" ht="13.2" x14ac:dyDescent="0.25">
      <c r="A563" s="10"/>
      <c r="B563" s="10"/>
      <c r="D563" s="10"/>
      <c r="F563" s="10"/>
      <c r="G563" s="10"/>
      <c r="H563" s="10"/>
      <c r="I563" s="10"/>
      <c r="J563" s="10"/>
      <c r="K563" s="10"/>
      <c r="L563" s="10"/>
    </row>
    <row r="564" spans="1:12" s="2" customFormat="1" ht="13.2" x14ac:dyDescent="0.25">
      <c r="A564" s="10"/>
      <c r="B564" s="10"/>
      <c r="D564" s="10"/>
      <c r="F564" s="10"/>
      <c r="G564" s="10"/>
      <c r="H564" s="10"/>
      <c r="I564" s="10"/>
      <c r="J564" s="10"/>
      <c r="K564" s="10"/>
      <c r="L564" s="10"/>
    </row>
    <row r="565" spans="1:12" s="2" customFormat="1" ht="13.2" x14ac:dyDescent="0.25">
      <c r="A565" s="10"/>
      <c r="B565" s="10"/>
      <c r="D565" s="10"/>
      <c r="F565" s="10"/>
      <c r="G565" s="10"/>
      <c r="H565" s="10"/>
      <c r="I565" s="10"/>
      <c r="J565" s="10"/>
      <c r="K565" s="10"/>
      <c r="L565" s="10"/>
    </row>
    <row r="566" spans="1:12" s="2" customFormat="1" ht="13.2" x14ac:dyDescent="0.25">
      <c r="A566" s="10"/>
      <c r="B566" s="10"/>
      <c r="D566" s="10"/>
      <c r="F566" s="10"/>
      <c r="G566" s="10"/>
      <c r="H566" s="10"/>
      <c r="I566" s="10"/>
      <c r="J566" s="10"/>
      <c r="K566" s="10"/>
      <c r="L566" s="10"/>
    </row>
    <row r="567" spans="1:12" s="2" customFormat="1" ht="13.2" x14ac:dyDescent="0.25">
      <c r="A567" s="10"/>
      <c r="B567" s="10"/>
      <c r="D567" s="10"/>
      <c r="F567" s="10"/>
      <c r="G567" s="10"/>
      <c r="H567" s="10"/>
      <c r="I567" s="10"/>
      <c r="J567" s="10"/>
      <c r="K567" s="10"/>
      <c r="L567" s="10"/>
    </row>
    <row r="568" spans="1:12" s="2" customFormat="1" ht="13.2" x14ac:dyDescent="0.25">
      <c r="A568" s="10"/>
      <c r="B568" s="10"/>
      <c r="D568" s="10"/>
      <c r="F568" s="10"/>
      <c r="G568" s="10"/>
      <c r="H568" s="10"/>
      <c r="I568" s="10"/>
      <c r="J568" s="10"/>
      <c r="K568" s="10"/>
      <c r="L568" s="10"/>
    </row>
    <row r="569" spans="1:12" s="2" customFormat="1" ht="13.2" x14ac:dyDescent="0.25">
      <c r="A569" s="10"/>
      <c r="B569" s="10"/>
      <c r="D569" s="10"/>
      <c r="F569" s="10"/>
      <c r="G569" s="10"/>
      <c r="H569" s="10"/>
      <c r="I569" s="10"/>
      <c r="J569" s="10"/>
      <c r="K569" s="10"/>
      <c r="L569" s="10"/>
    </row>
    <row r="570" spans="1:12" s="2" customFormat="1" ht="13.2" x14ac:dyDescent="0.25">
      <c r="A570" s="10"/>
      <c r="B570" s="10"/>
      <c r="D570" s="10"/>
      <c r="F570" s="10"/>
      <c r="G570" s="10"/>
      <c r="H570" s="10"/>
      <c r="I570" s="10"/>
      <c r="J570" s="10"/>
      <c r="K570" s="10"/>
      <c r="L570" s="10"/>
    </row>
    <row r="571" spans="1:12" s="2" customFormat="1" ht="13.2" x14ac:dyDescent="0.25">
      <c r="A571" s="10"/>
      <c r="B571" s="10"/>
      <c r="D571" s="10"/>
      <c r="F571" s="10"/>
      <c r="G571" s="10"/>
      <c r="H571" s="10"/>
      <c r="I571" s="10"/>
      <c r="J571" s="10"/>
      <c r="K571" s="10"/>
      <c r="L571" s="10"/>
    </row>
    <row r="572" spans="1:12" s="2" customFormat="1" ht="13.2" x14ac:dyDescent="0.25">
      <c r="A572" s="10"/>
      <c r="B572" s="10"/>
      <c r="D572" s="10"/>
      <c r="F572" s="10"/>
      <c r="G572" s="10"/>
      <c r="H572" s="10"/>
      <c r="I572" s="10"/>
      <c r="J572" s="10"/>
      <c r="K572" s="10"/>
      <c r="L572" s="10"/>
    </row>
    <row r="573" spans="1:12" s="2" customFormat="1" ht="13.2" x14ac:dyDescent="0.25">
      <c r="A573" s="10"/>
      <c r="B573" s="10"/>
      <c r="D573" s="10"/>
      <c r="F573" s="10"/>
      <c r="G573" s="10"/>
      <c r="H573" s="10"/>
      <c r="I573" s="10"/>
      <c r="J573" s="10"/>
      <c r="K573" s="10"/>
      <c r="L573" s="10"/>
    </row>
    <row r="574" spans="1:12" s="2" customFormat="1" ht="13.2" x14ac:dyDescent="0.25">
      <c r="A574" s="10"/>
      <c r="B574" s="10"/>
      <c r="D574" s="10"/>
      <c r="F574" s="10"/>
      <c r="G574" s="10"/>
      <c r="H574" s="10"/>
      <c r="I574" s="10"/>
      <c r="J574" s="10"/>
      <c r="K574" s="10"/>
      <c r="L574" s="10"/>
    </row>
    <row r="575" spans="1:12" s="2" customFormat="1" ht="13.2" x14ac:dyDescent="0.25">
      <c r="A575" s="10"/>
      <c r="B575" s="10"/>
      <c r="D575" s="10"/>
      <c r="F575" s="10"/>
      <c r="G575" s="10"/>
      <c r="H575" s="10"/>
      <c r="I575" s="10"/>
      <c r="J575" s="10"/>
      <c r="K575" s="10"/>
      <c r="L575" s="10"/>
    </row>
    <row r="576" spans="1:12" s="2" customFormat="1" ht="13.2" x14ac:dyDescent="0.25">
      <c r="A576" s="10"/>
      <c r="B576" s="10"/>
      <c r="D576" s="10"/>
      <c r="F576" s="10"/>
      <c r="G576" s="10"/>
      <c r="H576" s="10"/>
      <c r="I576" s="10"/>
      <c r="J576" s="10"/>
      <c r="K576" s="10"/>
      <c r="L576" s="10"/>
    </row>
    <row r="577" spans="1:12" s="2" customFormat="1" ht="13.2" x14ac:dyDescent="0.25">
      <c r="A577" s="10"/>
      <c r="B577" s="10"/>
      <c r="D577" s="10"/>
      <c r="F577" s="10"/>
      <c r="G577" s="10"/>
      <c r="H577" s="10"/>
      <c r="I577" s="10"/>
      <c r="J577" s="10"/>
      <c r="K577" s="10"/>
      <c r="L577" s="10"/>
    </row>
    <row r="578" spans="1:12" s="2" customFormat="1" ht="13.2" x14ac:dyDescent="0.25">
      <c r="A578" s="10"/>
      <c r="B578" s="10"/>
      <c r="D578" s="10"/>
      <c r="F578" s="10"/>
      <c r="G578" s="10"/>
      <c r="H578" s="10"/>
      <c r="I578" s="10"/>
      <c r="J578" s="10"/>
      <c r="K578" s="10"/>
      <c r="L578" s="10"/>
    </row>
    <row r="579" spans="1:12" s="2" customFormat="1" ht="13.2" x14ac:dyDescent="0.25">
      <c r="A579" s="10"/>
      <c r="B579" s="10"/>
      <c r="D579" s="10"/>
      <c r="F579" s="10"/>
      <c r="G579" s="10"/>
      <c r="H579" s="10"/>
      <c r="I579" s="10"/>
      <c r="J579" s="10"/>
      <c r="K579" s="10"/>
      <c r="L579" s="10"/>
    </row>
    <row r="580" spans="1:12" s="2" customFormat="1" ht="13.2" x14ac:dyDescent="0.25">
      <c r="A580" s="10"/>
      <c r="B580" s="10"/>
      <c r="D580" s="10"/>
      <c r="F580" s="10"/>
      <c r="G580" s="10"/>
      <c r="H580" s="10"/>
      <c r="I580" s="10"/>
      <c r="J580" s="10"/>
      <c r="K580" s="10"/>
      <c r="L580" s="10"/>
    </row>
    <row r="581" spans="1:12" s="2" customFormat="1" ht="13.2" x14ac:dyDescent="0.25">
      <c r="A581" s="10"/>
      <c r="B581" s="10"/>
      <c r="D581" s="10"/>
      <c r="F581" s="10"/>
      <c r="G581" s="10"/>
      <c r="H581" s="10"/>
      <c r="I581" s="10"/>
      <c r="J581" s="10"/>
      <c r="K581" s="10"/>
      <c r="L581" s="10"/>
    </row>
    <row r="582" spans="1:12" s="2" customFormat="1" ht="13.2" x14ac:dyDescent="0.25">
      <c r="A582" s="10"/>
      <c r="B582" s="10"/>
      <c r="D582" s="10"/>
      <c r="F582" s="10"/>
      <c r="G582" s="10"/>
      <c r="H582" s="10"/>
      <c r="I582" s="10"/>
      <c r="J582" s="10"/>
      <c r="K582" s="10"/>
      <c r="L582" s="10"/>
    </row>
    <row r="583" spans="1:12" s="2" customFormat="1" ht="13.2" x14ac:dyDescent="0.25">
      <c r="A583" s="10"/>
      <c r="B583" s="10"/>
      <c r="D583" s="10"/>
      <c r="F583" s="10"/>
      <c r="G583" s="10"/>
      <c r="H583" s="10"/>
      <c r="I583" s="10"/>
      <c r="J583" s="10"/>
      <c r="K583" s="10"/>
      <c r="L583" s="10"/>
    </row>
    <row r="584" spans="1:12" s="2" customFormat="1" ht="13.2" x14ac:dyDescent="0.25">
      <c r="A584" s="10"/>
      <c r="B584" s="10"/>
      <c r="D584" s="10"/>
      <c r="F584" s="10"/>
      <c r="G584" s="10"/>
      <c r="H584" s="10"/>
      <c r="I584" s="10"/>
      <c r="J584" s="10"/>
      <c r="K584" s="10"/>
      <c r="L584" s="10"/>
    </row>
    <row r="585" spans="1:12" s="2" customFormat="1" ht="13.2" x14ac:dyDescent="0.25">
      <c r="A585" s="10"/>
      <c r="B585" s="10"/>
      <c r="D585" s="10"/>
      <c r="F585" s="10"/>
      <c r="G585" s="10"/>
      <c r="H585" s="10"/>
      <c r="I585" s="10"/>
      <c r="J585" s="10"/>
      <c r="K585" s="10"/>
      <c r="L585" s="10"/>
    </row>
    <row r="586" spans="1:12" s="2" customFormat="1" ht="13.2" x14ac:dyDescent="0.25">
      <c r="A586" s="10"/>
      <c r="B586" s="10"/>
      <c r="D586" s="10"/>
      <c r="F586" s="10"/>
      <c r="G586" s="10"/>
      <c r="H586" s="10"/>
      <c r="I586" s="10"/>
      <c r="J586" s="10"/>
      <c r="K586" s="10"/>
      <c r="L586" s="10"/>
    </row>
    <row r="587" spans="1:12" s="2" customFormat="1" ht="13.2" x14ac:dyDescent="0.25">
      <c r="A587" s="10"/>
      <c r="B587" s="10"/>
      <c r="D587" s="10"/>
      <c r="F587" s="10"/>
      <c r="G587" s="10"/>
      <c r="H587" s="10"/>
      <c r="I587" s="10"/>
      <c r="J587" s="10"/>
      <c r="K587" s="10"/>
      <c r="L587" s="10"/>
    </row>
    <row r="588" spans="1:12" s="2" customFormat="1" ht="13.2" x14ac:dyDescent="0.25">
      <c r="A588" s="10"/>
      <c r="B588" s="10"/>
      <c r="D588" s="10"/>
      <c r="F588" s="10"/>
      <c r="G588" s="10"/>
      <c r="H588" s="10"/>
      <c r="I588" s="10"/>
      <c r="J588" s="10"/>
      <c r="K588" s="10"/>
      <c r="L588" s="10"/>
    </row>
    <row r="589" spans="1:12" s="2" customFormat="1" ht="13.2" x14ac:dyDescent="0.25">
      <c r="A589" s="10"/>
      <c r="B589" s="10"/>
      <c r="D589" s="10"/>
      <c r="F589" s="10"/>
      <c r="G589" s="10"/>
      <c r="H589" s="10"/>
      <c r="I589" s="10"/>
      <c r="J589" s="10"/>
      <c r="K589" s="10"/>
      <c r="L589" s="10"/>
    </row>
    <row r="590" spans="1:12" s="2" customFormat="1" ht="13.2" x14ac:dyDescent="0.25">
      <c r="A590" s="10"/>
      <c r="B590" s="10"/>
      <c r="D590" s="10"/>
      <c r="F590" s="10"/>
      <c r="G590" s="10"/>
      <c r="H590" s="10"/>
      <c r="I590" s="10"/>
      <c r="J590" s="10"/>
      <c r="K590" s="10"/>
      <c r="L590" s="10"/>
    </row>
    <row r="591" spans="1:12" s="2" customFormat="1" ht="13.2" x14ac:dyDescent="0.25">
      <c r="A591" s="10"/>
      <c r="B591" s="10"/>
      <c r="D591" s="10"/>
      <c r="F591" s="10"/>
      <c r="G591" s="10"/>
      <c r="H591" s="10"/>
      <c r="I591" s="10"/>
      <c r="J591" s="10"/>
      <c r="K591" s="10"/>
      <c r="L591" s="10"/>
    </row>
    <row r="592" spans="1:12" s="2" customFormat="1" ht="13.2" x14ac:dyDescent="0.25">
      <c r="A592" s="10"/>
      <c r="B592" s="10"/>
      <c r="D592" s="10"/>
      <c r="F592" s="10"/>
      <c r="G592" s="10"/>
      <c r="H592" s="10"/>
      <c r="I592" s="10"/>
      <c r="J592" s="10"/>
      <c r="K592" s="10"/>
      <c r="L592" s="10"/>
    </row>
    <row r="593" spans="1:12" s="2" customFormat="1" ht="13.2" x14ac:dyDescent="0.25">
      <c r="A593" s="10"/>
      <c r="B593" s="10"/>
      <c r="D593" s="10"/>
      <c r="F593" s="10"/>
      <c r="G593" s="10"/>
      <c r="H593" s="10"/>
      <c r="I593" s="10"/>
      <c r="J593" s="10"/>
      <c r="K593" s="10"/>
      <c r="L593" s="10"/>
    </row>
    <row r="594" spans="1:12" s="2" customFormat="1" ht="13.2" x14ac:dyDescent="0.25">
      <c r="A594" s="10"/>
      <c r="B594" s="10"/>
      <c r="D594" s="10"/>
      <c r="F594" s="10"/>
      <c r="G594" s="10"/>
      <c r="H594" s="10"/>
      <c r="I594" s="10"/>
      <c r="J594" s="10"/>
      <c r="K594" s="10"/>
      <c r="L594" s="10"/>
    </row>
    <row r="595" spans="1:12" s="2" customFormat="1" ht="13.2" x14ac:dyDescent="0.25">
      <c r="A595" s="10"/>
      <c r="B595" s="10"/>
      <c r="D595" s="10"/>
      <c r="F595" s="10"/>
      <c r="G595" s="10"/>
      <c r="H595" s="10"/>
      <c r="I595" s="10"/>
      <c r="J595" s="10"/>
      <c r="K595" s="10"/>
      <c r="L595" s="10"/>
    </row>
    <row r="596" spans="1:12" s="2" customFormat="1" ht="13.2" x14ac:dyDescent="0.25">
      <c r="A596" s="10"/>
      <c r="B596" s="10"/>
      <c r="D596" s="10"/>
      <c r="F596" s="10"/>
      <c r="G596" s="10"/>
      <c r="H596" s="10"/>
      <c r="I596" s="10"/>
      <c r="J596" s="10"/>
      <c r="K596" s="10"/>
      <c r="L596" s="10"/>
    </row>
    <row r="597" spans="1:12" s="2" customFormat="1" ht="13.2" x14ac:dyDescent="0.25">
      <c r="A597" s="10"/>
      <c r="B597" s="10"/>
      <c r="D597" s="10"/>
      <c r="F597" s="10"/>
      <c r="G597" s="10"/>
      <c r="H597" s="10"/>
      <c r="I597" s="10"/>
      <c r="J597" s="10"/>
      <c r="K597" s="10"/>
      <c r="L597" s="10"/>
    </row>
    <row r="598" spans="1:12" s="2" customFormat="1" ht="13.2" x14ac:dyDescent="0.25">
      <c r="A598" s="10"/>
      <c r="B598" s="10"/>
      <c r="D598" s="10"/>
      <c r="F598" s="10"/>
      <c r="G598" s="10"/>
      <c r="H598" s="10"/>
      <c r="I598" s="10"/>
      <c r="J598" s="10"/>
      <c r="K598" s="10"/>
      <c r="L598" s="10"/>
    </row>
    <row r="599" spans="1:12" s="2" customFormat="1" ht="13.2" x14ac:dyDescent="0.25">
      <c r="A599" s="10"/>
      <c r="B599" s="10"/>
      <c r="D599" s="10"/>
      <c r="F599" s="10"/>
      <c r="G599" s="10"/>
      <c r="H599" s="10"/>
      <c r="I599" s="10"/>
      <c r="J599" s="10"/>
      <c r="K599" s="10"/>
      <c r="L599" s="10"/>
    </row>
    <row r="600" spans="1:12" s="2" customFormat="1" ht="13.2" x14ac:dyDescent="0.25">
      <c r="A600" s="10"/>
      <c r="B600" s="10"/>
      <c r="D600" s="10"/>
      <c r="F600" s="10"/>
      <c r="G600" s="10"/>
      <c r="H600" s="10"/>
      <c r="I600" s="10"/>
      <c r="J600" s="10"/>
      <c r="K600" s="10"/>
      <c r="L600" s="10"/>
    </row>
    <row r="601" spans="1:12" s="2" customFormat="1" ht="13.2" x14ac:dyDescent="0.25">
      <c r="A601" s="10"/>
      <c r="B601" s="10"/>
      <c r="D601" s="10"/>
      <c r="F601" s="10"/>
      <c r="G601" s="10"/>
      <c r="H601" s="10"/>
      <c r="I601" s="10"/>
      <c r="J601" s="10"/>
      <c r="K601" s="10"/>
      <c r="L601" s="10"/>
    </row>
    <row r="602" spans="1:12" s="2" customFormat="1" ht="13.2" x14ac:dyDescent="0.25">
      <c r="A602" s="10"/>
      <c r="B602" s="10"/>
      <c r="D602" s="10"/>
      <c r="F602" s="10"/>
      <c r="G602" s="10"/>
      <c r="H602" s="10"/>
      <c r="I602" s="10"/>
      <c r="J602" s="10"/>
      <c r="K602" s="10"/>
      <c r="L602" s="10"/>
    </row>
    <row r="603" spans="1:12" s="2" customFormat="1" ht="13.2" x14ac:dyDescent="0.25">
      <c r="A603" s="10"/>
      <c r="B603" s="10"/>
      <c r="D603" s="10"/>
      <c r="F603" s="10"/>
      <c r="G603" s="10"/>
      <c r="H603" s="10"/>
      <c r="I603" s="10"/>
      <c r="J603" s="10"/>
      <c r="K603" s="10"/>
      <c r="L603" s="10"/>
    </row>
    <row r="604" spans="1:12" s="2" customFormat="1" ht="13.2" x14ac:dyDescent="0.25">
      <c r="A604" s="10"/>
      <c r="B604" s="10"/>
      <c r="D604" s="10"/>
      <c r="F604" s="10"/>
      <c r="G604" s="10"/>
      <c r="H604" s="10"/>
      <c r="I604" s="10"/>
      <c r="J604" s="10"/>
      <c r="K604" s="10"/>
      <c r="L604" s="10"/>
    </row>
    <row r="605" spans="1:12" s="2" customFormat="1" ht="13.2" x14ac:dyDescent="0.25">
      <c r="A605" s="10"/>
      <c r="B605" s="10"/>
      <c r="D605" s="10"/>
      <c r="F605" s="10"/>
      <c r="G605" s="10"/>
      <c r="H605" s="10"/>
      <c r="I605" s="10"/>
      <c r="J605" s="10"/>
      <c r="K605" s="10"/>
      <c r="L605" s="10"/>
    </row>
    <row r="606" spans="1:12" s="2" customFormat="1" ht="13.2" x14ac:dyDescent="0.25">
      <c r="A606" s="10"/>
      <c r="B606" s="10"/>
      <c r="D606" s="10"/>
      <c r="F606" s="10"/>
      <c r="G606" s="10"/>
      <c r="H606" s="10"/>
      <c r="I606" s="10"/>
      <c r="J606" s="10"/>
      <c r="K606" s="10"/>
      <c r="L606" s="10"/>
    </row>
    <row r="607" spans="1:12" s="2" customFormat="1" ht="13.2" x14ac:dyDescent="0.25">
      <c r="A607" s="10"/>
      <c r="B607" s="10"/>
      <c r="D607" s="10"/>
      <c r="F607" s="10"/>
      <c r="G607" s="10"/>
      <c r="H607" s="10"/>
      <c r="I607" s="10"/>
      <c r="J607" s="10"/>
      <c r="K607" s="10"/>
      <c r="L607" s="10"/>
    </row>
    <row r="608" spans="1:12" s="2" customFormat="1" ht="13.2" x14ac:dyDescent="0.25">
      <c r="A608" s="10"/>
      <c r="B608" s="10"/>
      <c r="D608" s="10"/>
      <c r="F608" s="10"/>
      <c r="G608" s="10"/>
      <c r="H608" s="10"/>
      <c r="I608" s="10"/>
      <c r="J608" s="10"/>
      <c r="K608" s="10"/>
      <c r="L608" s="10"/>
    </row>
    <row r="609" spans="1:12" s="2" customFormat="1" ht="13.2" x14ac:dyDescent="0.25">
      <c r="A609" s="10"/>
      <c r="B609" s="10"/>
      <c r="D609" s="10"/>
      <c r="F609" s="10"/>
      <c r="G609" s="10"/>
      <c r="H609" s="10"/>
      <c r="I609" s="10"/>
      <c r="J609" s="10"/>
      <c r="K609" s="10"/>
      <c r="L609" s="10"/>
    </row>
    <row r="610" spans="1:12" s="2" customFormat="1" ht="13.2" x14ac:dyDescent="0.25">
      <c r="A610" s="10"/>
      <c r="B610" s="10"/>
      <c r="D610" s="10"/>
      <c r="F610" s="10"/>
      <c r="G610" s="10"/>
      <c r="H610" s="10"/>
      <c r="I610" s="10"/>
      <c r="J610" s="10"/>
      <c r="K610" s="10"/>
      <c r="L610" s="10"/>
    </row>
    <row r="611" spans="1:12" s="2" customFormat="1" ht="13.2" x14ac:dyDescent="0.25">
      <c r="A611" s="10"/>
      <c r="B611" s="10"/>
      <c r="D611" s="10"/>
      <c r="F611" s="10"/>
      <c r="G611" s="10"/>
      <c r="H611" s="10"/>
      <c r="I611" s="10"/>
      <c r="J611" s="10"/>
      <c r="K611" s="10"/>
      <c r="L611" s="10"/>
    </row>
    <row r="612" spans="1:12" s="2" customFormat="1" ht="13.2" x14ac:dyDescent="0.25">
      <c r="A612" s="10"/>
      <c r="B612" s="10"/>
      <c r="D612" s="10"/>
      <c r="F612" s="10"/>
      <c r="G612" s="10"/>
      <c r="H612" s="10"/>
      <c r="I612" s="10"/>
      <c r="J612" s="10"/>
      <c r="K612" s="10"/>
      <c r="L612" s="10"/>
    </row>
    <row r="613" spans="1:12" s="2" customFormat="1" ht="13.2" x14ac:dyDescent="0.25">
      <c r="A613" s="10"/>
      <c r="B613" s="10"/>
      <c r="D613" s="10"/>
      <c r="F613" s="10"/>
      <c r="G613" s="10"/>
      <c r="H613" s="10"/>
      <c r="I613" s="10"/>
      <c r="J613" s="10"/>
      <c r="K613" s="10"/>
      <c r="L613" s="10"/>
    </row>
    <row r="614" spans="1:12" s="2" customFormat="1" ht="13.2" x14ac:dyDescent="0.25">
      <c r="A614" s="10"/>
      <c r="B614" s="10"/>
      <c r="D614" s="10"/>
      <c r="F614" s="10"/>
      <c r="G614" s="10"/>
      <c r="H614" s="10"/>
      <c r="I614" s="10"/>
      <c r="J614" s="10"/>
      <c r="K614" s="10"/>
      <c r="L614" s="10"/>
    </row>
    <row r="615" spans="1:12" s="2" customFormat="1" ht="13.2" x14ac:dyDescent="0.25">
      <c r="A615" s="10"/>
      <c r="B615" s="10"/>
      <c r="D615" s="10"/>
      <c r="F615" s="10"/>
      <c r="G615" s="10"/>
      <c r="H615" s="10"/>
      <c r="I615" s="10"/>
      <c r="J615" s="10"/>
      <c r="K615" s="10"/>
      <c r="L615" s="10"/>
    </row>
    <row r="616" spans="1:12" s="2" customFormat="1" ht="13.2" x14ac:dyDescent="0.25">
      <c r="A616" s="10"/>
      <c r="B616" s="10"/>
      <c r="D616" s="10"/>
      <c r="F616" s="10"/>
      <c r="G616" s="10"/>
      <c r="H616" s="10"/>
      <c r="I616" s="10"/>
      <c r="J616" s="10"/>
      <c r="K616" s="10"/>
      <c r="L616" s="10"/>
    </row>
    <row r="617" spans="1:12" s="2" customFormat="1" ht="13.2" x14ac:dyDescent="0.25">
      <c r="A617" s="10"/>
      <c r="B617" s="10"/>
      <c r="D617" s="10"/>
      <c r="F617" s="10"/>
      <c r="G617" s="10"/>
      <c r="H617" s="10"/>
      <c r="I617" s="10"/>
      <c r="J617" s="10"/>
      <c r="K617" s="10"/>
      <c r="L617" s="10"/>
    </row>
    <row r="618" spans="1:12" s="2" customFormat="1" ht="13.2" x14ac:dyDescent="0.25">
      <c r="A618" s="10"/>
      <c r="B618" s="10"/>
      <c r="D618" s="10"/>
      <c r="F618" s="10"/>
      <c r="G618" s="10"/>
      <c r="H618" s="10"/>
      <c r="I618" s="10"/>
      <c r="J618" s="10"/>
      <c r="K618" s="10"/>
      <c r="L618" s="10"/>
    </row>
    <row r="619" spans="1:12" s="2" customFormat="1" ht="13.2" x14ac:dyDescent="0.25">
      <c r="A619" s="10"/>
      <c r="B619" s="10"/>
      <c r="D619" s="10"/>
      <c r="F619" s="10"/>
      <c r="G619" s="10"/>
      <c r="H619" s="10"/>
      <c r="I619" s="10"/>
      <c r="J619" s="10"/>
      <c r="K619" s="10"/>
      <c r="L619" s="10"/>
    </row>
    <row r="620" spans="1:12" s="2" customFormat="1" ht="13.2" x14ac:dyDescent="0.25">
      <c r="A620" s="10"/>
      <c r="B620" s="10"/>
      <c r="D620" s="10"/>
      <c r="F620" s="10"/>
      <c r="G620" s="10"/>
      <c r="H620" s="10"/>
      <c r="I620" s="10"/>
      <c r="J620" s="10"/>
      <c r="K620" s="10"/>
      <c r="L620" s="10"/>
    </row>
    <row r="621" spans="1:12" s="2" customFormat="1" ht="13.2" x14ac:dyDescent="0.25">
      <c r="A621" s="10"/>
      <c r="B621" s="10"/>
      <c r="D621" s="10"/>
      <c r="F621" s="10"/>
      <c r="G621" s="10"/>
      <c r="H621" s="10"/>
      <c r="I621" s="10"/>
      <c r="J621" s="10"/>
      <c r="K621" s="10"/>
      <c r="L621" s="10"/>
    </row>
    <row r="622" spans="1:12" s="2" customFormat="1" ht="13.2" x14ac:dyDescent="0.25">
      <c r="A622" s="10"/>
      <c r="B622" s="10"/>
      <c r="D622" s="10"/>
      <c r="F622" s="10"/>
      <c r="G622" s="10"/>
      <c r="H622" s="10"/>
      <c r="I622" s="10"/>
      <c r="J622" s="10"/>
      <c r="K622" s="10"/>
      <c r="L622" s="10"/>
    </row>
    <row r="623" spans="1:12" s="2" customFormat="1" ht="13.2" x14ac:dyDescent="0.25">
      <c r="A623" s="10"/>
      <c r="B623" s="10"/>
      <c r="D623" s="10"/>
      <c r="F623" s="10"/>
      <c r="G623" s="10"/>
      <c r="H623" s="10"/>
      <c r="I623" s="10"/>
      <c r="J623" s="10"/>
      <c r="K623" s="10"/>
      <c r="L623" s="10"/>
    </row>
    <row r="624" spans="1:12" s="2" customFormat="1" ht="13.2" x14ac:dyDescent="0.25">
      <c r="A624" s="10"/>
      <c r="B624" s="10"/>
      <c r="D624" s="10"/>
      <c r="F624" s="10"/>
      <c r="G624" s="10"/>
      <c r="H624" s="10"/>
      <c r="I624" s="10"/>
      <c r="J624" s="10"/>
      <c r="K624" s="10"/>
      <c r="L624" s="10"/>
    </row>
    <row r="625" spans="1:12" s="2" customFormat="1" ht="13.2" x14ac:dyDescent="0.25">
      <c r="A625" s="10"/>
      <c r="B625" s="10"/>
      <c r="D625" s="10"/>
      <c r="F625" s="10"/>
      <c r="G625" s="10"/>
      <c r="H625" s="10"/>
      <c r="I625" s="10"/>
      <c r="J625" s="10"/>
      <c r="K625" s="10"/>
      <c r="L625" s="10"/>
    </row>
    <row r="626" spans="1:12" s="2" customFormat="1" ht="13.2" x14ac:dyDescent="0.25">
      <c r="A626" s="10"/>
      <c r="B626" s="10"/>
      <c r="D626" s="10"/>
      <c r="F626" s="10"/>
      <c r="G626" s="10"/>
      <c r="H626" s="10"/>
      <c r="I626" s="10"/>
      <c r="J626" s="10"/>
      <c r="K626" s="10"/>
      <c r="L626" s="10"/>
    </row>
    <row r="627" spans="1:12" s="2" customFormat="1" ht="13.2" x14ac:dyDescent="0.25">
      <c r="A627" s="10"/>
      <c r="B627" s="10"/>
      <c r="D627" s="10"/>
      <c r="F627" s="10"/>
      <c r="G627" s="10"/>
      <c r="H627" s="10"/>
      <c r="I627" s="10"/>
      <c r="J627" s="10"/>
      <c r="K627" s="10"/>
      <c r="L627" s="10"/>
    </row>
    <row r="628" spans="1:12" s="2" customFormat="1" ht="13.2" x14ac:dyDescent="0.25">
      <c r="A628" s="10"/>
      <c r="B628" s="10"/>
      <c r="D628" s="10"/>
      <c r="F628" s="10"/>
      <c r="G628" s="10"/>
      <c r="H628" s="10"/>
      <c r="I628" s="10"/>
      <c r="J628" s="10"/>
      <c r="K628" s="10"/>
      <c r="L628" s="10"/>
    </row>
    <row r="629" spans="1:12" s="2" customFormat="1" ht="13.2" x14ac:dyDescent="0.25">
      <c r="A629" s="10"/>
      <c r="B629" s="10"/>
      <c r="D629" s="10"/>
      <c r="F629" s="10"/>
      <c r="G629" s="10"/>
      <c r="H629" s="10"/>
      <c r="I629" s="10"/>
      <c r="J629" s="10"/>
      <c r="K629" s="10"/>
      <c r="L629" s="10"/>
    </row>
    <row r="630" spans="1:12" s="2" customFormat="1" ht="13.2" x14ac:dyDescent="0.25">
      <c r="A630" s="10"/>
      <c r="B630" s="10"/>
      <c r="D630" s="10"/>
      <c r="F630" s="10"/>
      <c r="G630" s="10"/>
      <c r="H630" s="10"/>
      <c r="I630" s="10"/>
      <c r="J630" s="10"/>
      <c r="K630" s="10"/>
      <c r="L630" s="10"/>
    </row>
    <row r="631" spans="1:12" s="2" customFormat="1" ht="13.2" x14ac:dyDescent="0.25">
      <c r="A631" s="10"/>
      <c r="B631" s="10"/>
      <c r="D631" s="10"/>
      <c r="F631" s="10"/>
      <c r="G631" s="10"/>
      <c r="H631" s="10"/>
      <c r="I631" s="10"/>
      <c r="J631" s="10"/>
      <c r="K631" s="10"/>
      <c r="L631" s="10"/>
    </row>
    <row r="632" spans="1:12" s="2" customFormat="1" ht="13.2" x14ac:dyDescent="0.25">
      <c r="A632" s="10"/>
      <c r="B632" s="10"/>
      <c r="D632" s="10"/>
      <c r="F632" s="10"/>
      <c r="G632" s="10"/>
      <c r="H632" s="10"/>
      <c r="I632" s="10"/>
      <c r="J632" s="10"/>
      <c r="K632" s="10"/>
      <c r="L632" s="10"/>
    </row>
    <row r="633" spans="1:12" s="2" customFormat="1" ht="13.2" x14ac:dyDescent="0.25">
      <c r="A633" s="10"/>
      <c r="B633" s="10"/>
      <c r="D633" s="10"/>
      <c r="F633" s="10"/>
      <c r="G633" s="10"/>
      <c r="H633" s="10"/>
      <c r="I633" s="10"/>
      <c r="J633" s="10"/>
      <c r="K633" s="10"/>
      <c r="L633" s="10"/>
    </row>
    <row r="634" spans="1:12" s="2" customFormat="1" ht="13.2" x14ac:dyDescent="0.25">
      <c r="A634" s="10"/>
      <c r="B634" s="10"/>
      <c r="D634" s="10"/>
      <c r="F634" s="10"/>
      <c r="G634" s="10"/>
      <c r="H634" s="10"/>
      <c r="I634" s="10"/>
      <c r="J634" s="10"/>
      <c r="K634" s="10"/>
      <c r="L634" s="10"/>
    </row>
    <row r="635" spans="1:12" s="2" customFormat="1" ht="13.2" x14ac:dyDescent="0.25">
      <c r="A635" s="10"/>
      <c r="B635" s="10"/>
      <c r="D635" s="10"/>
      <c r="F635" s="10"/>
      <c r="G635" s="10"/>
      <c r="H635" s="10"/>
      <c r="I635" s="10"/>
      <c r="J635" s="10"/>
      <c r="K635" s="10"/>
      <c r="L635" s="10"/>
    </row>
    <row r="636" spans="1:12" s="2" customFormat="1" ht="13.2" x14ac:dyDescent="0.25">
      <c r="A636" s="10"/>
      <c r="B636" s="10"/>
      <c r="D636" s="10"/>
      <c r="F636" s="10"/>
      <c r="G636" s="10"/>
      <c r="H636" s="10"/>
      <c r="I636" s="10"/>
      <c r="J636" s="10"/>
      <c r="K636" s="10"/>
      <c r="L636" s="10"/>
    </row>
    <row r="637" spans="1:12" s="2" customFormat="1" ht="13.2" x14ac:dyDescent="0.25">
      <c r="A637" s="10"/>
      <c r="B637" s="10"/>
      <c r="D637" s="10"/>
      <c r="F637" s="10"/>
      <c r="G637" s="10"/>
      <c r="H637" s="10"/>
      <c r="I637" s="10"/>
      <c r="J637" s="10"/>
      <c r="K637" s="10"/>
      <c r="L637" s="10"/>
    </row>
    <row r="638" spans="1:12" s="2" customFormat="1" ht="13.2" x14ac:dyDescent="0.25">
      <c r="A638" s="10"/>
      <c r="B638" s="10"/>
      <c r="D638" s="10"/>
      <c r="F638" s="10"/>
      <c r="G638" s="10"/>
      <c r="H638" s="10"/>
      <c r="I638" s="10"/>
      <c r="J638" s="10"/>
      <c r="K638" s="10"/>
      <c r="L638" s="10"/>
    </row>
    <row r="639" spans="1:12" s="2" customFormat="1" ht="13.2" x14ac:dyDescent="0.25">
      <c r="A639" s="10"/>
      <c r="B639" s="10"/>
      <c r="D639" s="10"/>
      <c r="F639" s="10"/>
      <c r="G639" s="10"/>
      <c r="H639" s="10"/>
      <c r="I639" s="10"/>
      <c r="J639" s="10"/>
      <c r="K639" s="10"/>
      <c r="L639" s="10"/>
    </row>
    <row r="640" spans="1:12" s="2" customFormat="1" ht="13.2" x14ac:dyDescent="0.25">
      <c r="A640" s="10"/>
      <c r="B640" s="10"/>
      <c r="D640" s="10"/>
      <c r="F640" s="10"/>
      <c r="G640" s="10"/>
      <c r="H640" s="10"/>
      <c r="I640" s="10"/>
      <c r="J640" s="10"/>
      <c r="K640" s="10"/>
      <c r="L640" s="10"/>
    </row>
    <row r="641" spans="1:12" s="2" customFormat="1" ht="13.2" x14ac:dyDescent="0.25">
      <c r="A641" s="10"/>
      <c r="B641" s="10"/>
      <c r="D641" s="10"/>
      <c r="F641" s="10"/>
      <c r="G641" s="10"/>
      <c r="H641" s="10"/>
      <c r="I641" s="10"/>
      <c r="J641" s="10"/>
      <c r="K641" s="10"/>
      <c r="L641" s="10"/>
    </row>
    <row r="642" spans="1:12" s="2" customFormat="1" ht="13.2" x14ac:dyDescent="0.25">
      <c r="A642" s="10"/>
      <c r="B642" s="10"/>
      <c r="D642" s="10"/>
      <c r="F642" s="10"/>
      <c r="G642" s="10"/>
      <c r="H642" s="10"/>
      <c r="I642" s="10"/>
      <c r="J642" s="10"/>
      <c r="K642" s="10"/>
      <c r="L642" s="10"/>
    </row>
    <row r="643" spans="1:12" s="2" customFormat="1" ht="13.2" x14ac:dyDescent="0.25">
      <c r="A643" s="10"/>
      <c r="B643" s="10"/>
      <c r="D643" s="10"/>
      <c r="F643" s="10"/>
      <c r="G643" s="10"/>
      <c r="H643" s="10"/>
      <c r="I643" s="10"/>
      <c r="J643" s="10"/>
      <c r="K643" s="10"/>
      <c r="L643" s="10"/>
    </row>
    <row r="644" spans="1:12" s="2" customFormat="1" ht="13.2" x14ac:dyDescent="0.25">
      <c r="A644" s="10"/>
      <c r="B644" s="10"/>
      <c r="D644" s="10"/>
      <c r="F644" s="10"/>
      <c r="G644" s="10"/>
      <c r="H644" s="10"/>
      <c r="I644" s="10"/>
      <c r="J644" s="10"/>
      <c r="K644" s="10"/>
      <c r="L644" s="10"/>
    </row>
    <row r="645" spans="1:12" s="2" customFormat="1" ht="13.2" x14ac:dyDescent="0.25">
      <c r="A645" s="10"/>
      <c r="B645" s="10"/>
      <c r="D645" s="10"/>
      <c r="F645" s="10"/>
      <c r="G645" s="10"/>
      <c r="H645" s="10"/>
      <c r="I645" s="10"/>
      <c r="J645" s="10"/>
      <c r="K645" s="10"/>
      <c r="L645" s="10"/>
    </row>
    <row r="646" spans="1:12" s="2" customFormat="1" ht="13.2" x14ac:dyDescent="0.25">
      <c r="A646" s="10"/>
      <c r="B646" s="10"/>
      <c r="D646" s="10"/>
      <c r="F646" s="10"/>
      <c r="G646" s="10"/>
      <c r="H646" s="10"/>
      <c r="I646" s="10"/>
      <c r="J646" s="10"/>
      <c r="K646" s="10"/>
      <c r="L646" s="10"/>
    </row>
    <row r="647" spans="1:12" s="2" customFormat="1" ht="13.2" x14ac:dyDescent="0.25">
      <c r="A647" s="10"/>
      <c r="B647" s="10"/>
      <c r="D647" s="10"/>
      <c r="F647" s="10"/>
      <c r="G647" s="10"/>
      <c r="H647" s="10"/>
      <c r="I647" s="10"/>
      <c r="J647" s="10"/>
      <c r="K647" s="10"/>
      <c r="L647" s="10"/>
    </row>
    <row r="648" spans="1:12" s="2" customFormat="1" ht="13.2" x14ac:dyDescent="0.25">
      <c r="A648" s="10"/>
      <c r="B648" s="10"/>
      <c r="D648" s="10"/>
      <c r="F648" s="10"/>
      <c r="G648" s="10"/>
      <c r="H648" s="10"/>
      <c r="I648" s="10"/>
      <c r="J648" s="10"/>
      <c r="K648" s="10"/>
      <c r="L648" s="10"/>
    </row>
    <row r="649" spans="1:12" s="2" customFormat="1" ht="13.2" x14ac:dyDescent="0.25">
      <c r="A649" s="10"/>
      <c r="B649" s="10"/>
      <c r="D649" s="10"/>
      <c r="F649" s="10"/>
      <c r="G649" s="10"/>
      <c r="H649" s="10"/>
      <c r="I649" s="10"/>
      <c r="J649" s="10"/>
      <c r="K649" s="10"/>
      <c r="L649" s="10"/>
    </row>
    <row r="650" spans="1:12" s="2" customFormat="1" ht="13.2" x14ac:dyDescent="0.25">
      <c r="A650" s="10"/>
      <c r="B650" s="10"/>
      <c r="D650" s="10"/>
      <c r="F650" s="10"/>
      <c r="G650" s="10"/>
      <c r="H650" s="10"/>
      <c r="I650" s="10"/>
      <c r="J650" s="10"/>
      <c r="K650" s="10"/>
      <c r="L650" s="10"/>
    </row>
    <row r="651" spans="1:12" s="2" customFormat="1" ht="13.2" x14ac:dyDescent="0.25">
      <c r="A651" s="10"/>
      <c r="B651" s="10"/>
      <c r="D651" s="10"/>
      <c r="F651" s="10"/>
      <c r="G651" s="10"/>
      <c r="H651" s="10"/>
      <c r="I651" s="10"/>
      <c r="J651" s="10"/>
      <c r="K651" s="10"/>
      <c r="L651" s="10"/>
    </row>
    <row r="652" spans="1:12" s="2" customFormat="1" ht="13.2" x14ac:dyDescent="0.25">
      <c r="A652" s="10"/>
      <c r="B652" s="10"/>
      <c r="D652" s="10"/>
      <c r="F652" s="10"/>
      <c r="G652" s="10"/>
      <c r="H652" s="10"/>
      <c r="I652" s="10"/>
      <c r="J652" s="10"/>
      <c r="K652" s="10"/>
      <c r="L652" s="10"/>
    </row>
    <row r="653" spans="1:12" s="2" customFormat="1" ht="13.2" x14ac:dyDescent="0.25">
      <c r="A653" s="10"/>
      <c r="B653" s="10"/>
      <c r="D653" s="10"/>
      <c r="F653" s="10"/>
      <c r="G653" s="10"/>
      <c r="H653" s="10"/>
      <c r="I653" s="10"/>
      <c r="J653" s="10"/>
      <c r="K653" s="10"/>
      <c r="L653" s="10"/>
    </row>
    <row r="654" spans="1:12" s="2" customFormat="1" ht="13.2" x14ac:dyDescent="0.25">
      <c r="A654" s="10"/>
      <c r="B654" s="10"/>
      <c r="D654" s="10"/>
      <c r="F654" s="10"/>
      <c r="G654" s="10"/>
      <c r="H654" s="10"/>
      <c r="I654" s="10"/>
      <c r="J654" s="10"/>
      <c r="K654" s="10"/>
      <c r="L654" s="10"/>
    </row>
    <row r="655" spans="1:12" s="2" customFormat="1" ht="13.2" x14ac:dyDescent="0.25">
      <c r="A655" s="10"/>
      <c r="B655" s="10"/>
      <c r="D655" s="10"/>
      <c r="F655" s="10"/>
      <c r="G655" s="10"/>
      <c r="H655" s="10"/>
      <c r="I655" s="10"/>
      <c r="J655" s="10"/>
      <c r="K655" s="10"/>
      <c r="L655" s="10"/>
    </row>
    <row r="656" spans="1:12" s="2" customFormat="1" ht="13.2" x14ac:dyDescent="0.25">
      <c r="A656" s="10"/>
      <c r="B656" s="10"/>
      <c r="D656" s="10"/>
      <c r="F656" s="10"/>
      <c r="G656" s="10"/>
      <c r="H656" s="10"/>
      <c r="I656" s="10"/>
      <c r="J656" s="10"/>
      <c r="K656" s="10"/>
      <c r="L656" s="10"/>
    </row>
    <row r="657" spans="1:12" s="2" customFormat="1" ht="13.2" x14ac:dyDescent="0.25">
      <c r="A657" s="10"/>
      <c r="B657" s="10"/>
      <c r="D657" s="10"/>
      <c r="F657" s="10"/>
      <c r="G657" s="10"/>
      <c r="H657" s="10"/>
      <c r="I657" s="10"/>
      <c r="J657" s="10"/>
      <c r="K657" s="10"/>
      <c r="L657" s="10"/>
    </row>
    <row r="658" spans="1:12" s="2" customFormat="1" ht="13.2" x14ac:dyDescent="0.25">
      <c r="A658" s="10"/>
      <c r="B658" s="10"/>
      <c r="D658" s="10"/>
      <c r="F658" s="10"/>
      <c r="G658" s="10"/>
      <c r="H658" s="10"/>
      <c r="I658" s="10"/>
      <c r="J658" s="10"/>
      <c r="K658" s="10"/>
      <c r="L658" s="10"/>
    </row>
    <row r="659" spans="1:12" s="2" customFormat="1" ht="13.2" x14ac:dyDescent="0.25">
      <c r="A659" s="10"/>
      <c r="B659" s="10"/>
      <c r="D659" s="10"/>
      <c r="F659" s="10"/>
      <c r="G659" s="10"/>
      <c r="H659" s="10"/>
      <c r="I659" s="10"/>
      <c r="J659" s="10"/>
      <c r="K659" s="10"/>
      <c r="L659" s="10"/>
    </row>
    <row r="660" spans="1:12" s="2" customFormat="1" ht="13.2" x14ac:dyDescent="0.25">
      <c r="A660" s="10"/>
      <c r="B660" s="10"/>
      <c r="D660" s="10"/>
      <c r="F660" s="10"/>
      <c r="G660" s="10"/>
      <c r="H660" s="10"/>
      <c r="I660" s="10"/>
      <c r="J660" s="10"/>
      <c r="K660" s="10"/>
      <c r="L660" s="10"/>
    </row>
    <row r="661" spans="1:12" s="2" customFormat="1" ht="13.2" x14ac:dyDescent="0.25">
      <c r="A661" s="10"/>
      <c r="B661" s="10"/>
      <c r="D661" s="10"/>
      <c r="F661" s="10"/>
      <c r="G661" s="10"/>
      <c r="H661" s="10"/>
      <c r="I661" s="10"/>
      <c r="J661" s="10"/>
      <c r="K661" s="10"/>
      <c r="L661" s="10"/>
    </row>
    <row r="662" spans="1:12" s="2" customFormat="1" ht="13.2" x14ac:dyDescent="0.25">
      <c r="A662" s="10"/>
      <c r="B662" s="10"/>
      <c r="D662" s="10"/>
      <c r="F662" s="10"/>
      <c r="G662" s="10"/>
      <c r="H662" s="10"/>
      <c r="I662" s="10"/>
      <c r="J662" s="10"/>
      <c r="K662" s="10"/>
      <c r="L662" s="10"/>
    </row>
    <row r="663" spans="1:12" s="2" customFormat="1" ht="13.2" x14ac:dyDescent="0.25">
      <c r="A663" s="10"/>
      <c r="B663" s="10"/>
      <c r="D663" s="10"/>
      <c r="F663" s="10"/>
      <c r="G663" s="10"/>
      <c r="H663" s="10"/>
      <c r="I663" s="10"/>
      <c r="J663" s="10"/>
      <c r="K663" s="10"/>
      <c r="L663" s="10"/>
    </row>
    <row r="664" spans="1:12" s="2" customFormat="1" ht="13.2" x14ac:dyDescent="0.25">
      <c r="A664" s="10"/>
      <c r="B664" s="10"/>
      <c r="D664" s="10"/>
      <c r="F664" s="10"/>
      <c r="G664" s="10"/>
      <c r="H664" s="10"/>
      <c r="I664" s="10"/>
      <c r="J664" s="10"/>
      <c r="K664" s="10"/>
      <c r="L664" s="10"/>
    </row>
    <row r="665" spans="1:12" s="2" customFormat="1" ht="13.2" x14ac:dyDescent="0.25">
      <c r="A665" s="10"/>
      <c r="B665" s="10"/>
      <c r="D665" s="10"/>
      <c r="F665" s="10"/>
      <c r="G665" s="10"/>
      <c r="H665" s="10"/>
      <c r="I665" s="10"/>
      <c r="J665" s="10"/>
      <c r="K665" s="10"/>
      <c r="L665" s="10"/>
    </row>
    <row r="666" spans="1:12" s="2" customFormat="1" ht="13.2" x14ac:dyDescent="0.25">
      <c r="A666" s="10"/>
      <c r="B666" s="10"/>
      <c r="D666" s="10"/>
      <c r="F666" s="10"/>
      <c r="G666" s="10"/>
      <c r="H666" s="10"/>
      <c r="I666" s="10"/>
      <c r="J666" s="10"/>
      <c r="K666" s="10"/>
      <c r="L666" s="10"/>
    </row>
    <row r="667" spans="1:12" s="2" customFormat="1" ht="13.2" x14ac:dyDescent="0.25">
      <c r="A667" s="10"/>
      <c r="B667" s="10"/>
      <c r="D667" s="10"/>
      <c r="F667" s="10"/>
      <c r="G667" s="10"/>
      <c r="H667" s="10"/>
      <c r="I667" s="10"/>
      <c r="J667" s="10"/>
      <c r="K667" s="10"/>
      <c r="L667" s="10"/>
    </row>
    <row r="668" spans="1:12" s="2" customFormat="1" ht="13.2" x14ac:dyDescent="0.25">
      <c r="A668" s="10"/>
      <c r="B668" s="10"/>
      <c r="D668" s="10"/>
      <c r="F668" s="10"/>
      <c r="G668" s="10"/>
      <c r="H668" s="10"/>
      <c r="I668" s="10"/>
      <c r="J668" s="10"/>
      <c r="K668" s="10"/>
      <c r="L668" s="10"/>
    </row>
    <row r="669" spans="1:12" s="2" customFormat="1" ht="13.2" x14ac:dyDescent="0.25">
      <c r="A669" s="10"/>
      <c r="B669" s="10"/>
      <c r="D669" s="10"/>
      <c r="F669" s="10"/>
      <c r="G669" s="10"/>
      <c r="H669" s="10"/>
      <c r="I669" s="10"/>
      <c r="J669" s="10"/>
      <c r="K669" s="10"/>
      <c r="L669" s="10"/>
    </row>
    <row r="670" spans="1:12" s="2" customFormat="1" ht="13.2" x14ac:dyDescent="0.25">
      <c r="A670" s="10"/>
      <c r="B670" s="10"/>
      <c r="D670" s="10"/>
      <c r="F670" s="10"/>
      <c r="G670" s="10"/>
      <c r="H670" s="10"/>
      <c r="I670" s="10"/>
      <c r="J670" s="10"/>
      <c r="K670" s="10"/>
      <c r="L670" s="10"/>
    </row>
    <row r="671" spans="1:12" s="2" customFormat="1" ht="13.2" x14ac:dyDescent="0.25">
      <c r="A671" s="10"/>
      <c r="B671" s="10"/>
      <c r="D671" s="10"/>
      <c r="F671" s="10"/>
      <c r="G671" s="10"/>
      <c r="H671" s="10"/>
      <c r="I671" s="10"/>
      <c r="J671" s="10"/>
      <c r="K671" s="10"/>
      <c r="L671" s="10"/>
    </row>
    <row r="672" spans="1:12" s="2" customFormat="1" ht="13.2" x14ac:dyDescent="0.25">
      <c r="A672" s="10"/>
      <c r="B672" s="10"/>
      <c r="D672" s="10"/>
      <c r="F672" s="10"/>
      <c r="G672" s="10"/>
      <c r="H672" s="10"/>
      <c r="I672" s="10"/>
      <c r="J672" s="10"/>
      <c r="K672" s="10"/>
      <c r="L672" s="10"/>
    </row>
    <row r="673" spans="1:12" s="2" customFormat="1" ht="13.2" x14ac:dyDescent="0.25">
      <c r="A673" s="10"/>
      <c r="B673" s="10"/>
      <c r="D673" s="10"/>
      <c r="F673" s="10"/>
      <c r="G673" s="10"/>
      <c r="H673" s="10"/>
      <c r="I673" s="10"/>
      <c r="J673" s="10"/>
      <c r="K673" s="10"/>
      <c r="L673" s="10"/>
    </row>
    <row r="674" spans="1:12" s="2" customFormat="1" ht="13.2" x14ac:dyDescent="0.25">
      <c r="A674" s="10"/>
      <c r="B674" s="10"/>
      <c r="D674" s="10"/>
      <c r="F674" s="10"/>
      <c r="G674" s="10"/>
      <c r="H674" s="10"/>
      <c r="I674" s="10"/>
      <c r="J674" s="10"/>
      <c r="K674" s="10"/>
      <c r="L674" s="10"/>
    </row>
    <row r="675" spans="1:12" s="2" customFormat="1" ht="13.2" x14ac:dyDescent="0.25">
      <c r="A675" s="10"/>
      <c r="B675" s="10"/>
      <c r="D675" s="10"/>
      <c r="F675" s="10"/>
      <c r="G675" s="10"/>
      <c r="H675" s="10"/>
      <c r="I675" s="10"/>
      <c r="J675" s="10"/>
      <c r="K675" s="10"/>
      <c r="L675" s="10"/>
    </row>
    <row r="676" spans="1:12" s="2" customFormat="1" ht="13.2" x14ac:dyDescent="0.25">
      <c r="A676" s="10"/>
      <c r="B676" s="10"/>
      <c r="D676" s="10"/>
      <c r="F676" s="10"/>
      <c r="G676" s="10"/>
      <c r="H676" s="10"/>
      <c r="I676" s="10"/>
      <c r="J676" s="10"/>
      <c r="K676" s="10"/>
      <c r="L676" s="10"/>
    </row>
    <row r="677" spans="1:12" s="2" customFormat="1" ht="13.2" x14ac:dyDescent="0.25">
      <c r="A677" s="10"/>
      <c r="B677" s="10"/>
      <c r="D677" s="10"/>
      <c r="F677" s="10"/>
      <c r="G677" s="10"/>
      <c r="H677" s="10"/>
      <c r="I677" s="10"/>
      <c r="J677" s="10"/>
      <c r="K677" s="10"/>
      <c r="L677" s="10"/>
    </row>
    <row r="678" spans="1:12" s="2" customFormat="1" ht="13.2" x14ac:dyDescent="0.25">
      <c r="A678" s="10"/>
      <c r="B678" s="10"/>
      <c r="D678" s="10"/>
      <c r="F678" s="10"/>
      <c r="G678" s="10"/>
      <c r="H678" s="10"/>
      <c r="I678" s="10"/>
      <c r="J678" s="10"/>
      <c r="K678" s="10"/>
      <c r="L678" s="10"/>
    </row>
    <row r="679" spans="1:12" s="2" customFormat="1" ht="13.2" x14ac:dyDescent="0.25">
      <c r="A679" s="10"/>
      <c r="B679" s="10"/>
      <c r="D679" s="10"/>
      <c r="F679" s="10"/>
      <c r="G679" s="10"/>
      <c r="H679" s="10"/>
      <c r="I679" s="10"/>
      <c r="J679" s="10"/>
      <c r="K679" s="10"/>
      <c r="L679" s="10"/>
    </row>
    <row r="680" spans="1:12" s="2" customFormat="1" ht="13.2" x14ac:dyDescent="0.25">
      <c r="A680" s="10"/>
      <c r="B680" s="10"/>
      <c r="D680" s="10"/>
      <c r="F680" s="10"/>
      <c r="G680" s="10"/>
      <c r="H680" s="10"/>
      <c r="I680" s="10"/>
      <c r="J680" s="10"/>
      <c r="K680" s="10"/>
      <c r="L680" s="10"/>
    </row>
    <row r="681" spans="1:12" s="2" customFormat="1" ht="13.2" x14ac:dyDescent="0.25">
      <c r="A681" s="10"/>
      <c r="B681" s="10"/>
      <c r="D681" s="10"/>
      <c r="F681" s="10"/>
      <c r="G681" s="10"/>
      <c r="H681" s="10"/>
      <c r="I681" s="10"/>
      <c r="J681" s="10"/>
      <c r="K681" s="10"/>
      <c r="L681" s="10"/>
    </row>
    <row r="682" spans="1:12" s="2" customFormat="1" ht="13.2" x14ac:dyDescent="0.25">
      <c r="A682" s="10"/>
      <c r="B682" s="10"/>
      <c r="D682" s="10"/>
      <c r="F682" s="10"/>
      <c r="G682" s="10"/>
      <c r="H682" s="10"/>
      <c r="I682" s="10"/>
      <c r="J682" s="10"/>
      <c r="K682" s="10"/>
      <c r="L682" s="10"/>
    </row>
    <row r="683" spans="1:12" s="2" customFormat="1" ht="13.2" x14ac:dyDescent="0.25">
      <c r="A683" s="10"/>
      <c r="B683" s="10"/>
      <c r="D683" s="10"/>
      <c r="F683" s="10"/>
      <c r="G683" s="10"/>
      <c r="H683" s="10"/>
      <c r="I683" s="10"/>
      <c r="J683" s="10"/>
      <c r="K683" s="10"/>
      <c r="L683" s="10"/>
    </row>
    <row r="684" spans="1:12" s="2" customFormat="1" ht="13.2" x14ac:dyDescent="0.25">
      <c r="A684" s="10"/>
      <c r="B684" s="10"/>
      <c r="D684" s="10"/>
      <c r="F684" s="10"/>
      <c r="G684" s="10"/>
      <c r="H684" s="10"/>
      <c r="I684" s="10"/>
      <c r="J684" s="10"/>
      <c r="K684" s="10"/>
      <c r="L684" s="10"/>
    </row>
    <row r="685" spans="1:12" s="2" customFormat="1" ht="13.2" x14ac:dyDescent="0.25">
      <c r="A685" s="10"/>
      <c r="B685" s="10"/>
      <c r="D685" s="10"/>
      <c r="F685" s="10"/>
      <c r="G685" s="10"/>
      <c r="H685" s="10"/>
      <c r="I685" s="10"/>
      <c r="J685" s="10"/>
      <c r="K685" s="10"/>
      <c r="L685" s="10"/>
    </row>
    <row r="686" spans="1:12" s="2" customFormat="1" ht="13.2" x14ac:dyDescent="0.25">
      <c r="A686" s="10"/>
      <c r="B686" s="10"/>
      <c r="D686" s="10"/>
      <c r="F686" s="10"/>
      <c r="G686" s="10"/>
      <c r="H686" s="10"/>
      <c r="I686" s="10"/>
      <c r="J686" s="10"/>
      <c r="K686" s="10"/>
      <c r="L686" s="10"/>
    </row>
    <row r="687" spans="1:12" s="2" customFormat="1" ht="13.2" x14ac:dyDescent="0.25">
      <c r="A687" s="10"/>
      <c r="B687" s="10"/>
      <c r="D687" s="10"/>
      <c r="F687" s="10"/>
      <c r="G687" s="10"/>
      <c r="H687" s="10"/>
      <c r="I687" s="10"/>
      <c r="J687" s="10"/>
      <c r="K687" s="10"/>
      <c r="L687" s="10"/>
    </row>
    <row r="688" spans="1:12" s="2" customFormat="1" ht="13.2" x14ac:dyDescent="0.25">
      <c r="A688" s="10"/>
      <c r="B688" s="10"/>
      <c r="D688" s="10"/>
      <c r="F688" s="10"/>
      <c r="G688" s="10"/>
      <c r="H688" s="10"/>
      <c r="I688" s="10"/>
      <c r="J688" s="10"/>
      <c r="K688" s="10"/>
      <c r="L688" s="10"/>
    </row>
    <row r="689" spans="1:12" s="2" customFormat="1" ht="13.2" x14ac:dyDescent="0.25">
      <c r="A689" s="10"/>
      <c r="B689" s="10"/>
      <c r="D689" s="10"/>
      <c r="F689" s="10"/>
      <c r="G689" s="10"/>
      <c r="H689" s="10"/>
      <c r="I689" s="10"/>
      <c r="J689" s="10"/>
      <c r="K689" s="10"/>
      <c r="L689" s="10"/>
    </row>
    <row r="690" spans="1:12" s="2" customFormat="1" ht="13.2" x14ac:dyDescent="0.25">
      <c r="A690" s="10"/>
      <c r="B690" s="10"/>
      <c r="D690" s="10"/>
      <c r="F690" s="10"/>
      <c r="G690" s="10"/>
      <c r="H690" s="10"/>
      <c r="I690" s="10"/>
      <c r="J690" s="10"/>
      <c r="K690" s="10"/>
      <c r="L690" s="10"/>
    </row>
    <row r="691" spans="1:12" s="2" customFormat="1" ht="13.2" x14ac:dyDescent="0.25">
      <c r="A691" s="10"/>
      <c r="B691" s="10"/>
      <c r="D691" s="10"/>
      <c r="F691" s="10"/>
      <c r="G691" s="10"/>
      <c r="H691" s="10"/>
      <c r="I691" s="10"/>
      <c r="J691" s="10"/>
      <c r="K691" s="10"/>
      <c r="L691" s="10"/>
    </row>
    <row r="692" spans="1:12" s="2" customFormat="1" ht="13.2" x14ac:dyDescent="0.25">
      <c r="A692" s="10"/>
      <c r="B692" s="10"/>
      <c r="D692" s="10"/>
      <c r="F692" s="10"/>
      <c r="G692" s="10"/>
      <c r="H692" s="10"/>
      <c r="I692" s="10"/>
      <c r="J692" s="10"/>
      <c r="K692" s="10"/>
      <c r="L692" s="10"/>
    </row>
    <row r="693" spans="1:12" s="2" customFormat="1" ht="13.2" x14ac:dyDescent="0.25">
      <c r="A693" s="10"/>
      <c r="B693" s="10"/>
      <c r="D693" s="10"/>
      <c r="F693" s="10"/>
      <c r="G693" s="10"/>
      <c r="H693" s="10"/>
      <c r="I693" s="10"/>
      <c r="J693" s="10"/>
      <c r="K693" s="10"/>
      <c r="L693" s="10"/>
    </row>
    <row r="694" spans="1:12" s="2" customFormat="1" ht="13.2" x14ac:dyDescent="0.25">
      <c r="A694" s="10"/>
      <c r="B694" s="10"/>
      <c r="D694" s="10"/>
      <c r="F694" s="10"/>
      <c r="G694" s="10"/>
      <c r="H694" s="10"/>
      <c r="I694" s="10"/>
      <c r="J694" s="10"/>
      <c r="K694" s="10"/>
      <c r="L694" s="10"/>
    </row>
    <row r="695" spans="1:12" s="2" customFormat="1" ht="13.2" x14ac:dyDescent="0.25">
      <c r="A695" s="10"/>
      <c r="B695" s="10"/>
      <c r="D695" s="10"/>
      <c r="F695" s="10"/>
      <c r="G695" s="10"/>
      <c r="H695" s="10"/>
      <c r="I695" s="10"/>
      <c r="J695" s="10"/>
      <c r="K695" s="10"/>
      <c r="L695" s="10"/>
    </row>
    <row r="696" spans="1:12" s="2" customFormat="1" ht="13.2" x14ac:dyDescent="0.25">
      <c r="A696" s="10"/>
      <c r="B696" s="10"/>
      <c r="D696" s="10"/>
      <c r="F696" s="10"/>
      <c r="G696" s="10"/>
      <c r="H696" s="10"/>
      <c r="I696" s="10"/>
      <c r="J696" s="10"/>
      <c r="K696" s="10"/>
      <c r="L696" s="10"/>
    </row>
    <row r="697" spans="1:12" s="2" customFormat="1" ht="13.2" x14ac:dyDescent="0.25">
      <c r="A697" s="10"/>
      <c r="B697" s="10"/>
      <c r="D697" s="10"/>
      <c r="F697" s="10"/>
      <c r="G697" s="10"/>
      <c r="H697" s="10"/>
      <c r="I697" s="10"/>
      <c r="J697" s="10"/>
      <c r="K697" s="10"/>
      <c r="L697" s="10"/>
    </row>
    <row r="698" spans="1:12" s="2" customFormat="1" ht="13.2" x14ac:dyDescent="0.25">
      <c r="A698" s="10"/>
      <c r="B698" s="10"/>
      <c r="D698" s="10"/>
      <c r="F698" s="10"/>
      <c r="G698" s="10"/>
      <c r="H698" s="10"/>
      <c r="I698" s="10"/>
      <c r="J698" s="10"/>
      <c r="K698" s="10"/>
      <c r="L698" s="10"/>
    </row>
    <row r="699" spans="1:12" s="2" customFormat="1" ht="13.2" x14ac:dyDescent="0.25">
      <c r="A699" s="10"/>
      <c r="B699" s="10"/>
      <c r="D699" s="10"/>
      <c r="F699" s="10"/>
      <c r="G699" s="10"/>
      <c r="H699" s="10"/>
      <c r="I699" s="10"/>
      <c r="J699" s="10"/>
      <c r="K699" s="10"/>
      <c r="L699" s="10"/>
    </row>
    <row r="700" spans="1:12" s="2" customFormat="1" ht="13.2" x14ac:dyDescent="0.25">
      <c r="A700" s="10"/>
      <c r="B700" s="10"/>
      <c r="D700" s="10"/>
      <c r="F700" s="10"/>
      <c r="G700" s="10"/>
      <c r="H700" s="10"/>
      <c r="I700" s="10"/>
      <c r="J700" s="10"/>
      <c r="K700" s="10"/>
      <c r="L700" s="10"/>
    </row>
    <row r="701" spans="1:12" s="2" customFormat="1" ht="13.2" x14ac:dyDescent="0.25">
      <c r="A701" s="10"/>
      <c r="B701" s="10"/>
      <c r="D701" s="10"/>
      <c r="F701" s="10"/>
      <c r="G701" s="10"/>
      <c r="H701" s="10"/>
      <c r="I701" s="10"/>
      <c r="J701" s="10"/>
      <c r="K701" s="10"/>
      <c r="L701" s="10"/>
    </row>
    <row r="702" spans="1:12" s="2" customFormat="1" ht="13.2" x14ac:dyDescent="0.25">
      <c r="A702" s="10"/>
      <c r="B702" s="10"/>
      <c r="D702" s="10"/>
      <c r="F702" s="10"/>
      <c r="G702" s="10"/>
      <c r="H702" s="10"/>
      <c r="I702" s="10"/>
      <c r="J702" s="10"/>
      <c r="K702" s="10"/>
      <c r="L702" s="10"/>
    </row>
    <row r="703" spans="1:12" s="2" customFormat="1" ht="13.2" x14ac:dyDescent="0.25">
      <c r="A703" s="10"/>
      <c r="B703" s="10"/>
      <c r="D703" s="10"/>
      <c r="F703" s="10"/>
      <c r="G703" s="10"/>
      <c r="H703" s="10"/>
      <c r="I703" s="10"/>
      <c r="J703" s="10"/>
      <c r="K703" s="10"/>
      <c r="L703" s="10"/>
    </row>
    <row r="704" spans="1:12" s="2" customFormat="1" ht="13.2" x14ac:dyDescent="0.25">
      <c r="A704" s="10"/>
      <c r="B704" s="10"/>
      <c r="D704" s="10"/>
      <c r="F704" s="10"/>
      <c r="G704" s="10"/>
      <c r="H704" s="10"/>
      <c r="I704" s="10"/>
      <c r="J704" s="10"/>
      <c r="K704" s="10"/>
      <c r="L704" s="10"/>
    </row>
    <row r="705" spans="1:12" s="2" customFormat="1" ht="13.2" x14ac:dyDescent="0.25">
      <c r="A705" s="10"/>
      <c r="B705" s="10"/>
      <c r="D705" s="10"/>
      <c r="F705" s="10"/>
      <c r="G705" s="10"/>
      <c r="H705" s="10"/>
      <c r="I705" s="10"/>
      <c r="J705" s="10"/>
      <c r="K705" s="10"/>
      <c r="L705" s="10"/>
    </row>
    <row r="706" spans="1:12" s="2" customFormat="1" ht="13.2" x14ac:dyDescent="0.25">
      <c r="A706" s="10"/>
      <c r="B706" s="10"/>
      <c r="D706" s="10"/>
      <c r="F706" s="10"/>
      <c r="G706" s="10"/>
      <c r="H706" s="10"/>
      <c r="I706" s="10"/>
      <c r="J706" s="10"/>
      <c r="K706" s="10"/>
      <c r="L706" s="10"/>
    </row>
    <row r="707" spans="1:12" s="2" customFormat="1" ht="13.2" x14ac:dyDescent="0.25">
      <c r="A707" s="10"/>
      <c r="B707" s="10"/>
      <c r="D707" s="10"/>
      <c r="F707" s="10"/>
      <c r="G707" s="10"/>
      <c r="H707" s="10"/>
      <c r="I707" s="10"/>
      <c r="J707" s="10"/>
      <c r="K707" s="10"/>
      <c r="L707" s="10"/>
    </row>
    <row r="708" spans="1:12" s="2" customFormat="1" ht="13.2" x14ac:dyDescent="0.25">
      <c r="A708" s="10"/>
      <c r="B708" s="10"/>
      <c r="D708" s="10"/>
      <c r="F708" s="10"/>
      <c r="G708" s="10"/>
      <c r="H708" s="10"/>
      <c r="I708" s="10"/>
      <c r="J708" s="10"/>
      <c r="K708" s="10"/>
      <c r="L708" s="10"/>
    </row>
    <row r="709" spans="1:12" s="2" customFormat="1" ht="13.2" x14ac:dyDescent="0.25">
      <c r="A709" s="10"/>
      <c r="B709" s="10"/>
      <c r="D709" s="10"/>
      <c r="F709" s="10"/>
      <c r="G709" s="10"/>
      <c r="H709" s="10"/>
      <c r="I709" s="10"/>
      <c r="J709" s="10"/>
      <c r="K709" s="10"/>
      <c r="L709" s="10"/>
    </row>
    <row r="710" spans="1:12" s="2" customFormat="1" ht="13.2" x14ac:dyDescent="0.25">
      <c r="A710" s="10"/>
      <c r="B710" s="10"/>
      <c r="D710" s="10"/>
      <c r="F710" s="10"/>
      <c r="G710" s="10"/>
      <c r="H710" s="10"/>
      <c r="I710" s="10"/>
      <c r="J710" s="10"/>
      <c r="K710" s="10"/>
      <c r="L710" s="10"/>
    </row>
    <row r="711" spans="1:12" s="2" customFormat="1" ht="13.2" x14ac:dyDescent="0.25">
      <c r="A711" s="10"/>
      <c r="B711" s="10"/>
      <c r="D711" s="10"/>
      <c r="F711" s="10"/>
      <c r="G711" s="10"/>
      <c r="H711" s="10"/>
      <c r="I711" s="10"/>
      <c r="J711" s="10"/>
      <c r="K711" s="10"/>
      <c r="L711" s="10"/>
    </row>
    <row r="712" spans="1:12" s="2" customFormat="1" ht="13.2" x14ac:dyDescent="0.25">
      <c r="A712" s="10"/>
      <c r="B712" s="10"/>
      <c r="D712" s="10"/>
      <c r="F712" s="10"/>
      <c r="G712" s="10"/>
      <c r="H712" s="10"/>
      <c r="I712" s="10"/>
      <c r="J712" s="10"/>
      <c r="K712" s="10"/>
      <c r="L712" s="10"/>
    </row>
    <row r="713" spans="1:12" s="2" customFormat="1" ht="13.2" x14ac:dyDescent="0.25">
      <c r="A713" s="10"/>
      <c r="B713" s="10"/>
      <c r="D713" s="10"/>
      <c r="F713" s="10"/>
      <c r="G713" s="10"/>
      <c r="H713" s="10"/>
      <c r="I713" s="10"/>
      <c r="J713" s="10"/>
      <c r="K713" s="10"/>
      <c r="L713" s="10"/>
    </row>
    <row r="714" spans="1:12" s="2" customFormat="1" ht="13.2" x14ac:dyDescent="0.25">
      <c r="A714" s="10"/>
      <c r="B714" s="10"/>
      <c r="D714" s="10"/>
      <c r="F714" s="10"/>
      <c r="G714" s="10"/>
      <c r="H714" s="10"/>
      <c r="I714" s="10"/>
      <c r="J714" s="10"/>
      <c r="K714" s="10"/>
      <c r="L714" s="10"/>
    </row>
    <row r="715" spans="1:12" s="2" customFormat="1" ht="13.2" x14ac:dyDescent="0.25">
      <c r="A715" s="10"/>
      <c r="B715" s="10"/>
      <c r="D715" s="10"/>
      <c r="F715" s="10"/>
      <c r="G715" s="10"/>
      <c r="H715" s="10"/>
      <c r="I715" s="10"/>
      <c r="J715" s="10"/>
      <c r="K715" s="10"/>
      <c r="L715" s="10"/>
    </row>
    <row r="716" spans="1:12" s="2" customFormat="1" ht="13.2" x14ac:dyDescent="0.25">
      <c r="A716" s="10"/>
      <c r="B716" s="10"/>
      <c r="D716" s="10"/>
      <c r="F716" s="10"/>
      <c r="G716" s="10"/>
      <c r="H716" s="10"/>
      <c r="I716" s="10"/>
      <c r="J716" s="10"/>
      <c r="K716" s="10"/>
      <c r="L716" s="10"/>
    </row>
    <row r="717" spans="1:12" s="2" customFormat="1" ht="13.2" x14ac:dyDescent="0.25">
      <c r="A717" s="10"/>
      <c r="B717" s="10"/>
      <c r="D717" s="10"/>
      <c r="F717" s="10"/>
      <c r="G717" s="10"/>
      <c r="H717" s="10"/>
      <c r="I717" s="10"/>
      <c r="J717" s="10"/>
      <c r="K717" s="10"/>
      <c r="L717" s="10"/>
    </row>
    <row r="718" spans="1:12" s="2" customFormat="1" ht="13.2" x14ac:dyDescent="0.25">
      <c r="A718" s="10"/>
      <c r="B718" s="10"/>
      <c r="D718" s="10"/>
      <c r="F718" s="10"/>
      <c r="G718" s="10"/>
      <c r="H718" s="10"/>
      <c r="I718" s="10"/>
      <c r="J718" s="10"/>
      <c r="K718" s="10"/>
      <c r="L718" s="10"/>
    </row>
    <row r="719" spans="1:12" s="2" customFormat="1" ht="13.2" x14ac:dyDescent="0.25">
      <c r="A719" s="10"/>
      <c r="B719" s="10"/>
      <c r="D719" s="10"/>
      <c r="F719" s="10"/>
      <c r="G719" s="10"/>
      <c r="H719" s="10"/>
      <c r="I719" s="10"/>
      <c r="J719" s="10"/>
      <c r="K719" s="10"/>
      <c r="L719" s="10"/>
    </row>
    <row r="720" spans="1:12" s="2" customFormat="1" ht="13.2" x14ac:dyDescent="0.25">
      <c r="A720" s="10"/>
      <c r="B720" s="10"/>
      <c r="D720" s="10"/>
      <c r="F720" s="10"/>
      <c r="G720" s="10"/>
      <c r="H720" s="10"/>
      <c r="I720" s="10"/>
      <c r="J720" s="10"/>
      <c r="K720" s="10"/>
      <c r="L720" s="10"/>
    </row>
    <row r="721" spans="1:12" s="2" customFormat="1" ht="13.2" x14ac:dyDescent="0.25">
      <c r="A721" s="10"/>
      <c r="B721" s="10"/>
      <c r="D721" s="10"/>
      <c r="F721" s="10"/>
      <c r="G721" s="10"/>
      <c r="H721" s="10"/>
      <c r="I721" s="10"/>
      <c r="J721" s="10"/>
      <c r="K721" s="10"/>
      <c r="L721" s="10"/>
    </row>
    <row r="722" spans="1:12" s="2" customFormat="1" ht="13.2" x14ac:dyDescent="0.25">
      <c r="A722" s="10"/>
      <c r="B722" s="10"/>
      <c r="D722" s="10"/>
      <c r="F722" s="10"/>
      <c r="G722" s="10"/>
      <c r="H722" s="10"/>
      <c r="I722" s="10"/>
      <c r="J722" s="10"/>
      <c r="K722" s="10"/>
      <c r="L722" s="10"/>
    </row>
    <row r="723" spans="1:12" s="2" customFormat="1" ht="13.2" x14ac:dyDescent="0.25">
      <c r="A723" s="10"/>
      <c r="B723" s="10"/>
      <c r="D723" s="10"/>
      <c r="F723" s="10"/>
      <c r="G723" s="10"/>
      <c r="H723" s="10"/>
      <c r="I723" s="10"/>
      <c r="J723" s="10"/>
      <c r="K723" s="10"/>
      <c r="L723" s="10"/>
    </row>
    <row r="724" spans="1:12" s="2" customFormat="1" ht="13.2" x14ac:dyDescent="0.25">
      <c r="A724" s="10"/>
      <c r="B724" s="10"/>
      <c r="D724" s="10"/>
      <c r="F724" s="10"/>
      <c r="G724" s="10"/>
      <c r="H724" s="10"/>
      <c r="I724" s="10"/>
      <c r="J724" s="10"/>
      <c r="K724" s="10"/>
      <c r="L724" s="10"/>
    </row>
    <row r="725" spans="1:12" s="2" customFormat="1" ht="13.2" x14ac:dyDescent="0.25">
      <c r="A725" s="10"/>
      <c r="B725" s="10"/>
      <c r="D725" s="10"/>
      <c r="F725" s="10"/>
      <c r="G725" s="10"/>
      <c r="H725" s="10"/>
      <c r="I725" s="10"/>
      <c r="J725" s="10"/>
      <c r="K725" s="10"/>
      <c r="L725" s="10"/>
    </row>
    <row r="726" spans="1:12" s="2" customFormat="1" ht="13.2" x14ac:dyDescent="0.25">
      <c r="A726" s="10"/>
      <c r="B726" s="10"/>
      <c r="D726" s="10"/>
      <c r="F726" s="10"/>
      <c r="G726" s="10"/>
      <c r="H726" s="10"/>
      <c r="I726" s="10"/>
      <c r="J726" s="10"/>
      <c r="K726" s="10"/>
      <c r="L726" s="10"/>
    </row>
    <row r="727" spans="1:12" s="2" customFormat="1" ht="13.2" x14ac:dyDescent="0.25">
      <c r="A727" s="10"/>
      <c r="B727" s="10"/>
      <c r="D727" s="10"/>
      <c r="F727" s="10"/>
      <c r="G727" s="10"/>
      <c r="H727" s="10"/>
      <c r="I727" s="10"/>
      <c r="J727" s="10"/>
      <c r="K727" s="10"/>
      <c r="L727" s="10"/>
    </row>
    <row r="728" spans="1:12" s="2" customFormat="1" ht="13.2" x14ac:dyDescent="0.25">
      <c r="A728" s="10"/>
      <c r="B728" s="10"/>
      <c r="D728" s="10"/>
      <c r="F728" s="10"/>
      <c r="G728" s="10"/>
      <c r="H728" s="10"/>
      <c r="I728" s="10"/>
      <c r="J728" s="10"/>
      <c r="K728" s="10"/>
      <c r="L728" s="10"/>
    </row>
    <row r="729" spans="1:12" s="2" customFormat="1" ht="13.2" x14ac:dyDescent="0.25">
      <c r="A729" s="10"/>
      <c r="B729" s="10"/>
      <c r="D729" s="10"/>
      <c r="F729" s="10"/>
      <c r="G729" s="10"/>
      <c r="H729" s="10"/>
      <c r="I729" s="10"/>
      <c r="J729" s="10"/>
      <c r="K729" s="10"/>
      <c r="L729" s="10"/>
    </row>
    <row r="730" spans="1:12" s="2" customFormat="1" ht="13.2" x14ac:dyDescent="0.25">
      <c r="A730" s="10"/>
      <c r="B730" s="10"/>
      <c r="D730" s="10"/>
      <c r="F730" s="10"/>
      <c r="G730" s="10"/>
      <c r="H730" s="10"/>
      <c r="I730" s="10"/>
      <c r="J730" s="10"/>
      <c r="K730" s="10"/>
      <c r="L730" s="10"/>
    </row>
    <row r="731" spans="1:12" s="2" customFormat="1" ht="13.2" x14ac:dyDescent="0.25">
      <c r="A731" s="10"/>
      <c r="B731" s="10"/>
      <c r="D731" s="10"/>
      <c r="F731" s="10"/>
      <c r="G731" s="10"/>
      <c r="H731" s="10"/>
      <c r="I731" s="10"/>
      <c r="J731" s="10"/>
      <c r="K731" s="10"/>
      <c r="L731" s="10"/>
    </row>
    <row r="732" spans="1:12" s="2" customFormat="1" ht="13.2" x14ac:dyDescent="0.25">
      <c r="A732" s="10"/>
      <c r="B732" s="10"/>
      <c r="D732" s="10"/>
      <c r="F732" s="10"/>
      <c r="G732" s="10"/>
      <c r="H732" s="10"/>
      <c r="I732" s="10"/>
      <c r="J732" s="10"/>
      <c r="K732" s="10"/>
      <c r="L732" s="10"/>
    </row>
    <row r="733" spans="1:12" s="2" customFormat="1" ht="13.2" x14ac:dyDescent="0.25">
      <c r="A733" s="10"/>
      <c r="B733" s="10"/>
      <c r="D733" s="10"/>
      <c r="F733" s="10"/>
      <c r="G733" s="10"/>
      <c r="H733" s="10"/>
      <c r="I733" s="10"/>
      <c r="J733" s="10"/>
      <c r="K733" s="10"/>
      <c r="L733" s="10"/>
    </row>
    <row r="734" spans="1:12" s="2" customFormat="1" ht="13.2" x14ac:dyDescent="0.25">
      <c r="A734" s="10"/>
      <c r="B734" s="10"/>
      <c r="D734" s="10"/>
      <c r="F734" s="10"/>
      <c r="G734" s="10"/>
      <c r="H734" s="10"/>
      <c r="I734" s="10"/>
      <c r="J734" s="10"/>
      <c r="K734" s="10"/>
      <c r="L734" s="10"/>
    </row>
    <row r="735" spans="1:12" s="2" customFormat="1" ht="13.2" x14ac:dyDescent="0.25">
      <c r="A735" s="10"/>
      <c r="B735" s="10"/>
      <c r="D735" s="10"/>
      <c r="F735" s="10"/>
      <c r="G735" s="10"/>
      <c r="H735" s="10"/>
      <c r="I735" s="10"/>
      <c r="J735" s="10"/>
      <c r="K735" s="10"/>
      <c r="L735" s="10"/>
    </row>
    <row r="736" spans="1:12" s="2" customFormat="1" ht="13.2" x14ac:dyDescent="0.25">
      <c r="A736" s="10"/>
      <c r="B736" s="10"/>
      <c r="D736" s="10"/>
      <c r="F736" s="10"/>
      <c r="G736" s="10"/>
      <c r="H736" s="10"/>
      <c r="I736" s="10"/>
      <c r="J736" s="10"/>
      <c r="K736" s="10"/>
      <c r="L736" s="10"/>
    </row>
    <row r="737" spans="1:12" s="2" customFormat="1" ht="13.2" x14ac:dyDescent="0.25">
      <c r="A737" s="10"/>
      <c r="B737" s="10"/>
      <c r="D737" s="10"/>
      <c r="F737" s="10"/>
      <c r="G737" s="10"/>
      <c r="H737" s="10"/>
      <c r="I737" s="10"/>
      <c r="J737" s="10"/>
      <c r="K737" s="10"/>
      <c r="L737" s="10"/>
    </row>
    <row r="738" spans="1:12" s="2" customFormat="1" ht="13.2" x14ac:dyDescent="0.25">
      <c r="A738" s="10"/>
      <c r="B738" s="10"/>
      <c r="D738" s="10"/>
      <c r="F738" s="10"/>
      <c r="G738" s="10"/>
      <c r="H738" s="10"/>
      <c r="I738" s="10"/>
      <c r="J738" s="10"/>
      <c r="K738" s="10"/>
      <c r="L738" s="10"/>
    </row>
    <row r="739" spans="1:12" s="2" customFormat="1" ht="13.2" x14ac:dyDescent="0.25">
      <c r="A739" s="10"/>
      <c r="B739" s="10"/>
      <c r="D739" s="10"/>
      <c r="F739" s="10"/>
      <c r="G739" s="10"/>
      <c r="H739" s="10"/>
      <c r="I739" s="10"/>
      <c r="J739" s="10"/>
      <c r="K739" s="10"/>
      <c r="L739" s="10"/>
    </row>
    <row r="740" spans="1:12" s="2" customFormat="1" ht="13.2" x14ac:dyDescent="0.25">
      <c r="A740" s="10"/>
      <c r="B740" s="10"/>
      <c r="D740" s="10"/>
      <c r="F740" s="10"/>
      <c r="G740" s="10"/>
      <c r="H740" s="10"/>
      <c r="I740" s="10"/>
      <c r="J740" s="10"/>
      <c r="K740" s="10"/>
      <c r="L740" s="10"/>
    </row>
    <row r="741" spans="1:12" s="2" customFormat="1" ht="13.2" x14ac:dyDescent="0.25">
      <c r="A741" s="10"/>
      <c r="B741" s="10"/>
      <c r="D741" s="10"/>
      <c r="F741" s="10"/>
      <c r="G741" s="10"/>
      <c r="H741" s="10"/>
      <c r="I741" s="10"/>
      <c r="J741" s="10"/>
      <c r="K741" s="10"/>
      <c r="L741" s="10"/>
    </row>
    <row r="742" spans="1:12" s="2" customFormat="1" ht="13.2" x14ac:dyDescent="0.25">
      <c r="A742" s="10"/>
      <c r="B742" s="10"/>
      <c r="D742" s="10"/>
      <c r="F742" s="10"/>
      <c r="G742" s="10"/>
      <c r="H742" s="10"/>
      <c r="I742" s="10"/>
      <c r="J742" s="10"/>
      <c r="K742" s="10"/>
      <c r="L742" s="10"/>
    </row>
    <row r="743" spans="1:12" s="2" customFormat="1" ht="13.2" x14ac:dyDescent="0.25">
      <c r="A743" s="10"/>
      <c r="B743" s="10"/>
      <c r="D743" s="10"/>
      <c r="F743" s="10"/>
      <c r="G743" s="10"/>
      <c r="H743" s="10"/>
      <c r="I743" s="10"/>
      <c r="J743" s="10"/>
      <c r="K743" s="10"/>
      <c r="L743" s="10"/>
    </row>
    <row r="744" spans="1:12" s="2" customFormat="1" ht="13.2" x14ac:dyDescent="0.25">
      <c r="A744" s="10"/>
      <c r="B744" s="10"/>
      <c r="D744" s="10"/>
      <c r="F744" s="10"/>
      <c r="G744" s="10"/>
      <c r="H744" s="10"/>
      <c r="I744" s="10"/>
      <c r="J744" s="10"/>
      <c r="K744" s="10"/>
      <c r="L744" s="10"/>
    </row>
    <row r="745" spans="1:12" s="2" customFormat="1" ht="13.2" x14ac:dyDescent="0.25">
      <c r="A745" s="10"/>
      <c r="B745" s="10"/>
      <c r="D745" s="10"/>
      <c r="F745" s="10"/>
      <c r="G745" s="10"/>
      <c r="H745" s="10"/>
      <c r="I745" s="10"/>
      <c r="J745" s="10"/>
      <c r="K745" s="10"/>
      <c r="L745" s="10"/>
    </row>
    <row r="746" spans="1:12" s="2" customFormat="1" ht="13.2" x14ac:dyDescent="0.25">
      <c r="A746" s="10"/>
      <c r="B746" s="10"/>
      <c r="D746" s="10"/>
      <c r="F746" s="10"/>
      <c r="G746" s="10"/>
      <c r="H746" s="10"/>
      <c r="I746" s="10"/>
      <c r="J746" s="10"/>
      <c r="K746" s="10"/>
      <c r="L746" s="10"/>
    </row>
    <row r="747" spans="1:12" s="2" customFormat="1" ht="13.2" x14ac:dyDescent="0.25">
      <c r="A747" s="10"/>
      <c r="B747" s="10"/>
      <c r="D747" s="10"/>
      <c r="F747" s="10"/>
      <c r="G747" s="10"/>
      <c r="H747" s="10"/>
      <c r="I747" s="10"/>
      <c r="J747" s="10"/>
      <c r="K747" s="10"/>
      <c r="L747" s="10"/>
    </row>
    <row r="748" spans="1:12" s="2" customFormat="1" ht="13.2" x14ac:dyDescent="0.25">
      <c r="A748" s="10"/>
      <c r="B748" s="10"/>
      <c r="D748" s="10"/>
      <c r="F748" s="10"/>
      <c r="G748" s="10"/>
      <c r="H748" s="10"/>
      <c r="I748" s="10"/>
      <c r="J748" s="10"/>
      <c r="K748" s="10"/>
      <c r="L748" s="10"/>
    </row>
    <row r="749" spans="1:12" s="2" customFormat="1" ht="13.2" x14ac:dyDescent="0.25">
      <c r="A749" s="10"/>
      <c r="B749" s="10"/>
      <c r="D749" s="10"/>
      <c r="F749" s="10"/>
      <c r="G749" s="10"/>
      <c r="H749" s="10"/>
      <c r="I749" s="10"/>
      <c r="J749" s="10"/>
      <c r="K749" s="10"/>
      <c r="L749" s="10"/>
    </row>
    <row r="750" spans="1:12" s="2" customFormat="1" ht="13.2" x14ac:dyDescent="0.25">
      <c r="A750" s="10"/>
      <c r="B750" s="10"/>
      <c r="D750" s="10"/>
      <c r="F750" s="10"/>
      <c r="G750" s="10"/>
      <c r="H750" s="10"/>
      <c r="I750" s="10"/>
      <c r="J750" s="10"/>
      <c r="K750" s="10"/>
      <c r="L750" s="10"/>
    </row>
    <row r="751" spans="1:12" s="2" customFormat="1" ht="13.2" x14ac:dyDescent="0.25">
      <c r="A751" s="10"/>
      <c r="B751" s="10"/>
      <c r="D751" s="10"/>
      <c r="F751" s="10"/>
      <c r="G751" s="10"/>
      <c r="H751" s="10"/>
      <c r="I751" s="10"/>
      <c r="J751" s="10"/>
      <c r="K751" s="10"/>
      <c r="L751" s="10"/>
    </row>
    <row r="752" spans="1:12" s="2" customFormat="1" ht="13.2" x14ac:dyDescent="0.25">
      <c r="A752" s="10"/>
      <c r="B752" s="10"/>
      <c r="D752" s="10"/>
      <c r="F752" s="10"/>
      <c r="G752" s="10"/>
      <c r="H752" s="10"/>
      <c r="I752" s="10"/>
      <c r="J752" s="10"/>
      <c r="K752" s="10"/>
      <c r="L752" s="10"/>
    </row>
    <row r="753" spans="1:12" s="2" customFormat="1" ht="13.2" x14ac:dyDescent="0.25">
      <c r="A753" s="10"/>
      <c r="B753" s="10"/>
      <c r="D753" s="10"/>
      <c r="F753" s="10"/>
      <c r="G753" s="10"/>
      <c r="H753" s="10"/>
      <c r="I753" s="10"/>
      <c r="J753" s="10"/>
      <c r="K753" s="10"/>
      <c r="L753" s="10"/>
    </row>
    <row r="754" spans="1:12" s="2" customFormat="1" ht="13.2" x14ac:dyDescent="0.25">
      <c r="A754" s="10"/>
      <c r="B754" s="10"/>
      <c r="D754" s="10"/>
      <c r="F754" s="10"/>
      <c r="G754" s="10"/>
      <c r="H754" s="10"/>
      <c r="I754" s="10"/>
      <c r="J754" s="10"/>
      <c r="K754" s="10"/>
      <c r="L754" s="10"/>
    </row>
    <row r="755" spans="1:12" s="2" customFormat="1" ht="13.2" x14ac:dyDescent="0.25">
      <c r="A755" s="10"/>
      <c r="B755" s="10"/>
      <c r="D755" s="10"/>
      <c r="F755" s="10"/>
      <c r="G755" s="10"/>
      <c r="H755" s="10"/>
      <c r="I755" s="10"/>
      <c r="J755" s="10"/>
      <c r="K755" s="10"/>
      <c r="L755" s="10"/>
    </row>
    <row r="756" spans="1:12" s="2" customFormat="1" ht="13.2" x14ac:dyDescent="0.25">
      <c r="A756" s="10"/>
      <c r="B756" s="10"/>
      <c r="D756" s="10"/>
      <c r="F756" s="10"/>
      <c r="G756" s="10"/>
      <c r="H756" s="10"/>
      <c r="I756" s="10"/>
      <c r="J756" s="10"/>
      <c r="K756" s="10"/>
      <c r="L756" s="10"/>
    </row>
    <row r="757" spans="1:12" s="2" customFormat="1" ht="13.2" x14ac:dyDescent="0.25">
      <c r="A757" s="10"/>
      <c r="B757" s="10"/>
      <c r="D757" s="10"/>
      <c r="F757" s="10"/>
      <c r="G757" s="10"/>
      <c r="H757" s="10"/>
      <c r="I757" s="10"/>
      <c r="J757" s="10"/>
      <c r="K757" s="10"/>
      <c r="L757" s="10"/>
    </row>
    <row r="758" spans="1:12" s="2" customFormat="1" ht="13.2" x14ac:dyDescent="0.25">
      <c r="A758" s="10"/>
      <c r="B758" s="10"/>
      <c r="D758" s="10"/>
      <c r="F758" s="10"/>
      <c r="G758" s="10"/>
      <c r="H758" s="10"/>
      <c r="I758" s="10"/>
      <c r="J758" s="10"/>
      <c r="K758" s="10"/>
      <c r="L758" s="10"/>
    </row>
    <row r="759" spans="1:12" s="2" customFormat="1" ht="13.2" x14ac:dyDescent="0.25">
      <c r="A759" s="10"/>
      <c r="B759" s="10"/>
      <c r="D759" s="10"/>
      <c r="F759" s="10"/>
      <c r="G759" s="10"/>
      <c r="H759" s="10"/>
      <c r="I759" s="10"/>
      <c r="J759" s="10"/>
      <c r="K759" s="10"/>
      <c r="L759" s="10"/>
    </row>
    <row r="760" spans="1:12" s="2" customFormat="1" ht="13.2" x14ac:dyDescent="0.25">
      <c r="A760" s="10"/>
      <c r="B760" s="10"/>
      <c r="D760" s="10"/>
      <c r="F760" s="10"/>
      <c r="G760" s="10"/>
      <c r="H760" s="10"/>
      <c r="I760" s="10"/>
      <c r="J760" s="10"/>
      <c r="K760" s="10"/>
      <c r="L760" s="10"/>
    </row>
    <row r="761" spans="1:12" s="2" customFormat="1" ht="13.2" x14ac:dyDescent="0.25">
      <c r="A761" s="10"/>
      <c r="B761" s="10"/>
      <c r="D761" s="10"/>
      <c r="F761" s="10"/>
      <c r="G761" s="10"/>
      <c r="H761" s="10"/>
      <c r="I761" s="10"/>
      <c r="J761" s="10"/>
      <c r="K761" s="10"/>
      <c r="L761" s="10"/>
    </row>
    <row r="762" spans="1:12" s="2" customFormat="1" ht="13.2" x14ac:dyDescent="0.25">
      <c r="A762" s="10"/>
      <c r="B762" s="10"/>
      <c r="D762" s="10"/>
      <c r="F762" s="10"/>
      <c r="G762" s="10"/>
      <c r="H762" s="10"/>
      <c r="I762" s="10"/>
      <c r="J762" s="10"/>
      <c r="K762" s="10"/>
      <c r="L762" s="10"/>
    </row>
    <row r="763" spans="1:12" s="2" customFormat="1" ht="13.2" x14ac:dyDescent="0.25">
      <c r="A763" s="10"/>
      <c r="B763" s="10"/>
      <c r="D763" s="10"/>
      <c r="F763" s="10"/>
      <c r="G763" s="10"/>
      <c r="H763" s="10"/>
      <c r="I763" s="10"/>
      <c r="J763" s="10"/>
      <c r="K763" s="10"/>
      <c r="L763" s="10"/>
    </row>
    <row r="764" spans="1:12" s="2" customFormat="1" ht="13.2" x14ac:dyDescent="0.25">
      <c r="A764" s="10"/>
      <c r="B764" s="10"/>
      <c r="D764" s="10"/>
      <c r="F764" s="10"/>
      <c r="G764" s="10"/>
      <c r="H764" s="10"/>
      <c r="I764" s="10"/>
      <c r="J764" s="10"/>
      <c r="K764" s="10"/>
      <c r="L764" s="10"/>
    </row>
    <row r="765" spans="1:12" s="2" customFormat="1" ht="13.2" x14ac:dyDescent="0.25">
      <c r="A765" s="10"/>
      <c r="B765" s="10"/>
      <c r="D765" s="10"/>
      <c r="F765" s="10"/>
      <c r="G765" s="10"/>
      <c r="H765" s="10"/>
      <c r="I765" s="10"/>
      <c r="J765" s="10"/>
      <c r="K765" s="10"/>
      <c r="L765" s="10"/>
    </row>
    <row r="766" spans="1:12" s="2" customFormat="1" ht="13.2" x14ac:dyDescent="0.25">
      <c r="A766" s="10"/>
      <c r="B766" s="10"/>
      <c r="D766" s="10"/>
      <c r="F766" s="10"/>
      <c r="G766" s="10"/>
      <c r="H766" s="10"/>
      <c r="I766" s="10"/>
      <c r="J766" s="10"/>
      <c r="K766" s="10"/>
      <c r="L766" s="10"/>
    </row>
    <row r="767" spans="1:12" s="2" customFormat="1" ht="13.2" x14ac:dyDescent="0.25">
      <c r="A767" s="10"/>
      <c r="B767" s="10"/>
      <c r="D767" s="10"/>
      <c r="F767" s="10"/>
      <c r="G767" s="10"/>
      <c r="H767" s="10"/>
      <c r="I767" s="10"/>
      <c r="J767" s="10"/>
      <c r="K767" s="10"/>
      <c r="L767" s="10"/>
    </row>
    <row r="768" spans="1:12" s="2" customFormat="1" ht="13.2" x14ac:dyDescent="0.25">
      <c r="A768" s="10"/>
      <c r="B768" s="10"/>
      <c r="D768" s="10"/>
      <c r="F768" s="10"/>
      <c r="G768" s="10"/>
      <c r="H768" s="10"/>
      <c r="I768" s="10"/>
      <c r="J768" s="10"/>
      <c r="K768" s="10"/>
      <c r="L768" s="10"/>
    </row>
    <row r="769" spans="1:12" s="2" customFormat="1" ht="13.2" x14ac:dyDescent="0.25">
      <c r="A769" s="10"/>
      <c r="B769" s="10"/>
      <c r="D769" s="10"/>
      <c r="F769" s="10"/>
      <c r="G769" s="10"/>
      <c r="H769" s="10"/>
      <c r="I769" s="10"/>
      <c r="J769" s="10"/>
      <c r="K769" s="10"/>
      <c r="L769" s="10"/>
    </row>
    <row r="770" spans="1:12" s="2" customFormat="1" ht="13.2" x14ac:dyDescent="0.25">
      <c r="A770" s="10"/>
      <c r="B770" s="10"/>
      <c r="D770" s="10"/>
      <c r="F770" s="10"/>
      <c r="G770" s="10"/>
      <c r="H770" s="10"/>
      <c r="I770" s="10"/>
      <c r="J770" s="10"/>
      <c r="K770" s="10"/>
      <c r="L770" s="10"/>
    </row>
    <row r="771" spans="1:12" s="2" customFormat="1" ht="13.2" x14ac:dyDescent="0.25">
      <c r="A771" s="10"/>
      <c r="B771" s="10"/>
      <c r="D771" s="10"/>
      <c r="F771" s="10"/>
      <c r="G771" s="10"/>
      <c r="H771" s="10"/>
      <c r="I771" s="10"/>
      <c r="J771" s="10"/>
      <c r="K771" s="10"/>
      <c r="L771" s="10"/>
    </row>
    <row r="772" spans="1:12" s="2" customFormat="1" ht="13.2" x14ac:dyDescent="0.25">
      <c r="A772" s="10"/>
      <c r="B772" s="10"/>
      <c r="D772" s="10"/>
      <c r="F772" s="10"/>
      <c r="G772" s="10"/>
      <c r="H772" s="10"/>
      <c r="I772" s="10"/>
      <c r="J772" s="10"/>
      <c r="K772" s="10"/>
      <c r="L772" s="10"/>
    </row>
    <row r="773" spans="1:12" s="2" customFormat="1" ht="13.2" x14ac:dyDescent="0.25">
      <c r="A773" s="10"/>
      <c r="B773" s="10"/>
      <c r="D773" s="10"/>
      <c r="F773" s="10"/>
      <c r="G773" s="10"/>
      <c r="H773" s="10"/>
      <c r="I773" s="10"/>
      <c r="J773" s="10"/>
      <c r="K773" s="10"/>
      <c r="L773" s="10"/>
    </row>
    <row r="774" spans="1:12" s="2" customFormat="1" ht="13.2" x14ac:dyDescent="0.25">
      <c r="A774" s="10"/>
      <c r="B774" s="10"/>
      <c r="D774" s="10"/>
      <c r="F774" s="10"/>
      <c r="G774" s="10"/>
      <c r="H774" s="10"/>
      <c r="I774" s="10"/>
      <c r="J774" s="10"/>
      <c r="K774" s="10"/>
      <c r="L774" s="10"/>
    </row>
    <row r="775" spans="1:12" s="2" customFormat="1" ht="13.2" x14ac:dyDescent="0.25">
      <c r="A775" s="10"/>
      <c r="B775" s="10"/>
      <c r="D775" s="10"/>
      <c r="F775" s="10"/>
      <c r="G775" s="10"/>
      <c r="H775" s="10"/>
      <c r="I775" s="10"/>
      <c r="J775" s="10"/>
      <c r="K775" s="10"/>
      <c r="L775" s="10"/>
    </row>
    <row r="776" spans="1:12" s="2" customFormat="1" ht="13.2" x14ac:dyDescent="0.25">
      <c r="A776" s="10"/>
      <c r="B776" s="10"/>
      <c r="D776" s="10"/>
      <c r="F776" s="10"/>
      <c r="G776" s="10"/>
      <c r="H776" s="10"/>
      <c r="I776" s="10"/>
      <c r="J776" s="10"/>
      <c r="K776" s="10"/>
      <c r="L776" s="10"/>
    </row>
    <row r="777" spans="1:12" s="2" customFormat="1" ht="13.2" x14ac:dyDescent="0.25">
      <c r="A777" s="10"/>
      <c r="B777" s="10"/>
      <c r="D777" s="10"/>
      <c r="F777" s="10"/>
      <c r="G777" s="10"/>
      <c r="H777" s="10"/>
      <c r="I777" s="10"/>
      <c r="J777" s="10"/>
      <c r="K777" s="10"/>
      <c r="L777" s="10"/>
    </row>
    <row r="778" spans="1:12" s="2" customFormat="1" ht="13.2" x14ac:dyDescent="0.25">
      <c r="A778" s="10"/>
      <c r="B778" s="10"/>
      <c r="D778" s="10"/>
      <c r="F778" s="10"/>
      <c r="G778" s="10"/>
      <c r="H778" s="10"/>
      <c r="I778" s="10"/>
      <c r="J778" s="10"/>
      <c r="K778" s="10"/>
      <c r="L778" s="10"/>
    </row>
    <row r="779" spans="1:12" s="2" customFormat="1" ht="13.2" x14ac:dyDescent="0.25">
      <c r="A779" s="10"/>
      <c r="B779" s="10"/>
      <c r="D779" s="10"/>
      <c r="F779" s="10"/>
      <c r="G779" s="10"/>
      <c r="H779" s="10"/>
      <c r="I779" s="10"/>
      <c r="J779" s="10"/>
      <c r="K779" s="10"/>
      <c r="L779" s="10"/>
    </row>
    <row r="780" spans="1:12" s="2" customFormat="1" ht="13.2" x14ac:dyDescent="0.25">
      <c r="A780" s="10"/>
      <c r="B780" s="10"/>
      <c r="D780" s="10"/>
      <c r="F780" s="10"/>
      <c r="G780" s="10"/>
      <c r="H780" s="10"/>
      <c r="I780" s="10"/>
      <c r="J780" s="10"/>
      <c r="K780" s="10"/>
      <c r="L780" s="10"/>
    </row>
    <row r="781" spans="1:12" s="2" customFormat="1" ht="13.2" x14ac:dyDescent="0.25">
      <c r="A781" s="10"/>
      <c r="B781" s="10"/>
      <c r="D781" s="10"/>
      <c r="F781" s="10"/>
      <c r="G781" s="10"/>
      <c r="H781" s="10"/>
      <c r="I781" s="10"/>
      <c r="J781" s="10"/>
      <c r="K781" s="10"/>
      <c r="L781" s="10"/>
    </row>
    <row r="782" spans="1:12" s="2" customFormat="1" ht="13.2" x14ac:dyDescent="0.25">
      <c r="A782" s="10"/>
      <c r="B782" s="10"/>
      <c r="D782" s="10"/>
      <c r="F782" s="10"/>
      <c r="G782" s="10"/>
      <c r="H782" s="10"/>
      <c r="I782" s="10"/>
      <c r="J782" s="10"/>
      <c r="K782" s="10"/>
      <c r="L782" s="10"/>
    </row>
    <row r="783" spans="1:12" s="2" customFormat="1" ht="13.2" x14ac:dyDescent="0.25">
      <c r="A783" s="10"/>
      <c r="B783" s="10"/>
      <c r="D783" s="10"/>
      <c r="F783" s="10"/>
      <c r="G783" s="10"/>
      <c r="H783" s="10"/>
      <c r="I783" s="10"/>
      <c r="J783" s="10"/>
      <c r="K783" s="10"/>
      <c r="L783" s="10"/>
    </row>
    <row r="784" spans="1:12" s="2" customFormat="1" ht="13.2" x14ac:dyDescent="0.25">
      <c r="A784" s="10"/>
      <c r="B784" s="10"/>
      <c r="D784" s="10"/>
      <c r="F784" s="10"/>
      <c r="G784" s="10"/>
      <c r="H784" s="10"/>
      <c r="I784" s="10"/>
      <c r="J784" s="10"/>
      <c r="K784" s="10"/>
      <c r="L784" s="10"/>
    </row>
    <row r="785" spans="1:12" s="2" customFormat="1" ht="13.2" x14ac:dyDescent="0.25">
      <c r="A785" s="10"/>
      <c r="B785" s="10"/>
      <c r="D785" s="10"/>
      <c r="F785" s="10"/>
      <c r="G785" s="10"/>
      <c r="H785" s="10"/>
      <c r="I785" s="10"/>
      <c r="J785" s="10"/>
      <c r="K785" s="10"/>
      <c r="L785" s="10"/>
    </row>
    <row r="786" spans="1:12" s="2" customFormat="1" ht="13.2" x14ac:dyDescent="0.25">
      <c r="A786" s="10"/>
      <c r="B786" s="10"/>
      <c r="D786" s="10"/>
      <c r="F786" s="10"/>
      <c r="G786" s="10"/>
      <c r="H786" s="10"/>
      <c r="I786" s="10"/>
      <c r="J786" s="10"/>
      <c r="K786" s="10"/>
      <c r="L786" s="10"/>
    </row>
    <row r="787" spans="1:12" s="2" customFormat="1" ht="13.2" x14ac:dyDescent="0.25">
      <c r="A787" s="10"/>
      <c r="B787" s="10"/>
      <c r="D787" s="10"/>
      <c r="F787" s="10"/>
      <c r="G787" s="10"/>
      <c r="H787" s="10"/>
      <c r="I787" s="10"/>
      <c r="J787" s="10"/>
      <c r="K787" s="10"/>
      <c r="L787" s="10"/>
    </row>
    <row r="788" spans="1:12" s="2" customFormat="1" ht="13.2" x14ac:dyDescent="0.25">
      <c r="A788" s="10"/>
      <c r="B788" s="10"/>
      <c r="D788" s="10"/>
      <c r="F788" s="10"/>
      <c r="G788" s="10"/>
      <c r="H788" s="10"/>
      <c r="I788" s="10"/>
      <c r="J788" s="10"/>
      <c r="K788" s="10"/>
      <c r="L788" s="10"/>
    </row>
    <row r="789" spans="1:12" s="2" customFormat="1" ht="13.2" x14ac:dyDescent="0.25">
      <c r="A789" s="10"/>
      <c r="B789" s="10"/>
      <c r="D789" s="10"/>
      <c r="F789" s="10"/>
      <c r="G789" s="10"/>
      <c r="H789" s="10"/>
      <c r="I789" s="10"/>
      <c r="J789" s="10"/>
      <c r="K789" s="10"/>
      <c r="L789" s="10"/>
    </row>
    <row r="790" spans="1:12" s="2" customFormat="1" ht="13.2" x14ac:dyDescent="0.25">
      <c r="A790" s="10"/>
      <c r="B790" s="10"/>
      <c r="D790" s="10"/>
      <c r="F790" s="10"/>
      <c r="G790" s="10"/>
      <c r="H790" s="10"/>
      <c r="I790" s="10"/>
      <c r="J790" s="10"/>
      <c r="K790" s="10"/>
      <c r="L790" s="10"/>
    </row>
    <row r="791" spans="1:12" s="2" customFormat="1" ht="13.2" x14ac:dyDescent="0.25">
      <c r="A791" s="10"/>
      <c r="B791" s="10"/>
      <c r="D791" s="10"/>
      <c r="F791" s="10"/>
      <c r="G791" s="10"/>
      <c r="H791" s="10"/>
      <c r="I791" s="10"/>
      <c r="J791" s="10"/>
      <c r="K791" s="10"/>
      <c r="L791" s="10"/>
    </row>
    <row r="792" spans="1:12" s="2" customFormat="1" ht="13.2" x14ac:dyDescent="0.25">
      <c r="A792" s="10"/>
      <c r="B792" s="10"/>
      <c r="D792" s="10"/>
      <c r="F792" s="10"/>
      <c r="G792" s="10"/>
      <c r="H792" s="10"/>
      <c r="I792" s="10"/>
      <c r="J792" s="10"/>
      <c r="K792" s="10"/>
      <c r="L792" s="10"/>
    </row>
    <row r="793" spans="1:12" s="2" customFormat="1" ht="13.2" x14ac:dyDescent="0.25">
      <c r="A793" s="10"/>
      <c r="B793" s="10"/>
      <c r="D793" s="10"/>
      <c r="F793" s="10"/>
      <c r="G793" s="10"/>
      <c r="H793" s="10"/>
      <c r="I793" s="10"/>
      <c r="J793" s="10"/>
      <c r="K793" s="10"/>
      <c r="L793" s="10"/>
    </row>
    <row r="794" spans="1:12" s="2" customFormat="1" ht="13.2" x14ac:dyDescent="0.25">
      <c r="A794" s="10"/>
      <c r="B794" s="10"/>
      <c r="D794" s="10"/>
      <c r="F794" s="10"/>
      <c r="G794" s="10"/>
      <c r="H794" s="10"/>
      <c r="I794" s="10"/>
      <c r="J794" s="10"/>
      <c r="K794" s="10"/>
      <c r="L794" s="10"/>
    </row>
    <row r="795" spans="1:12" s="2" customFormat="1" ht="13.2" x14ac:dyDescent="0.25">
      <c r="A795" s="10"/>
      <c r="B795" s="10"/>
      <c r="D795" s="10"/>
      <c r="F795" s="10"/>
      <c r="G795" s="10"/>
      <c r="H795" s="10"/>
      <c r="I795" s="10"/>
      <c r="J795" s="10"/>
      <c r="K795" s="10"/>
      <c r="L795" s="10"/>
    </row>
    <row r="796" spans="1:12" s="2" customFormat="1" ht="13.2" x14ac:dyDescent="0.25">
      <c r="A796" s="10"/>
      <c r="B796" s="10"/>
      <c r="D796" s="10"/>
      <c r="F796" s="10"/>
      <c r="G796" s="10"/>
      <c r="H796" s="10"/>
      <c r="I796" s="10"/>
      <c r="J796" s="10"/>
      <c r="K796" s="10"/>
      <c r="L796" s="10"/>
    </row>
    <row r="797" spans="1:12" s="2" customFormat="1" ht="13.2" x14ac:dyDescent="0.25">
      <c r="A797" s="10"/>
      <c r="B797" s="10"/>
      <c r="D797" s="10"/>
      <c r="F797" s="10"/>
      <c r="G797" s="10"/>
      <c r="H797" s="10"/>
      <c r="I797" s="10"/>
      <c r="J797" s="10"/>
      <c r="K797" s="10"/>
      <c r="L797" s="10"/>
    </row>
    <row r="798" spans="1:12" s="2" customFormat="1" ht="13.2" x14ac:dyDescent="0.25">
      <c r="A798" s="10"/>
      <c r="B798" s="10"/>
      <c r="D798" s="10"/>
      <c r="F798" s="10"/>
      <c r="G798" s="10"/>
      <c r="H798" s="10"/>
      <c r="I798" s="10"/>
      <c r="J798" s="10"/>
      <c r="K798" s="10"/>
      <c r="L798" s="10"/>
    </row>
    <row r="799" spans="1:12" s="2" customFormat="1" ht="13.2" x14ac:dyDescent="0.25">
      <c r="A799" s="10"/>
      <c r="B799" s="10"/>
      <c r="D799" s="10"/>
      <c r="F799" s="10"/>
      <c r="G799" s="10"/>
      <c r="H799" s="10"/>
      <c r="I799" s="10"/>
      <c r="J799" s="10"/>
      <c r="K799" s="10"/>
      <c r="L799" s="10"/>
    </row>
    <row r="800" spans="1:12" s="2" customFormat="1" ht="13.2" x14ac:dyDescent="0.25">
      <c r="A800" s="10"/>
      <c r="B800" s="10"/>
      <c r="D800" s="10"/>
      <c r="F800" s="10"/>
      <c r="G800" s="10"/>
      <c r="H800" s="10"/>
      <c r="I800" s="10"/>
      <c r="J800" s="10"/>
      <c r="K800" s="10"/>
      <c r="L800" s="10"/>
    </row>
    <row r="801" spans="1:12" s="2" customFormat="1" ht="13.2" x14ac:dyDescent="0.25">
      <c r="A801" s="10"/>
      <c r="B801" s="10"/>
      <c r="D801" s="10"/>
      <c r="F801" s="10"/>
      <c r="G801" s="10"/>
      <c r="H801" s="10"/>
      <c r="I801" s="10"/>
      <c r="J801" s="10"/>
      <c r="K801" s="10"/>
      <c r="L801" s="10"/>
    </row>
    <row r="802" spans="1:12" s="2" customFormat="1" ht="13.2" x14ac:dyDescent="0.25">
      <c r="A802" s="10"/>
      <c r="B802" s="10"/>
      <c r="D802" s="10"/>
      <c r="F802" s="10"/>
      <c r="G802" s="10"/>
      <c r="H802" s="10"/>
      <c r="I802" s="10"/>
      <c r="J802" s="10"/>
      <c r="K802" s="10"/>
      <c r="L802" s="10"/>
    </row>
    <row r="803" spans="1:12" s="2" customFormat="1" ht="13.2" x14ac:dyDescent="0.25">
      <c r="A803" s="10"/>
      <c r="B803" s="10"/>
      <c r="D803" s="10"/>
      <c r="F803" s="10"/>
      <c r="G803" s="10"/>
      <c r="H803" s="10"/>
      <c r="I803" s="10"/>
      <c r="J803" s="10"/>
      <c r="K803" s="10"/>
      <c r="L803" s="10"/>
    </row>
    <row r="804" spans="1:12" s="2" customFormat="1" ht="13.2" x14ac:dyDescent="0.25">
      <c r="A804" s="10"/>
      <c r="B804" s="10"/>
      <c r="D804" s="10"/>
      <c r="F804" s="10"/>
      <c r="G804" s="10"/>
      <c r="H804" s="10"/>
      <c r="I804" s="10"/>
      <c r="J804" s="10"/>
      <c r="K804" s="10"/>
      <c r="L804" s="10"/>
    </row>
    <row r="805" spans="1:12" s="2" customFormat="1" ht="13.2" x14ac:dyDescent="0.25">
      <c r="A805" s="10"/>
      <c r="B805" s="10"/>
      <c r="D805" s="10"/>
      <c r="F805" s="10"/>
      <c r="G805" s="10"/>
      <c r="H805" s="10"/>
      <c r="I805" s="10"/>
      <c r="J805" s="10"/>
      <c r="K805" s="10"/>
      <c r="L805" s="10"/>
    </row>
    <row r="806" spans="1:12" s="2" customFormat="1" ht="13.2" x14ac:dyDescent="0.25">
      <c r="A806" s="10"/>
      <c r="B806" s="10"/>
      <c r="D806" s="10"/>
      <c r="F806" s="10"/>
      <c r="G806" s="10"/>
      <c r="H806" s="10"/>
      <c r="I806" s="10"/>
      <c r="J806" s="10"/>
      <c r="K806" s="10"/>
      <c r="L806" s="10"/>
    </row>
    <row r="807" spans="1:12" s="2" customFormat="1" ht="13.2" x14ac:dyDescent="0.25">
      <c r="A807" s="10"/>
      <c r="B807" s="10"/>
      <c r="D807" s="10"/>
      <c r="F807" s="10"/>
      <c r="G807" s="10"/>
      <c r="H807" s="10"/>
      <c r="I807" s="10"/>
      <c r="J807" s="10"/>
      <c r="K807" s="10"/>
      <c r="L807" s="10"/>
    </row>
    <row r="808" spans="1:12" s="2" customFormat="1" ht="13.2" x14ac:dyDescent="0.25">
      <c r="A808" s="10"/>
      <c r="B808" s="10"/>
      <c r="D808" s="10"/>
      <c r="F808" s="10"/>
      <c r="G808" s="10"/>
      <c r="H808" s="10"/>
      <c r="I808" s="10"/>
      <c r="J808" s="10"/>
      <c r="K808" s="10"/>
      <c r="L808" s="10"/>
    </row>
    <row r="809" spans="1:12" s="2" customFormat="1" ht="13.2" x14ac:dyDescent="0.25">
      <c r="A809" s="10"/>
      <c r="B809" s="10"/>
      <c r="D809" s="10"/>
      <c r="F809" s="10"/>
      <c r="G809" s="10"/>
      <c r="H809" s="10"/>
      <c r="I809" s="10"/>
      <c r="J809" s="10"/>
      <c r="K809" s="10"/>
      <c r="L809" s="10"/>
    </row>
    <row r="810" spans="1:12" s="2" customFormat="1" ht="13.2" x14ac:dyDescent="0.25">
      <c r="A810" s="10"/>
      <c r="B810" s="10"/>
      <c r="D810" s="10"/>
      <c r="F810" s="10"/>
      <c r="G810" s="10"/>
      <c r="H810" s="10"/>
      <c r="I810" s="10"/>
      <c r="J810" s="10"/>
      <c r="K810" s="10"/>
      <c r="L810" s="10"/>
    </row>
    <row r="811" spans="1:12" s="2" customFormat="1" ht="13.2" x14ac:dyDescent="0.25">
      <c r="A811" s="10"/>
      <c r="B811" s="10"/>
      <c r="D811" s="10"/>
      <c r="F811" s="10"/>
      <c r="G811" s="10"/>
      <c r="H811" s="10"/>
      <c r="I811" s="10"/>
      <c r="J811" s="10"/>
      <c r="K811" s="10"/>
      <c r="L811" s="10"/>
    </row>
    <row r="812" spans="1:12" s="2" customFormat="1" ht="13.2" x14ac:dyDescent="0.25">
      <c r="A812" s="10"/>
      <c r="B812" s="10"/>
      <c r="D812" s="10"/>
      <c r="F812" s="10"/>
      <c r="G812" s="10"/>
      <c r="H812" s="10"/>
      <c r="I812" s="10"/>
      <c r="J812" s="10"/>
      <c r="K812" s="10"/>
      <c r="L812" s="10"/>
    </row>
    <row r="813" spans="1:12" s="2" customFormat="1" ht="13.2" x14ac:dyDescent="0.25">
      <c r="A813" s="10"/>
      <c r="B813" s="10"/>
      <c r="D813" s="10"/>
      <c r="F813" s="10"/>
      <c r="G813" s="10"/>
      <c r="H813" s="10"/>
      <c r="I813" s="10"/>
      <c r="J813" s="10"/>
      <c r="K813" s="10"/>
      <c r="L813" s="10"/>
    </row>
    <row r="814" spans="1:12" s="2" customFormat="1" ht="13.2" x14ac:dyDescent="0.25">
      <c r="A814" s="10"/>
      <c r="B814" s="10"/>
      <c r="D814" s="10"/>
      <c r="F814" s="10"/>
      <c r="G814" s="10"/>
      <c r="H814" s="10"/>
      <c r="I814" s="10"/>
      <c r="J814" s="10"/>
      <c r="K814" s="10"/>
      <c r="L814" s="10"/>
    </row>
    <row r="815" spans="1:12" s="2" customFormat="1" ht="13.2" x14ac:dyDescent="0.25">
      <c r="A815" s="10"/>
      <c r="B815" s="10"/>
      <c r="D815" s="10"/>
      <c r="F815" s="10"/>
      <c r="G815" s="10"/>
      <c r="H815" s="10"/>
      <c r="I815" s="10"/>
      <c r="J815" s="10"/>
      <c r="K815" s="10"/>
      <c r="L815" s="10"/>
    </row>
    <row r="816" spans="1:12" s="2" customFormat="1" ht="13.2" x14ac:dyDescent="0.25">
      <c r="A816" s="10"/>
      <c r="B816" s="10"/>
      <c r="D816" s="10"/>
      <c r="F816" s="10"/>
      <c r="G816" s="10"/>
      <c r="H816" s="10"/>
      <c r="I816" s="10"/>
      <c r="J816" s="10"/>
      <c r="K816" s="10"/>
      <c r="L816" s="10"/>
    </row>
    <row r="817" spans="1:12" s="2" customFormat="1" ht="13.2" x14ac:dyDescent="0.25">
      <c r="A817" s="10"/>
      <c r="B817" s="10"/>
      <c r="D817" s="10"/>
      <c r="F817" s="10"/>
      <c r="G817" s="10"/>
      <c r="H817" s="10"/>
      <c r="I817" s="10"/>
      <c r="J817" s="10"/>
      <c r="K817" s="10"/>
      <c r="L817" s="10"/>
    </row>
    <row r="818" spans="1:12" s="2" customFormat="1" ht="13.2" x14ac:dyDescent="0.25">
      <c r="A818" s="10"/>
      <c r="B818" s="10"/>
      <c r="D818" s="10"/>
      <c r="F818" s="10"/>
      <c r="G818" s="10"/>
      <c r="H818" s="10"/>
      <c r="I818" s="10"/>
      <c r="J818" s="10"/>
      <c r="K818" s="10"/>
      <c r="L818" s="10"/>
    </row>
    <row r="819" spans="1:12" s="2" customFormat="1" ht="13.2" x14ac:dyDescent="0.25">
      <c r="A819" s="10"/>
      <c r="B819" s="10"/>
      <c r="D819" s="10"/>
      <c r="F819" s="10"/>
      <c r="G819" s="10"/>
      <c r="H819" s="10"/>
      <c r="I819" s="10"/>
      <c r="J819" s="10"/>
      <c r="K819" s="10"/>
      <c r="L819" s="10"/>
    </row>
    <row r="820" spans="1:12" s="2" customFormat="1" ht="13.2" x14ac:dyDescent="0.25">
      <c r="A820" s="10"/>
      <c r="B820" s="10"/>
      <c r="D820" s="10"/>
      <c r="F820" s="10"/>
      <c r="G820" s="10"/>
      <c r="H820" s="10"/>
      <c r="I820" s="10"/>
      <c r="J820" s="10"/>
      <c r="K820" s="10"/>
      <c r="L820" s="10"/>
    </row>
    <row r="821" spans="1:12" s="2" customFormat="1" ht="13.2" x14ac:dyDescent="0.25">
      <c r="A821" s="10"/>
      <c r="B821" s="10"/>
      <c r="D821" s="10"/>
      <c r="F821" s="10"/>
      <c r="G821" s="10"/>
      <c r="H821" s="10"/>
      <c r="I821" s="10"/>
      <c r="J821" s="10"/>
      <c r="K821" s="10"/>
      <c r="L821" s="10"/>
    </row>
    <row r="822" spans="1:12" s="2" customFormat="1" ht="13.2" x14ac:dyDescent="0.25">
      <c r="A822" s="10"/>
      <c r="B822" s="10"/>
      <c r="D822" s="10"/>
      <c r="F822" s="10"/>
      <c r="G822" s="10"/>
      <c r="H822" s="10"/>
      <c r="I822" s="10"/>
      <c r="J822" s="10"/>
      <c r="K822" s="10"/>
      <c r="L822" s="10"/>
    </row>
    <row r="823" spans="1:12" s="2" customFormat="1" ht="13.2" x14ac:dyDescent="0.25">
      <c r="A823" s="10"/>
      <c r="B823" s="10"/>
      <c r="D823" s="10"/>
      <c r="F823" s="10"/>
      <c r="G823" s="10"/>
      <c r="H823" s="10"/>
      <c r="I823" s="10"/>
      <c r="J823" s="10"/>
      <c r="K823" s="10"/>
      <c r="L823" s="10"/>
    </row>
    <row r="824" spans="1:12" s="2" customFormat="1" ht="13.2" x14ac:dyDescent="0.25">
      <c r="A824" s="10"/>
      <c r="B824" s="10"/>
      <c r="D824" s="10"/>
      <c r="F824" s="10"/>
      <c r="G824" s="10"/>
      <c r="H824" s="10"/>
      <c r="I824" s="10"/>
      <c r="J824" s="10"/>
      <c r="K824" s="10"/>
      <c r="L824" s="10"/>
    </row>
    <row r="825" spans="1:12" s="2" customFormat="1" ht="13.2" x14ac:dyDescent="0.25">
      <c r="A825" s="10"/>
      <c r="B825" s="10"/>
      <c r="D825" s="10"/>
      <c r="F825" s="10"/>
      <c r="G825" s="10"/>
      <c r="H825" s="10"/>
      <c r="I825" s="10"/>
      <c r="J825" s="10"/>
      <c r="K825" s="10"/>
      <c r="L825" s="10"/>
    </row>
    <row r="826" spans="1:12" s="2" customFormat="1" ht="13.2" x14ac:dyDescent="0.25">
      <c r="A826" s="10"/>
      <c r="B826" s="10"/>
      <c r="D826" s="10"/>
      <c r="F826" s="10"/>
      <c r="G826" s="10"/>
      <c r="H826" s="10"/>
      <c r="I826" s="10"/>
      <c r="J826" s="10"/>
      <c r="K826" s="10"/>
      <c r="L826" s="10"/>
    </row>
    <row r="827" spans="1:12" s="2" customFormat="1" ht="13.2" x14ac:dyDescent="0.25">
      <c r="A827" s="10"/>
      <c r="B827" s="10"/>
      <c r="D827" s="10"/>
      <c r="F827" s="10"/>
      <c r="G827" s="10"/>
      <c r="H827" s="10"/>
      <c r="I827" s="10"/>
      <c r="J827" s="10"/>
      <c r="K827" s="10"/>
      <c r="L827" s="10"/>
    </row>
    <row r="828" spans="1:12" s="2" customFormat="1" ht="13.2" x14ac:dyDescent="0.25">
      <c r="A828" s="10"/>
      <c r="B828" s="10"/>
      <c r="D828" s="10"/>
      <c r="F828" s="10"/>
      <c r="G828" s="10"/>
      <c r="H828" s="10"/>
      <c r="I828" s="10"/>
      <c r="J828" s="10"/>
      <c r="K828" s="10"/>
      <c r="L828" s="10"/>
    </row>
    <row r="829" spans="1:12" s="2" customFormat="1" ht="13.2" x14ac:dyDescent="0.25">
      <c r="A829" s="10"/>
      <c r="B829" s="10"/>
      <c r="D829" s="10"/>
      <c r="F829" s="10"/>
      <c r="G829" s="10"/>
      <c r="H829" s="10"/>
      <c r="I829" s="10"/>
      <c r="J829" s="10"/>
      <c r="K829" s="10"/>
      <c r="L829" s="10"/>
    </row>
    <row r="830" spans="1:12" s="2" customFormat="1" ht="13.2" x14ac:dyDescent="0.25">
      <c r="A830" s="10"/>
      <c r="B830" s="10"/>
      <c r="D830" s="10"/>
      <c r="F830" s="10"/>
      <c r="G830" s="10"/>
      <c r="H830" s="10"/>
      <c r="I830" s="10"/>
      <c r="J830" s="10"/>
      <c r="K830" s="10"/>
      <c r="L830" s="10"/>
    </row>
    <row r="831" spans="1:12" s="2" customFormat="1" ht="13.2" x14ac:dyDescent="0.25">
      <c r="A831" s="10"/>
      <c r="B831" s="10"/>
      <c r="D831" s="10"/>
      <c r="F831" s="10"/>
      <c r="G831" s="10"/>
      <c r="H831" s="10"/>
      <c r="I831" s="10"/>
      <c r="J831" s="10"/>
      <c r="K831" s="10"/>
      <c r="L831" s="10"/>
    </row>
    <row r="832" spans="1:12" s="2" customFormat="1" ht="13.2" x14ac:dyDescent="0.25">
      <c r="A832" s="10"/>
      <c r="B832" s="10"/>
      <c r="D832" s="10"/>
      <c r="F832" s="10"/>
      <c r="G832" s="10"/>
      <c r="H832" s="10"/>
      <c r="I832" s="10"/>
      <c r="J832" s="10"/>
      <c r="K832" s="10"/>
      <c r="L832" s="10"/>
    </row>
    <row r="833" spans="1:12" s="2" customFormat="1" ht="13.2" x14ac:dyDescent="0.25">
      <c r="A833" s="10"/>
      <c r="B833" s="10"/>
      <c r="D833" s="10"/>
      <c r="F833" s="10"/>
      <c r="G833" s="10"/>
      <c r="H833" s="10"/>
      <c r="I833" s="10"/>
      <c r="J833" s="10"/>
      <c r="K833" s="10"/>
      <c r="L833" s="10"/>
    </row>
    <row r="834" spans="1:12" s="2" customFormat="1" ht="13.2" x14ac:dyDescent="0.25">
      <c r="A834" s="10"/>
      <c r="B834" s="10"/>
      <c r="D834" s="10"/>
      <c r="F834" s="10"/>
      <c r="G834" s="10"/>
      <c r="H834" s="10"/>
      <c r="I834" s="10"/>
      <c r="J834" s="10"/>
      <c r="K834" s="10"/>
      <c r="L834" s="10"/>
    </row>
    <row r="835" spans="1:12" s="2" customFormat="1" ht="13.2" x14ac:dyDescent="0.25">
      <c r="A835" s="10"/>
      <c r="B835" s="10"/>
      <c r="D835" s="10"/>
      <c r="F835" s="10"/>
      <c r="G835" s="10"/>
      <c r="H835" s="10"/>
      <c r="I835" s="10"/>
      <c r="J835" s="10"/>
      <c r="K835" s="10"/>
      <c r="L835" s="10"/>
    </row>
    <row r="836" spans="1:12" s="2" customFormat="1" ht="13.2" x14ac:dyDescent="0.25">
      <c r="A836" s="10"/>
      <c r="B836" s="10"/>
      <c r="D836" s="10"/>
      <c r="F836" s="10"/>
      <c r="G836" s="10"/>
      <c r="H836" s="10"/>
      <c r="I836" s="10"/>
      <c r="J836" s="10"/>
      <c r="K836" s="10"/>
      <c r="L836" s="10"/>
    </row>
    <row r="837" spans="1:12" s="2" customFormat="1" ht="13.2" x14ac:dyDescent="0.25">
      <c r="A837" s="10"/>
      <c r="B837" s="10"/>
      <c r="D837" s="10"/>
      <c r="F837" s="10"/>
      <c r="G837" s="10"/>
      <c r="H837" s="10"/>
      <c r="I837" s="10"/>
      <c r="J837" s="10"/>
      <c r="K837" s="10"/>
      <c r="L837" s="10"/>
    </row>
    <row r="838" spans="1:12" s="2" customFormat="1" ht="13.2" x14ac:dyDescent="0.25">
      <c r="A838" s="10"/>
      <c r="B838" s="10"/>
      <c r="D838" s="10"/>
      <c r="F838" s="10"/>
      <c r="G838" s="10"/>
      <c r="H838" s="10"/>
      <c r="I838" s="10"/>
      <c r="J838" s="10"/>
      <c r="K838" s="10"/>
      <c r="L838" s="10"/>
    </row>
    <row r="839" spans="1:12" s="2" customFormat="1" ht="13.2" x14ac:dyDescent="0.25">
      <c r="A839" s="10"/>
      <c r="B839" s="10"/>
      <c r="D839" s="10"/>
      <c r="F839" s="10"/>
      <c r="G839" s="10"/>
      <c r="H839" s="10"/>
      <c r="I839" s="10"/>
      <c r="J839" s="10"/>
      <c r="K839" s="10"/>
      <c r="L839" s="10"/>
    </row>
    <row r="840" spans="1:12" s="2" customFormat="1" ht="13.2" x14ac:dyDescent="0.25">
      <c r="A840" s="10"/>
      <c r="B840" s="10"/>
      <c r="D840" s="10"/>
      <c r="F840" s="10"/>
      <c r="G840" s="10"/>
      <c r="H840" s="10"/>
      <c r="I840" s="10"/>
      <c r="J840" s="10"/>
      <c r="K840" s="10"/>
      <c r="L840" s="10"/>
    </row>
    <row r="841" spans="1:12" s="2" customFormat="1" ht="13.2" x14ac:dyDescent="0.25">
      <c r="A841" s="10"/>
      <c r="B841" s="10"/>
      <c r="D841" s="10"/>
      <c r="F841" s="10"/>
      <c r="G841" s="10"/>
      <c r="H841" s="10"/>
      <c r="I841" s="10"/>
      <c r="J841" s="10"/>
      <c r="K841" s="10"/>
      <c r="L841" s="10"/>
    </row>
    <row r="842" spans="1:12" s="2" customFormat="1" ht="13.2" x14ac:dyDescent="0.25">
      <c r="A842" s="10"/>
      <c r="B842" s="10"/>
      <c r="D842" s="10"/>
      <c r="F842" s="10"/>
      <c r="G842" s="10"/>
      <c r="H842" s="10"/>
      <c r="I842" s="10"/>
      <c r="J842" s="10"/>
      <c r="K842" s="10"/>
      <c r="L842" s="10"/>
    </row>
    <row r="843" spans="1:12" s="2" customFormat="1" ht="13.2" x14ac:dyDescent="0.25">
      <c r="A843" s="10"/>
      <c r="B843" s="10"/>
      <c r="D843" s="10"/>
      <c r="F843" s="10"/>
      <c r="G843" s="10"/>
      <c r="H843" s="10"/>
      <c r="I843" s="10"/>
      <c r="J843" s="10"/>
      <c r="K843" s="10"/>
      <c r="L843" s="10"/>
    </row>
    <row r="844" spans="1:12" s="2" customFormat="1" ht="13.2" x14ac:dyDescent="0.25">
      <c r="A844" s="10"/>
      <c r="B844" s="10"/>
      <c r="D844" s="10"/>
      <c r="F844" s="10"/>
      <c r="G844" s="10"/>
      <c r="H844" s="10"/>
      <c r="I844" s="10"/>
      <c r="J844" s="10"/>
      <c r="K844" s="10"/>
      <c r="L844" s="10"/>
    </row>
    <row r="845" spans="1:12" s="2" customFormat="1" ht="13.2" x14ac:dyDescent="0.25">
      <c r="A845" s="10"/>
      <c r="B845" s="10"/>
      <c r="D845" s="10"/>
      <c r="F845" s="10"/>
      <c r="G845" s="10"/>
      <c r="H845" s="10"/>
      <c r="I845" s="10"/>
      <c r="J845" s="10"/>
      <c r="K845" s="10"/>
      <c r="L845" s="10"/>
    </row>
    <row r="846" spans="1:12" s="2" customFormat="1" ht="13.2" x14ac:dyDescent="0.25">
      <c r="A846" s="10"/>
      <c r="B846" s="10"/>
      <c r="D846" s="10"/>
      <c r="F846" s="10"/>
      <c r="G846" s="10"/>
      <c r="H846" s="10"/>
      <c r="I846" s="10"/>
      <c r="J846" s="10"/>
      <c r="K846" s="10"/>
      <c r="L846" s="10"/>
    </row>
    <row r="847" spans="1:12" s="2" customFormat="1" ht="13.2" x14ac:dyDescent="0.25">
      <c r="A847" s="10"/>
      <c r="B847" s="10"/>
      <c r="D847" s="10"/>
      <c r="F847" s="10"/>
      <c r="G847" s="10"/>
      <c r="H847" s="10"/>
      <c r="I847" s="10"/>
      <c r="J847" s="10"/>
      <c r="K847" s="10"/>
      <c r="L847" s="10"/>
    </row>
    <row r="848" spans="1:12" s="2" customFormat="1" ht="13.2" x14ac:dyDescent="0.25">
      <c r="A848" s="10"/>
      <c r="B848" s="10"/>
      <c r="D848" s="10"/>
      <c r="F848" s="10"/>
      <c r="G848" s="10"/>
      <c r="H848" s="10"/>
      <c r="I848" s="10"/>
      <c r="J848" s="10"/>
      <c r="K848" s="10"/>
      <c r="L848" s="10"/>
    </row>
    <row r="849" spans="1:12" s="2" customFormat="1" ht="13.2" x14ac:dyDescent="0.25">
      <c r="A849" s="10"/>
      <c r="B849" s="10"/>
      <c r="D849" s="10"/>
      <c r="F849" s="10"/>
      <c r="G849" s="10"/>
      <c r="H849" s="10"/>
      <c r="I849" s="10"/>
      <c r="J849" s="10"/>
      <c r="K849" s="10"/>
      <c r="L849" s="10"/>
    </row>
    <row r="850" spans="1:12" s="2" customFormat="1" ht="13.2" x14ac:dyDescent="0.25">
      <c r="A850" s="10"/>
      <c r="B850" s="10"/>
      <c r="D850" s="10"/>
      <c r="F850" s="10"/>
      <c r="G850" s="10"/>
      <c r="H850" s="10"/>
      <c r="I850" s="10"/>
      <c r="J850" s="10"/>
      <c r="K850" s="10"/>
      <c r="L850" s="10"/>
    </row>
    <row r="851" spans="1:12" s="2" customFormat="1" ht="13.2" x14ac:dyDescent="0.25">
      <c r="A851" s="10"/>
      <c r="B851" s="10"/>
      <c r="D851" s="10"/>
      <c r="F851" s="10"/>
      <c r="G851" s="10"/>
      <c r="H851" s="10"/>
      <c r="I851" s="10"/>
      <c r="J851" s="10"/>
      <c r="K851" s="10"/>
      <c r="L851" s="10"/>
    </row>
    <row r="852" spans="1:12" s="2" customFormat="1" ht="13.2" x14ac:dyDescent="0.25">
      <c r="A852" s="10"/>
      <c r="B852" s="10"/>
      <c r="D852" s="10"/>
      <c r="F852" s="10"/>
      <c r="G852" s="10"/>
      <c r="H852" s="10"/>
      <c r="I852" s="10"/>
      <c r="J852" s="10"/>
      <c r="K852" s="10"/>
      <c r="L852" s="10"/>
    </row>
    <row r="853" spans="1:12" s="2" customFormat="1" ht="13.2" x14ac:dyDescent="0.25">
      <c r="A853" s="10"/>
      <c r="B853" s="10"/>
      <c r="D853" s="10"/>
      <c r="F853" s="10"/>
      <c r="G853" s="10"/>
      <c r="H853" s="10"/>
      <c r="I853" s="10"/>
      <c r="J853" s="10"/>
      <c r="K853" s="10"/>
      <c r="L853" s="10"/>
    </row>
    <row r="854" spans="1:12" s="2" customFormat="1" ht="13.2" x14ac:dyDescent="0.25">
      <c r="A854" s="10"/>
      <c r="B854" s="10"/>
      <c r="D854" s="10"/>
      <c r="F854" s="10"/>
      <c r="G854" s="10"/>
      <c r="H854" s="10"/>
      <c r="I854" s="10"/>
      <c r="J854" s="10"/>
      <c r="K854" s="10"/>
      <c r="L854" s="10"/>
    </row>
    <row r="855" spans="1:12" s="2" customFormat="1" ht="13.2" x14ac:dyDescent="0.25">
      <c r="A855" s="10"/>
      <c r="B855" s="10"/>
      <c r="D855" s="10"/>
      <c r="F855" s="10"/>
      <c r="G855" s="10"/>
      <c r="H855" s="10"/>
      <c r="I855" s="10"/>
      <c r="J855" s="10"/>
      <c r="K855" s="10"/>
      <c r="L855" s="10"/>
    </row>
    <row r="856" spans="1:12" s="2" customFormat="1" ht="13.2" x14ac:dyDescent="0.25">
      <c r="A856" s="10"/>
      <c r="B856" s="10"/>
      <c r="D856" s="10"/>
      <c r="F856" s="10"/>
      <c r="G856" s="10"/>
      <c r="H856" s="10"/>
      <c r="I856" s="10"/>
      <c r="J856" s="10"/>
      <c r="K856" s="10"/>
      <c r="L856" s="10"/>
    </row>
    <row r="857" spans="1:12" s="2" customFormat="1" ht="13.2" x14ac:dyDescent="0.25">
      <c r="A857" s="10"/>
      <c r="B857" s="10"/>
      <c r="D857" s="10"/>
      <c r="F857" s="10"/>
      <c r="G857" s="10"/>
      <c r="H857" s="10"/>
      <c r="I857" s="10"/>
      <c r="J857" s="10"/>
      <c r="K857" s="10"/>
      <c r="L857" s="10"/>
    </row>
    <row r="858" spans="1:12" s="2" customFormat="1" ht="13.2" x14ac:dyDescent="0.25">
      <c r="A858" s="10"/>
      <c r="B858" s="10"/>
      <c r="D858" s="10"/>
      <c r="F858" s="10"/>
      <c r="G858" s="10"/>
      <c r="H858" s="10"/>
      <c r="I858" s="10"/>
      <c r="J858" s="10"/>
      <c r="K858" s="10"/>
      <c r="L858" s="10"/>
    </row>
    <row r="859" spans="1:12" s="2" customFormat="1" ht="13.2" x14ac:dyDescent="0.25">
      <c r="A859" s="10"/>
      <c r="B859" s="10"/>
      <c r="D859" s="10"/>
      <c r="F859" s="10"/>
      <c r="G859" s="10"/>
      <c r="H859" s="10"/>
      <c r="I859" s="10"/>
      <c r="J859" s="10"/>
      <c r="K859" s="10"/>
      <c r="L859" s="10"/>
    </row>
    <row r="860" spans="1:12" s="2" customFormat="1" ht="13.2" x14ac:dyDescent="0.25">
      <c r="A860" s="10"/>
      <c r="B860" s="10"/>
      <c r="D860" s="10"/>
      <c r="F860" s="10"/>
      <c r="G860" s="10"/>
      <c r="H860" s="10"/>
      <c r="I860" s="10"/>
      <c r="J860" s="10"/>
      <c r="K860" s="10"/>
      <c r="L860" s="10"/>
    </row>
    <row r="861" spans="1:12" s="2" customFormat="1" ht="13.2" x14ac:dyDescent="0.25">
      <c r="A861" s="10"/>
      <c r="B861" s="10"/>
      <c r="D861" s="10"/>
      <c r="F861" s="10"/>
      <c r="G861" s="10"/>
      <c r="H861" s="10"/>
      <c r="I861" s="10"/>
      <c r="J861" s="10"/>
      <c r="K861" s="10"/>
      <c r="L861" s="10"/>
    </row>
    <row r="862" spans="1:12" s="2" customFormat="1" ht="13.2" x14ac:dyDescent="0.25">
      <c r="A862" s="10"/>
      <c r="B862" s="10"/>
      <c r="D862" s="10"/>
      <c r="F862" s="10"/>
      <c r="G862" s="10"/>
      <c r="H862" s="10"/>
      <c r="I862" s="10"/>
      <c r="J862" s="10"/>
      <c r="K862" s="10"/>
      <c r="L862" s="10"/>
    </row>
    <row r="863" spans="1:12" s="2" customFormat="1" ht="13.2" x14ac:dyDescent="0.25">
      <c r="A863" s="10"/>
      <c r="B863" s="10"/>
      <c r="D863" s="10"/>
      <c r="F863" s="10"/>
      <c r="G863" s="10"/>
      <c r="H863" s="10"/>
      <c r="I863" s="10"/>
      <c r="J863" s="10"/>
      <c r="K863" s="10"/>
      <c r="L863" s="10"/>
    </row>
    <row r="864" spans="1:12" s="2" customFormat="1" ht="13.2" x14ac:dyDescent="0.25">
      <c r="A864" s="10"/>
      <c r="B864" s="10"/>
      <c r="D864" s="10"/>
      <c r="F864" s="10"/>
      <c r="G864" s="10"/>
      <c r="H864" s="10"/>
      <c r="I864" s="10"/>
      <c r="J864" s="10"/>
      <c r="K864" s="10"/>
      <c r="L864" s="10"/>
    </row>
    <row r="865" spans="1:12" s="2" customFormat="1" ht="13.2" x14ac:dyDescent="0.25">
      <c r="A865" s="10"/>
      <c r="B865" s="10"/>
      <c r="D865" s="10"/>
      <c r="F865" s="10"/>
      <c r="G865" s="10"/>
      <c r="H865" s="10"/>
      <c r="I865" s="10"/>
      <c r="J865" s="10"/>
      <c r="K865" s="10"/>
      <c r="L865" s="10"/>
    </row>
    <row r="866" spans="1:12" s="2" customFormat="1" ht="13.2" x14ac:dyDescent="0.25">
      <c r="A866" s="10"/>
      <c r="B866" s="10"/>
      <c r="D866" s="10"/>
      <c r="F866" s="10"/>
      <c r="G866" s="10"/>
      <c r="H866" s="10"/>
      <c r="I866" s="10"/>
      <c r="J866" s="10"/>
      <c r="K866" s="10"/>
      <c r="L866" s="10"/>
    </row>
    <row r="867" spans="1:12" s="2" customFormat="1" ht="13.2" x14ac:dyDescent="0.25">
      <c r="A867" s="10"/>
      <c r="B867" s="10"/>
      <c r="D867" s="10"/>
      <c r="F867" s="10"/>
      <c r="G867" s="10"/>
      <c r="H867" s="10"/>
      <c r="I867" s="10"/>
      <c r="J867" s="10"/>
      <c r="K867" s="10"/>
      <c r="L867" s="10"/>
    </row>
    <row r="868" spans="1:12" s="2" customFormat="1" ht="13.2" x14ac:dyDescent="0.25">
      <c r="A868" s="10"/>
      <c r="B868" s="10"/>
      <c r="D868" s="10"/>
      <c r="F868" s="10"/>
      <c r="G868" s="10"/>
      <c r="H868" s="10"/>
      <c r="I868" s="10"/>
      <c r="J868" s="10"/>
      <c r="K868" s="10"/>
      <c r="L868" s="10"/>
    </row>
    <row r="869" spans="1:12" s="2" customFormat="1" ht="13.2" x14ac:dyDescent="0.25">
      <c r="A869" s="10"/>
      <c r="B869" s="10"/>
      <c r="D869" s="10"/>
      <c r="F869" s="10"/>
      <c r="G869" s="10"/>
      <c r="H869" s="10"/>
      <c r="I869" s="10"/>
      <c r="J869" s="10"/>
      <c r="K869" s="10"/>
      <c r="L869" s="10"/>
    </row>
    <row r="870" spans="1:12" s="2" customFormat="1" ht="13.2" x14ac:dyDescent="0.25">
      <c r="A870" s="10"/>
      <c r="B870" s="10"/>
      <c r="D870" s="10"/>
      <c r="F870" s="10"/>
      <c r="G870" s="10"/>
      <c r="H870" s="10"/>
      <c r="I870" s="10"/>
      <c r="J870" s="10"/>
      <c r="K870" s="10"/>
      <c r="L870" s="10"/>
    </row>
    <row r="871" spans="1:12" s="2" customFormat="1" ht="13.2" x14ac:dyDescent="0.25">
      <c r="A871" s="10"/>
      <c r="B871" s="10"/>
      <c r="D871" s="10"/>
      <c r="F871" s="10"/>
      <c r="G871" s="10"/>
      <c r="H871" s="10"/>
      <c r="I871" s="10"/>
      <c r="J871" s="10"/>
      <c r="K871" s="10"/>
      <c r="L871" s="10"/>
    </row>
    <row r="872" spans="1:12" s="2" customFormat="1" ht="13.2" x14ac:dyDescent="0.25">
      <c r="A872" s="10"/>
      <c r="B872" s="10"/>
      <c r="D872" s="10"/>
      <c r="F872" s="10"/>
      <c r="G872" s="10"/>
      <c r="H872" s="10"/>
      <c r="I872" s="10"/>
      <c r="J872" s="10"/>
      <c r="K872" s="10"/>
      <c r="L872" s="10"/>
    </row>
    <row r="873" spans="1:12" s="2" customFormat="1" ht="13.2" x14ac:dyDescent="0.25">
      <c r="A873" s="10"/>
      <c r="B873" s="10"/>
      <c r="D873" s="10"/>
      <c r="F873" s="10"/>
      <c r="G873" s="10"/>
      <c r="H873" s="10"/>
      <c r="I873" s="10"/>
      <c r="J873" s="10"/>
      <c r="K873" s="10"/>
      <c r="L873" s="10"/>
    </row>
    <row r="874" spans="1:12" s="2" customFormat="1" ht="13.2" x14ac:dyDescent="0.25">
      <c r="A874" s="10"/>
      <c r="B874" s="10"/>
      <c r="D874" s="10"/>
      <c r="F874" s="10"/>
      <c r="G874" s="10"/>
      <c r="H874" s="10"/>
      <c r="I874" s="10"/>
      <c r="J874" s="10"/>
      <c r="K874" s="10"/>
      <c r="L874" s="10"/>
    </row>
    <row r="875" spans="1:12" s="2" customFormat="1" ht="13.2" x14ac:dyDescent="0.25">
      <c r="A875" s="10"/>
      <c r="B875" s="10"/>
      <c r="D875" s="10"/>
      <c r="F875" s="10"/>
      <c r="G875" s="10"/>
      <c r="H875" s="10"/>
      <c r="I875" s="10"/>
      <c r="J875" s="10"/>
      <c r="K875" s="10"/>
      <c r="L875" s="10"/>
    </row>
    <row r="876" spans="1:12" s="2" customFormat="1" ht="13.2" x14ac:dyDescent="0.25">
      <c r="A876" s="10"/>
      <c r="B876" s="10"/>
      <c r="D876" s="10"/>
      <c r="F876" s="10"/>
      <c r="G876" s="10"/>
      <c r="H876" s="10"/>
      <c r="I876" s="10"/>
      <c r="J876" s="10"/>
      <c r="K876" s="10"/>
      <c r="L876" s="10"/>
    </row>
    <row r="877" spans="1:12" s="2" customFormat="1" ht="13.2" x14ac:dyDescent="0.25">
      <c r="A877" s="10"/>
      <c r="B877" s="10"/>
      <c r="D877" s="10"/>
      <c r="F877" s="10"/>
      <c r="G877" s="10"/>
      <c r="H877" s="10"/>
      <c r="I877" s="10"/>
      <c r="J877" s="10"/>
      <c r="K877" s="10"/>
      <c r="L877" s="10"/>
    </row>
    <row r="878" spans="1:12" s="2" customFormat="1" ht="13.2" x14ac:dyDescent="0.25">
      <c r="A878" s="10"/>
      <c r="B878" s="10"/>
      <c r="D878" s="10"/>
      <c r="F878" s="10"/>
      <c r="G878" s="10"/>
      <c r="H878" s="10"/>
      <c r="I878" s="10"/>
      <c r="J878" s="10"/>
      <c r="K878" s="10"/>
      <c r="L878" s="10"/>
    </row>
    <row r="879" spans="1:12" s="2" customFormat="1" ht="13.2" x14ac:dyDescent="0.25">
      <c r="A879" s="10"/>
      <c r="B879" s="10"/>
      <c r="D879" s="10"/>
      <c r="F879" s="10"/>
      <c r="G879" s="10"/>
      <c r="H879" s="10"/>
      <c r="I879" s="10"/>
      <c r="J879" s="10"/>
      <c r="K879" s="10"/>
      <c r="L879" s="10"/>
    </row>
    <row r="880" spans="1:12" s="2" customFormat="1" ht="13.2" x14ac:dyDescent="0.25">
      <c r="A880" s="10"/>
      <c r="B880" s="10"/>
      <c r="D880" s="10"/>
      <c r="F880" s="10"/>
      <c r="G880" s="10"/>
      <c r="H880" s="10"/>
      <c r="I880" s="10"/>
      <c r="J880" s="10"/>
      <c r="K880" s="10"/>
      <c r="L880" s="10"/>
    </row>
    <row r="881" spans="1:12" s="2" customFormat="1" ht="13.2" x14ac:dyDescent="0.25">
      <c r="A881" s="10"/>
      <c r="B881" s="10"/>
      <c r="D881" s="10"/>
      <c r="F881" s="10"/>
      <c r="G881" s="10"/>
      <c r="H881" s="10"/>
      <c r="I881" s="10"/>
      <c r="J881" s="10"/>
      <c r="K881" s="10"/>
      <c r="L881" s="10"/>
    </row>
    <row r="882" spans="1:12" s="2" customFormat="1" ht="13.2" x14ac:dyDescent="0.25">
      <c r="A882" s="10"/>
      <c r="B882" s="10"/>
      <c r="D882" s="10"/>
      <c r="F882" s="10"/>
      <c r="G882" s="10"/>
      <c r="H882" s="10"/>
      <c r="I882" s="10"/>
      <c r="J882" s="10"/>
      <c r="K882" s="10"/>
      <c r="L882" s="10"/>
    </row>
    <row r="883" spans="1:12" s="2" customFormat="1" ht="13.2" x14ac:dyDescent="0.25">
      <c r="A883" s="10"/>
      <c r="B883" s="10"/>
      <c r="D883" s="10"/>
      <c r="F883" s="10"/>
      <c r="G883" s="10"/>
      <c r="H883" s="10"/>
      <c r="I883" s="10"/>
      <c r="J883" s="10"/>
      <c r="K883" s="10"/>
      <c r="L883" s="10"/>
    </row>
    <row r="884" spans="1:12" s="2" customFormat="1" ht="13.2" x14ac:dyDescent="0.25">
      <c r="A884" s="10"/>
      <c r="B884" s="10"/>
      <c r="D884" s="10"/>
      <c r="F884" s="10"/>
      <c r="G884" s="10"/>
      <c r="H884" s="10"/>
      <c r="I884" s="10"/>
      <c r="J884" s="10"/>
      <c r="K884" s="10"/>
      <c r="L884" s="10"/>
    </row>
    <row r="885" spans="1:12" s="2" customFormat="1" ht="13.2" x14ac:dyDescent="0.25">
      <c r="A885" s="10"/>
      <c r="B885" s="10"/>
      <c r="D885" s="10"/>
      <c r="F885" s="10"/>
      <c r="G885" s="10"/>
      <c r="H885" s="10"/>
      <c r="I885" s="10"/>
      <c r="J885" s="10"/>
      <c r="K885" s="10"/>
      <c r="L885" s="10"/>
    </row>
    <row r="886" spans="1:12" s="2" customFormat="1" ht="13.2" x14ac:dyDescent="0.25">
      <c r="A886" s="10"/>
      <c r="B886" s="10"/>
      <c r="D886" s="10"/>
      <c r="F886" s="10"/>
      <c r="G886" s="10"/>
      <c r="H886" s="10"/>
      <c r="I886" s="10"/>
      <c r="J886" s="10"/>
      <c r="K886" s="10"/>
      <c r="L886" s="10"/>
    </row>
    <row r="887" spans="1:12" s="2" customFormat="1" ht="13.2" x14ac:dyDescent="0.25">
      <c r="A887" s="10"/>
      <c r="B887" s="10"/>
      <c r="D887" s="10"/>
      <c r="F887" s="10"/>
      <c r="G887" s="10"/>
      <c r="H887" s="10"/>
      <c r="I887" s="10"/>
      <c r="J887" s="10"/>
      <c r="K887" s="10"/>
      <c r="L887" s="10"/>
    </row>
    <row r="888" spans="1:12" s="2" customFormat="1" ht="13.2" x14ac:dyDescent="0.25">
      <c r="A888" s="10"/>
      <c r="B888" s="10"/>
      <c r="D888" s="10"/>
      <c r="F888" s="10"/>
      <c r="G888" s="10"/>
      <c r="H888" s="10"/>
      <c r="I888" s="10"/>
      <c r="J888" s="10"/>
      <c r="K888" s="10"/>
      <c r="L888" s="10"/>
    </row>
    <row r="889" spans="1:12" s="2" customFormat="1" ht="13.2" x14ac:dyDescent="0.25">
      <c r="A889" s="10"/>
      <c r="B889" s="10"/>
      <c r="D889" s="10"/>
      <c r="F889" s="10"/>
      <c r="G889" s="10"/>
      <c r="H889" s="10"/>
      <c r="I889" s="10"/>
      <c r="J889" s="10"/>
      <c r="K889" s="10"/>
      <c r="L889" s="10"/>
    </row>
    <row r="890" spans="1:12" s="2" customFormat="1" ht="13.2" x14ac:dyDescent="0.25">
      <c r="A890" s="10"/>
      <c r="B890" s="10"/>
      <c r="D890" s="10"/>
      <c r="F890" s="10"/>
      <c r="G890" s="10"/>
      <c r="H890" s="10"/>
      <c r="I890" s="10"/>
      <c r="J890" s="10"/>
      <c r="K890" s="10"/>
      <c r="L890" s="10"/>
    </row>
    <row r="891" spans="1:12" s="2" customFormat="1" ht="13.2" x14ac:dyDescent="0.25">
      <c r="A891" s="10"/>
      <c r="B891" s="10"/>
      <c r="D891" s="10"/>
      <c r="F891" s="10"/>
      <c r="G891" s="10"/>
      <c r="H891" s="10"/>
      <c r="I891" s="10"/>
      <c r="J891" s="10"/>
      <c r="K891" s="10"/>
      <c r="L891" s="10"/>
    </row>
    <row r="892" spans="1:12" s="2" customFormat="1" ht="13.2" x14ac:dyDescent="0.25">
      <c r="A892" s="10"/>
      <c r="B892" s="10"/>
      <c r="D892" s="10"/>
      <c r="F892" s="10"/>
      <c r="G892" s="10"/>
      <c r="H892" s="10"/>
      <c r="I892" s="10"/>
      <c r="J892" s="10"/>
      <c r="K892" s="10"/>
      <c r="L892" s="10"/>
    </row>
    <row r="893" spans="1:12" s="2" customFormat="1" ht="13.2" x14ac:dyDescent="0.25">
      <c r="A893" s="10"/>
      <c r="B893" s="10"/>
      <c r="D893" s="10"/>
      <c r="F893" s="10"/>
      <c r="G893" s="10"/>
      <c r="H893" s="10"/>
      <c r="I893" s="10"/>
      <c r="J893" s="10"/>
      <c r="K893" s="10"/>
      <c r="L893" s="10"/>
    </row>
    <row r="894" spans="1:12" s="2" customFormat="1" ht="13.2" x14ac:dyDescent="0.25">
      <c r="A894" s="10"/>
      <c r="B894" s="10"/>
      <c r="D894" s="10"/>
      <c r="F894" s="10"/>
      <c r="G894" s="10"/>
      <c r="H894" s="10"/>
      <c r="I894" s="10"/>
      <c r="J894" s="10"/>
      <c r="K894" s="10"/>
      <c r="L894" s="10"/>
    </row>
    <row r="895" spans="1:12" s="2" customFormat="1" ht="13.2" x14ac:dyDescent="0.25">
      <c r="A895" s="10"/>
      <c r="B895" s="10"/>
      <c r="D895" s="10"/>
      <c r="F895" s="10"/>
      <c r="G895" s="10"/>
      <c r="H895" s="10"/>
      <c r="I895" s="10"/>
      <c r="J895" s="10"/>
      <c r="K895" s="10"/>
      <c r="L895" s="10"/>
    </row>
    <row r="896" spans="1:12" s="2" customFormat="1" ht="13.2" x14ac:dyDescent="0.25">
      <c r="A896" s="10"/>
      <c r="B896" s="10"/>
      <c r="D896" s="10"/>
      <c r="F896" s="10"/>
      <c r="G896" s="10"/>
      <c r="H896" s="10"/>
      <c r="I896" s="10"/>
      <c r="J896" s="10"/>
      <c r="K896" s="10"/>
      <c r="L896" s="10"/>
    </row>
    <row r="897" spans="1:12" s="2" customFormat="1" ht="13.2" x14ac:dyDescent="0.25">
      <c r="A897" s="10"/>
      <c r="B897" s="10"/>
      <c r="D897" s="10"/>
      <c r="F897" s="10"/>
      <c r="G897" s="10"/>
      <c r="H897" s="10"/>
      <c r="I897" s="10"/>
      <c r="J897" s="10"/>
      <c r="K897" s="10"/>
      <c r="L897" s="10"/>
    </row>
    <row r="898" spans="1:12" s="2" customFormat="1" ht="13.2" x14ac:dyDescent="0.25">
      <c r="A898" s="10"/>
      <c r="B898" s="10"/>
      <c r="D898" s="10"/>
      <c r="F898" s="10"/>
      <c r="G898" s="10"/>
      <c r="H898" s="10"/>
      <c r="I898" s="10"/>
      <c r="J898" s="10"/>
      <c r="K898" s="10"/>
      <c r="L898" s="10"/>
    </row>
    <row r="899" spans="1:12" s="2" customFormat="1" ht="13.2" x14ac:dyDescent="0.25">
      <c r="A899" s="10"/>
      <c r="B899" s="10"/>
      <c r="D899" s="10"/>
      <c r="F899" s="10"/>
      <c r="G899" s="10"/>
      <c r="H899" s="10"/>
      <c r="I899" s="10"/>
      <c r="J899" s="10"/>
      <c r="K899" s="10"/>
      <c r="L899" s="10"/>
    </row>
    <row r="900" spans="1:12" s="2" customFormat="1" ht="13.2" x14ac:dyDescent="0.25">
      <c r="A900" s="10"/>
      <c r="B900" s="10"/>
      <c r="D900" s="10"/>
      <c r="F900" s="10"/>
      <c r="G900" s="10"/>
      <c r="H900" s="10"/>
      <c r="I900" s="10"/>
      <c r="J900" s="10"/>
      <c r="K900" s="10"/>
      <c r="L900" s="10"/>
    </row>
    <row r="901" spans="1:12" s="2" customFormat="1" ht="13.2" x14ac:dyDescent="0.25">
      <c r="A901" s="10"/>
      <c r="B901" s="10"/>
      <c r="D901" s="10"/>
      <c r="F901" s="10"/>
      <c r="G901" s="10"/>
      <c r="H901" s="10"/>
      <c r="I901" s="10"/>
      <c r="J901" s="10"/>
      <c r="K901" s="10"/>
      <c r="L901" s="10"/>
    </row>
    <row r="902" spans="1:12" s="2" customFormat="1" ht="13.2" x14ac:dyDescent="0.25">
      <c r="A902" s="10"/>
      <c r="B902" s="10"/>
      <c r="D902" s="10"/>
      <c r="F902" s="10"/>
      <c r="G902" s="10"/>
      <c r="H902" s="10"/>
      <c r="I902" s="10"/>
      <c r="J902" s="10"/>
      <c r="K902" s="10"/>
      <c r="L902" s="10"/>
    </row>
    <row r="903" spans="1:12" s="2" customFormat="1" ht="13.2" x14ac:dyDescent="0.25">
      <c r="A903" s="10"/>
      <c r="B903" s="10"/>
      <c r="D903" s="10"/>
      <c r="F903" s="10"/>
      <c r="G903" s="10"/>
      <c r="H903" s="10"/>
      <c r="I903" s="10"/>
      <c r="J903" s="10"/>
      <c r="K903" s="10"/>
      <c r="L903" s="10"/>
    </row>
    <row r="904" spans="1:12" s="2" customFormat="1" ht="13.2" x14ac:dyDescent="0.25">
      <c r="A904" s="10"/>
      <c r="B904" s="10"/>
      <c r="D904" s="10"/>
      <c r="F904" s="10"/>
      <c r="G904" s="10"/>
      <c r="H904" s="10"/>
      <c r="I904" s="10"/>
      <c r="J904" s="10"/>
      <c r="K904" s="10"/>
      <c r="L904" s="10"/>
    </row>
    <row r="905" spans="1:12" s="2" customFormat="1" ht="13.2" x14ac:dyDescent="0.25">
      <c r="A905" s="10"/>
      <c r="B905" s="10"/>
      <c r="D905" s="10"/>
      <c r="F905" s="10"/>
      <c r="G905" s="10"/>
      <c r="H905" s="10"/>
      <c r="I905" s="10"/>
      <c r="J905" s="10"/>
      <c r="K905" s="10"/>
      <c r="L905" s="10"/>
    </row>
    <row r="906" spans="1:12" s="2" customFormat="1" ht="13.2" x14ac:dyDescent="0.25">
      <c r="A906" s="10"/>
      <c r="B906" s="10"/>
      <c r="D906" s="10"/>
      <c r="F906" s="10"/>
      <c r="G906" s="10"/>
      <c r="H906" s="10"/>
      <c r="I906" s="10"/>
      <c r="J906" s="10"/>
      <c r="K906" s="10"/>
      <c r="L906" s="10"/>
    </row>
    <row r="907" spans="1:12" s="2" customFormat="1" ht="13.2" x14ac:dyDescent="0.25">
      <c r="A907" s="10"/>
      <c r="B907" s="10"/>
      <c r="D907" s="10"/>
      <c r="F907" s="10"/>
      <c r="G907" s="10"/>
      <c r="H907" s="10"/>
      <c r="I907" s="10"/>
      <c r="J907" s="10"/>
      <c r="K907" s="10"/>
      <c r="L907" s="10"/>
    </row>
    <row r="908" spans="1:12" s="2" customFormat="1" ht="13.2" x14ac:dyDescent="0.25">
      <c r="A908" s="10"/>
      <c r="B908" s="10"/>
      <c r="D908" s="10"/>
      <c r="F908" s="10"/>
      <c r="G908" s="10"/>
      <c r="H908" s="10"/>
      <c r="I908" s="10"/>
      <c r="J908" s="10"/>
      <c r="K908" s="10"/>
      <c r="L908" s="10"/>
    </row>
    <row r="909" spans="1:12" s="2" customFormat="1" ht="13.2" x14ac:dyDescent="0.25">
      <c r="A909" s="10"/>
      <c r="B909" s="10"/>
      <c r="D909" s="10"/>
      <c r="F909" s="10"/>
      <c r="G909" s="10"/>
      <c r="H909" s="10"/>
      <c r="I909" s="10"/>
      <c r="J909" s="10"/>
      <c r="K909" s="10"/>
      <c r="L909" s="10"/>
    </row>
    <row r="910" spans="1:12" s="2" customFormat="1" ht="13.2" x14ac:dyDescent="0.25">
      <c r="A910" s="10"/>
      <c r="B910" s="10"/>
      <c r="D910" s="10"/>
      <c r="F910" s="10"/>
      <c r="G910" s="10"/>
      <c r="H910" s="10"/>
      <c r="I910" s="10"/>
      <c r="J910" s="10"/>
      <c r="K910" s="10"/>
      <c r="L910" s="10"/>
    </row>
    <row r="911" spans="1:12" s="2" customFormat="1" ht="13.2" x14ac:dyDescent="0.25">
      <c r="A911" s="10"/>
      <c r="B911" s="10"/>
      <c r="D911" s="10"/>
      <c r="F911" s="10"/>
      <c r="G911" s="10"/>
      <c r="H911" s="10"/>
      <c r="I911" s="10"/>
      <c r="J911" s="10"/>
      <c r="K911" s="10"/>
      <c r="L911" s="10"/>
    </row>
    <row r="912" spans="1:12" s="2" customFormat="1" ht="13.2" x14ac:dyDescent="0.25">
      <c r="A912" s="10"/>
      <c r="B912" s="10"/>
      <c r="D912" s="10"/>
      <c r="F912" s="10"/>
      <c r="G912" s="10"/>
      <c r="H912" s="10"/>
      <c r="I912" s="10"/>
      <c r="J912" s="10"/>
      <c r="K912" s="10"/>
      <c r="L912" s="10"/>
    </row>
    <row r="913" spans="1:12" s="2" customFormat="1" ht="13.2" x14ac:dyDescent="0.25">
      <c r="A913" s="10"/>
      <c r="B913" s="10"/>
      <c r="D913" s="10"/>
      <c r="F913" s="10"/>
      <c r="G913" s="10"/>
      <c r="H913" s="10"/>
      <c r="I913" s="10"/>
      <c r="J913" s="10"/>
      <c r="K913" s="10"/>
      <c r="L913" s="10"/>
    </row>
    <row r="914" spans="1:12" s="2" customFormat="1" ht="13.2" x14ac:dyDescent="0.25">
      <c r="A914" s="10"/>
      <c r="B914" s="10"/>
      <c r="D914" s="10"/>
      <c r="F914" s="10"/>
      <c r="G914" s="10"/>
      <c r="H914" s="10"/>
      <c r="I914" s="10"/>
      <c r="J914" s="10"/>
      <c r="K914" s="10"/>
      <c r="L914" s="10"/>
    </row>
    <row r="915" spans="1:12" s="2" customFormat="1" ht="13.2" x14ac:dyDescent="0.25">
      <c r="A915" s="10"/>
      <c r="B915" s="10"/>
      <c r="D915" s="10"/>
      <c r="F915" s="10"/>
      <c r="G915" s="10"/>
      <c r="H915" s="10"/>
      <c r="I915" s="10"/>
      <c r="J915" s="10"/>
      <c r="K915" s="10"/>
      <c r="L915" s="10"/>
    </row>
    <row r="916" spans="1:12" s="2" customFormat="1" ht="13.2" x14ac:dyDescent="0.25">
      <c r="A916" s="10"/>
      <c r="B916" s="10"/>
      <c r="D916" s="10"/>
      <c r="F916" s="10"/>
      <c r="G916" s="10"/>
      <c r="H916" s="10"/>
      <c r="I916" s="10"/>
      <c r="J916" s="10"/>
      <c r="K916" s="10"/>
      <c r="L916" s="10"/>
    </row>
    <row r="917" spans="1:12" s="2" customFormat="1" ht="13.2" x14ac:dyDescent="0.25">
      <c r="A917" s="10"/>
      <c r="B917" s="10"/>
      <c r="D917" s="10"/>
      <c r="F917" s="10"/>
      <c r="G917" s="10"/>
      <c r="H917" s="10"/>
      <c r="I917" s="10"/>
      <c r="J917" s="10"/>
      <c r="K917" s="10"/>
      <c r="L917" s="10"/>
    </row>
    <row r="918" spans="1:12" s="2" customFormat="1" ht="13.2" x14ac:dyDescent="0.25">
      <c r="A918" s="10"/>
      <c r="B918" s="10"/>
      <c r="D918" s="10"/>
      <c r="F918" s="10"/>
      <c r="G918" s="10"/>
      <c r="H918" s="10"/>
      <c r="I918" s="10"/>
      <c r="J918" s="10"/>
      <c r="K918" s="10"/>
      <c r="L918" s="10"/>
    </row>
    <row r="919" spans="1:12" s="2" customFormat="1" ht="13.2" x14ac:dyDescent="0.25">
      <c r="A919" s="10"/>
      <c r="B919" s="10"/>
      <c r="D919" s="10"/>
      <c r="F919" s="10"/>
      <c r="G919" s="10"/>
      <c r="H919" s="10"/>
      <c r="I919" s="10"/>
      <c r="J919" s="10"/>
      <c r="K919" s="10"/>
      <c r="L919" s="10"/>
    </row>
    <row r="920" spans="1:12" s="2" customFormat="1" ht="13.2" x14ac:dyDescent="0.25">
      <c r="A920" s="10"/>
      <c r="B920" s="10"/>
      <c r="D920" s="10"/>
      <c r="F920" s="10"/>
      <c r="G920" s="10"/>
      <c r="H920" s="10"/>
      <c r="I920" s="10"/>
      <c r="J920" s="10"/>
      <c r="K920" s="10"/>
      <c r="L920" s="10"/>
    </row>
    <row r="921" spans="1:12" s="2" customFormat="1" ht="13.2" x14ac:dyDescent="0.25">
      <c r="A921" s="10"/>
      <c r="B921" s="10"/>
      <c r="D921" s="10"/>
      <c r="F921" s="10"/>
      <c r="G921" s="10"/>
      <c r="H921" s="10"/>
      <c r="I921" s="10"/>
      <c r="J921" s="10"/>
      <c r="K921" s="10"/>
      <c r="L921" s="10"/>
    </row>
    <row r="922" spans="1:12" s="2" customFormat="1" ht="13.2" x14ac:dyDescent="0.25">
      <c r="A922" s="10"/>
      <c r="B922" s="10"/>
      <c r="D922" s="10"/>
      <c r="F922" s="10"/>
      <c r="G922" s="10"/>
      <c r="H922" s="10"/>
      <c r="I922" s="10"/>
      <c r="J922" s="10"/>
      <c r="K922" s="10"/>
      <c r="L922" s="10"/>
    </row>
    <row r="923" spans="1:12" s="2" customFormat="1" ht="13.2" x14ac:dyDescent="0.25">
      <c r="A923" s="10"/>
      <c r="B923" s="10"/>
      <c r="D923" s="10"/>
      <c r="F923" s="10"/>
      <c r="G923" s="10"/>
      <c r="H923" s="10"/>
      <c r="I923" s="10"/>
      <c r="J923" s="10"/>
      <c r="K923" s="10"/>
      <c r="L923" s="10"/>
    </row>
    <row r="924" spans="1:12" s="2" customFormat="1" ht="13.2" x14ac:dyDescent="0.25">
      <c r="A924" s="10"/>
      <c r="B924" s="10"/>
      <c r="D924" s="10"/>
      <c r="F924" s="10"/>
      <c r="G924" s="10"/>
      <c r="H924" s="10"/>
      <c r="I924" s="10"/>
      <c r="J924" s="10"/>
      <c r="K924" s="10"/>
      <c r="L924" s="10"/>
    </row>
    <row r="925" spans="1:12" s="2" customFormat="1" ht="13.2" x14ac:dyDescent="0.25">
      <c r="A925" s="10"/>
      <c r="B925" s="10"/>
      <c r="D925" s="10"/>
      <c r="F925" s="10"/>
      <c r="G925" s="10"/>
      <c r="H925" s="10"/>
      <c r="I925" s="10"/>
      <c r="J925" s="10"/>
      <c r="K925" s="10"/>
      <c r="L925" s="10"/>
    </row>
    <row r="926" spans="1:12" s="2" customFormat="1" ht="13.2" x14ac:dyDescent="0.25">
      <c r="A926" s="10"/>
      <c r="B926" s="10"/>
      <c r="D926" s="10"/>
      <c r="F926" s="10"/>
      <c r="G926" s="10"/>
      <c r="H926" s="10"/>
      <c r="I926" s="10"/>
      <c r="J926" s="10"/>
      <c r="K926" s="10"/>
      <c r="L926" s="10"/>
    </row>
    <row r="927" spans="1:12" s="2" customFormat="1" ht="13.2" x14ac:dyDescent="0.25">
      <c r="A927" s="10"/>
      <c r="B927" s="10"/>
      <c r="D927" s="10"/>
      <c r="F927" s="10"/>
      <c r="G927" s="10"/>
      <c r="H927" s="10"/>
      <c r="I927" s="10"/>
      <c r="J927" s="10"/>
      <c r="K927" s="10"/>
      <c r="L927" s="10"/>
    </row>
    <row r="928" spans="1:12" s="2" customFormat="1" ht="13.2" x14ac:dyDescent="0.25">
      <c r="A928" s="10"/>
      <c r="B928" s="10"/>
      <c r="D928" s="10"/>
      <c r="F928" s="10"/>
      <c r="G928" s="10"/>
      <c r="H928" s="10"/>
      <c r="I928" s="10"/>
      <c r="J928" s="10"/>
      <c r="K928" s="10"/>
      <c r="L928" s="10"/>
    </row>
    <row r="929" spans="1:12" s="2" customFormat="1" ht="13.2" x14ac:dyDescent="0.25">
      <c r="A929" s="10"/>
      <c r="B929" s="10"/>
      <c r="D929" s="10"/>
      <c r="F929" s="10"/>
      <c r="G929" s="10"/>
      <c r="H929" s="10"/>
      <c r="I929" s="10"/>
      <c r="J929" s="10"/>
      <c r="K929" s="10"/>
      <c r="L929" s="10"/>
    </row>
    <row r="930" spans="1:12" s="2" customFormat="1" ht="13.2" x14ac:dyDescent="0.25">
      <c r="A930" s="10"/>
      <c r="B930" s="10"/>
      <c r="D930" s="10"/>
      <c r="F930" s="10"/>
      <c r="G930" s="10"/>
      <c r="H930" s="10"/>
      <c r="I930" s="10"/>
      <c r="J930" s="10"/>
      <c r="K930" s="10"/>
      <c r="L930" s="10"/>
    </row>
    <row r="931" spans="1:12" s="2" customFormat="1" ht="13.2" x14ac:dyDescent="0.25">
      <c r="A931" s="10"/>
      <c r="B931" s="10"/>
      <c r="D931" s="10"/>
      <c r="F931" s="10"/>
      <c r="G931" s="10"/>
      <c r="H931" s="10"/>
      <c r="I931" s="10"/>
      <c r="J931" s="10"/>
      <c r="K931" s="10"/>
      <c r="L931" s="10"/>
    </row>
    <row r="932" spans="1:12" s="2" customFormat="1" ht="13.2" x14ac:dyDescent="0.25">
      <c r="A932" s="10"/>
      <c r="B932" s="10"/>
      <c r="D932" s="10"/>
      <c r="F932" s="10"/>
      <c r="G932" s="10"/>
      <c r="H932" s="10"/>
      <c r="I932" s="10"/>
      <c r="J932" s="10"/>
      <c r="K932" s="10"/>
      <c r="L932" s="10"/>
    </row>
    <row r="933" spans="1:12" s="2" customFormat="1" ht="13.2" x14ac:dyDescent="0.25">
      <c r="A933" s="10"/>
      <c r="B933" s="10"/>
      <c r="D933" s="10"/>
      <c r="F933" s="10"/>
      <c r="G933" s="10"/>
      <c r="H933" s="10"/>
      <c r="I933" s="10"/>
      <c r="J933" s="10"/>
      <c r="K933" s="10"/>
      <c r="L933" s="10"/>
    </row>
    <row r="934" spans="1:12" s="2" customFormat="1" ht="13.2" x14ac:dyDescent="0.25">
      <c r="A934" s="10"/>
      <c r="B934" s="10"/>
      <c r="D934" s="10"/>
      <c r="F934" s="10"/>
      <c r="G934" s="10"/>
      <c r="H934" s="10"/>
      <c r="I934" s="10"/>
      <c r="J934" s="10"/>
      <c r="K934" s="10"/>
      <c r="L934" s="10"/>
    </row>
    <row r="935" spans="1:12" s="2" customFormat="1" ht="13.2" x14ac:dyDescent="0.25">
      <c r="A935" s="10"/>
      <c r="B935" s="10"/>
      <c r="D935" s="10"/>
      <c r="F935" s="10"/>
      <c r="G935" s="10"/>
      <c r="H935" s="10"/>
      <c r="I935" s="10"/>
      <c r="J935" s="10"/>
      <c r="K935" s="10"/>
      <c r="L935" s="10"/>
    </row>
    <row r="936" spans="1:12" s="2" customFormat="1" ht="13.2" x14ac:dyDescent="0.25">
      <c r="A936" s="10"/>
      <c r="B936" s="10"/>
      <c r="D936" s="10"/>
      <c r="F936" s="10"/>
      <c r="G936" s="10"/>
      <c r="H936" s="10"/>
      <c r="I936" s="10"/>
      <c r="J936" s="10"/>
      <c r="K936" s="10"/>
      <c r="L936" s="10"/>
    </row>
    <row r="937" spans="1:12" s="2" customFormat="1" ht="13.2" x14ac:dyDescent="0.25">
      <c r="A937" s="10"/>
      <c r="B937" s="10"/>
      <c r="D937" s="10"/>
      <c r="F937" s="10"/>
      <c r="G937" s="10"/>
      <c r="H937" s="10"/>
      <c r="I937" s="10"/>
      <c r="J937" s="10"/>
      <c r="K937" s="10"/>
      <c r="L937" s="10"/>
    </row>
    <row r="938" spans="1:12" s="2" customFormat="1" ht="13.2" x14ac:dyDescent="0.25">
      <c r="A938" s="10"/>
      <c r="B938" s="10"/>
      <c r="D938" s="10"/>
      <c r="F938" s="10"/>
      <c r="G938" s="10"/>
      <c r="H938" s="10"/>
      <c r="I938" s="10"/>
      <c r="J938" s="10"/>
      <c r="K938" s="10"/>
      <c r="L938" s="10"/>
    </row>
    <row r="939" spans="1:12" s="2" customFormat="1" ht="13.2" x14ac:dyDescent="0.25">
      <c r="A939" s="10"/>
      <c r="B939" s="10"/>
      <c r="D939" s="10"/>
      <c r="F939" s="10"/>
      <c r="G939" s="10"/>
      <c r="H939" s="10"/>
      <c r="I939" s="10"/>
      <c r="J939" s="10"/>
      <c r="K939" s="10"/>
      <c r="L939" s="10"/>
    </row>
    <row r="940" spans="1:12" s="2" customFormat="1" ht="13.2" x14ac:dyDescent="0.25">
      <c r="A940" s="10"/>
      <c r="B940" s="10"/>
      <c r="D940" s="10"/>
      <c r="F940" s="10"/>
      <c r="G940" s="10"/>
      <c r="H940" s="10"/>
      <c r="I940" s="10"/>
      <c r="J940" s="10"/>
      <c r="K940" s="10"/>
      <c r="L940" s="10"/>
    </row>
    <row r="941" spans="1:12" s="2" customFormat="1" ht="13.2" x14ac:dyDescent="0.25">
      <c r="A941" s="10"/>
      <c r="B941" s="10"/>
      <c r="D941" s="10"/>
      <c r="F941" s="10"/>
      <c r="G941" s="10"/>
      <c r="H941" s="10"/>
      <c r="I941" s="10"/>
      <c r="J941" s="10"/>
      <c r="K941" s="10"/>
      <c r="L941" s="10"/>
    </row>
    <row r="942" spans="1:12" s="2" customFormat="1" ht="13.2" x14ac:dyDescent="0.25">
      <c r="A942" s="10"/>
      <c r="B942" s="10"/>
      <c r="D942" s="10"/>
      <c r="F942" s="10"/>
      <c r="G942" s="10"/>
      <c r="H942" s="10"/>
      <c r="I942" s="10"/>
      <c r="J942" s="10"/>
      <c r="K942" s="10"/>
      <c r="L942" s="10"/>
    </row>
    <row r="943" spans="1:12" s="2" customFormat="1" ht="13.2" x14ac:dyDescent="0.25">
      <c r="A943" s="10"/>
      <c r="B943" s="10"/>
      <c r="D943" s="10"/>
      <c r="F943" s="10"/>
      <c r="G943" s="10"/>
      <c r="H943" s="10"/>
      <c r="I943" s="10"/>
      <c r="J943" s="10"/>
      <c r="K943" s="10"/>
      <c r="L943" s="10"/>
    </row>
    <row r="944" spans="1:12" s="2" customFormat="1" ht="13.2" x14ac:dyDescent="0.25">
      <c r="A944" s="10"/>
      <c r="B944" s="10"/>
      <c r="D944" s="10"/>
      <c r="F944" s="10"/>
      <c r="G944" s="10"/>
      <c r="H944" s="10"/>
      <c r="I944" s="10"/>
      <c r="J944" s="10"/>
      <c r="K944" s="10"/>
      <c r="L944" s="10"/>
    </row>
    <row r="945" spans="1:12" s="2" customFormat="1" ht="13.2" x14ac:dyDescent="0.25">
      <c r="A945" s="10"/>
      <c r="B945" s="10"/>
      <c r="D945" s="10"/>
      <c r="F945" s="10"/>
      <c r="G945" s="10"/>
      <c r="H945" s="10"/>
      <c r="I945" s="10"/>
      <c r="J945" s="10"/>
      <c r="K945" s="10"/>
      <c r="L945" s="10"/>
    </row>
    <row r="946" spans="1:12" s="2" customFormat="1" ht="13.2" x14ac:dyDescent="0.25">
      <c r="A946" s="10"/>
      <c r="B946" s="10"/>
      <c r="D946" s="10"/>
      <c r="F946" s="10"/>
      <c r="G946" s="10"/>
      <c r="H946" s="10"/>
      <c r="I946" s="10"/>
      <c r="J946" s="10"/>
      <c r="K946" s="10"/>
      <c r="L946" s="10"/>
    </row>
    <row r="947" spans="1:12" s="2" customFormat="1" ht="13.2" x14ac:dyDescent="0.25">
      <c r="A947" s="10"/>
      <c r="B947" s="10"/>
      <c r="D947" s="10"/>
      <c r="F947" s="10"/>
      <c r="G947" s="10"/>
      <c r="H947" s="10"/>
      <c r="I947" s="10"/>
      <c r="J947" s="10"/>
      <c r="K947" s="10"/>
      <c r="L947" s="10"/>
    </row>
    <row r="948" spans="1:12" s="2" customFormat="1" ht="13.2" x14ac:dyDescent="0.25">
      <c r="A948" s="10"/>
      <c r="B948" s="10"/>
      <c r="D948" s="10"/>
      <c r="F948" s="10"/>
      <c r="G948" s="10"/>
      <c r="H948" s="10"/>
      <c r="I948" s="10"/>
      <c r="J948" s="10"/>
      <c r="K948" s="10"/>
      <c r="L948" s="10"/>
    </row>
    <row r="949" spans="1:12" s="2" customFormat="1" ht="13.2" x14ac:dyDescent="0.25">
      <c r="A949" s="10"/>
      <c r="B949" s="10"/>
      <c r="D949" s="10"/>
      <c r="F949" s="10"/>
      <c r="G949" s="10"/>
      <c r="H949" s="10"/>
      <c r="I949" s="10"/>
      <c r="J949" s="10"/>
      <c r="K949" s="10"/>
      <c r="L949" s="10"/>
    </row>
    <row r="950" spans="1:12" s="2" customFormat="1" ht="13.2" x14ac:dyDescent="0.25">
      <c r="A950" s="10"/>
      <c r="B950" s="10"/>
      <c r="D950" s="10"/>
      <c r="F950" s="10"/>
      <c r="G950" s="10"/>
      <c r="H950" s="10"/>
      <c r="I950" s="10"/>
      <c r="J950" s="10"/>
      <c r="K950" s="10"/>
      <c r="L950" s="10"/>
    </row>
    <row r="951" spans="1:12" s="2" customFormat="1" ht="13.2" x14ac:dyDescent="0.25">
      <c r="A951" s="10"/>
      <c r="B951" s="10"/>
      <c r="D951" s="10"/>
      <c r="F951" s="10"/>
      <c r="G951" s="10"/>
      <c r="H951" s="10"/>
      <c r="I951" s="10"/>
      <c r="J951" s="10"/>
      <c r="K951" s="10"/>
      <c r="L951" s="10"/>
    </row>
    <row r="952" spans="1:12" s="2" customFormat="1" ht="13.2" x14ac:dyDescent="0.25">
      <c r="A952" s="10"/>
      <c r="B952" s="10"/>
      <c r="D952" s="10"/>
      <c r="F952" s="10"/>
      <c r="G952" s="10"/>
      <c r="H952" s="10"/>
      <c r="I952" s="10"/>
      <c r="J952" s="10"/>
      <c r="K952" s="10"/>
      <c r="L952" s="10"/>
    </row>
    <row r="953" spans="1:12" s="2" customFormat="1" ht="13.2" x14ac:dyDescent="0.25">
      <c r="A953" s="10"/>
      <c r="B953" s="10"/>
      <c r="D953" s="10"/>
      <c r="F953" s="10"/>
      <c r="G953" s="10"/>
      <c r="H953" s="10"/>
      <c r="I953" s="10"/>
      <c r="J953" s="10"/>
      <c r="K953" s="10"/>
      <c r="L953" s="10"/>
    </row>
    <row r="954" spans="1:12" s="2" customFormat="1" ht="13.2" x14ac:dyDescent="0.25">
      <c r="A954" s="10"/>
      <c r="B954" s="10"/>
      <c r="D954" s="10"/>
      <c r="F954" s="10"/>
      <c r="G954" s="10"/>
      <c r="H954" s="10"/>
      <c r="I954" s="10"/>
      <c r="J954" s="10"/>
      <c r="K954" s="10"/>
      <c r="L954" s="10"/>
    </row>
    <row r="955" spans="1:12" s="2" customFormat="1" ht="13.2" x14ac:dyDescent="0.25">
      <c r="A955" s="10"/>
      <c r="B955" s="10"/>
      <c r="D955" s="10"/>
      <c r="F955" s="10"/>
      <c r="G955" s="10"/>
      <c r="H955" s="10"/>
      <c r="I955" s="10"/>
      <c r="J955" s="10"/>
      <c r="K955" s="10"/>
      <c r="L955" s="10"/>
    </row>
    <row r="956" spans="1:12" s="2" customFormat="1" ht="13.2" x14ac:dyDescent="0.25">
      <c r="A956" s="10"/>
      <c r="B956" s="10"/>
      <c r="D956" s="10"/>
      <c r="F956" s="10"/>
      <c r="G956" s="10"/>
      <c r="H956" s="10"/>
      <c r="I956" s="10"/>
      <c r="J956" s="10"/>
      <c r="K956" s="10"/>
      <c r="L956" s="10"/>
    </row>
    <row r="957" spans="1:12" s="2" customFormat="1" ht="13.2" x14ac:dyDescent="0.25">
      <c r="A957" s="10"/>
      <c r="B957" s="10"/>
      <c r="D957" s="10"/>
      <c r="F957" s="10"/>
      <c r="G957" s="10"/>
      <c r="H957" s="10"/>
      <c r="I957" s="10"/>
      <c r="J957" s="10"/>
      <c r="K957" s="10"/>
      <c r="L957" s="10"/>
    </row>
    <row r="958" spans="1:12" s="2" customFormat="1" ht="13.2" x14ac:dyDescent="0.25">
      <c r="A958" s="10"/>
      <c r="B958" s="10"/>
      <c r="D958" s="10"/>
      <c r="F958" s="10"/>
      <c r="G958" s="10"/>
      <c r="H958" s="10"/>
      <c r="I958" s="10"/>
      <c r="J958" s="10"/>
      <c r="K958" s="10"/>
      <c r="L958" s="10"/>
    </row>
    <row r="959" spans="1:12" s="2" customFormat="1" ht="13.2" x14ac:dyDescent="0.25">
      <c r="A959" s="10"/>
      <c r="B959" s="10"/>
      <c r="D959" s="10"/>
      <c r="F959" s="10"/>
      <c r="G959" s="10"/>
      <c r="H959" s="10"/>
      <c r="I959" s="10"/>
      <c r="J959" s="10"/>
      <c r="K959" s="10"/>
      <c r="L959" s="10"/>
    </row>
    <row r="960" spans="1:12" s="2" customFormat="1" ht="13.2" x14ac:dyDescent="0.25">
      <c r="A960" s="10"/>
      <c r="B960" s="10"/>
      <c r="D960" s="10"/>
      <c r="F960" s="10"/>
      <c r="G960" s="10"/>
      <c r="H960" s="10"/>
      <c r="I960" s="10"/>
      <c r="J960" s="10"/>
      <c r="K960" s="10"/>
      <c r="L960" s="10"/>
    </row>
    <row r="961" spans="1:12" s="2" customFormat="1" ht="13.2" x14ac:dyDescent="0.25">
      <c r="A961" s="10"/>
      <c r="B961" s="10"/>
      <c r="D961" s="10"/>
      <c r="F961" s="10"/>
      <c r="G961" s="10"/>
      <c r="H961" s="10"/>
      <c r="I961" s="10"/>
      <c r="J961" s="10"/>
      <c r="K961" s="10"/>
      <c r="L961" s="10"/>
    </row>
    <row r="962" spans="1:12" s="2" customFormat="1" ht="13.2" x14ac:dyDescent="0.25">
      <c r="A962" s="10"/>
      <c r="B962" s="10"/>
      <c r="D962" s="10"/>
      <c r="F962" s="10"/>
      <c r="G962" s="10"/>
      <c r="H962" s="10"/>
      <c r="I962" s="10"/>
      <c r="J962" s="10"/>
      <c r="K962" s="10"/>
      <c r="L962" s="10"/>
    </row>
    <row r="963" spans="1:12" s="2" customFormat="1" ht="13.2" x14ac:dyDescent="0.25">
      <c r="A963" s="10"/>
      <c r="B963" s="10"/>
      <c r="D963" s="10"/>
      <c r="F963" s="10"/>
      <c r="G963" s="10"/>
      <c r="H963" s="10"/>
      <c r="I963" s="10"/>
      <c r="J963" s="10"/>
      <c r="K963" s="10"/>
      <c r="L963" s="10"/>
    </row>
    <row r="964" spans="1:12" s="2" customFormat="1" ht="13.2" x14ac:dyDescent="0.25">
      <c r="A964" s="10"/>
      <c r="B964" s="10"/>
      <c r="D964" s="10"/>
      <c r="F964" s="10"/>
      <c r="G964" s="10"/>
      <c r="H964" s="10"/>
      <c r="I964" s="10"/>
      <c r="J964" s="10"/>
      <c r="K964" s="10"/>
      <c r="L964" s="10"/>
    </row>
    <row r="965" spans="1:12" s="2" customFormat="1" ht="13.2" x14ac:dyDescent="0.25">
      <c r="A965" s="10"/>
      <c r="B965" s="10"/>
      <c r="D965" s="10"/>
      <c r="F965" s="10"/>
      <c r="G965" s="10"/>
      <c r="H965" s="10"/>
      <c r="I965" s="10"/>
      <c r="J965" s="10"/>
      <c r="K965" s="10"/>
      <c r="L965" s="10"/>
    </row>
    <row r="966" spans="1:12" s="2" customFormat="1" ht="13.2" x14ac:dyDescent="0.25">
      <c r="A966" s="10"/>
      <c r="B966" s="10"/>
      <c r="D966" s="10"/>
      <c r="F966" s="10"/>
      <c r="G966" s="10"/>
      <c r="H966" s="10"/>
      <c r="I966" s="10"/>
      <c r="J966" s="10"/>
      <c r="K966" s="10"/>
      <c r="L966" s="10"/>
    </row>
    <row r="967" spans="1:12" s="2" customFormat="1" ht="13.2" x14ac:dyDescent="0.25">
      <c r="A967" s="10"/>
      <c r="B967" s="10"/>
      <c r="D967" s="10"/>
      <c r="F967" s="10"/>
      <c r="G967" s="10"/>
      <c r="H967" s="10"/>
      <c r="I967" s="10"/>
      <c r="J967" s="10"/>
      <c r="K967" s="10"/>
      <c r="L967" s="10"/>
    </row>
    <row r="968" spans="1:12" s="2" customFormat="1" ht="13.2" x14ac:dyDescent="0.25">
      <c r="A968" s="10"/>
      <c r="B968" s="10"/>
      <c r="D968" s="10"/>
      <c r="F968" s="10"/>
      <c r="G968" s="10"/>
      <c r="H968" s="10"/>
      <c r="I968" s="10"/>
      <c r="J968" s="10"/>
      <c r="K968" s="10"/>
      <c r="L968" s="10"/>
    </row>
    <row r="969" spans="1:12" s="2" customFormat="1" ht="13.2" x14ac:dyDescent="0.25">
      <c r="A969" s="10"/>
      <c r="B969" s="10"/>
      <c r="D969" s="10"/>
      <c r="F969" s="10"/>
      <c r="G969" s="10"/>
      <c r="H969" s="10"/>
      <c r="I969" s="10"/>
      <c r="J969" s="10"/>
      <c r="K969" s="10"/>
      <c r="L969" s="10"/>
    </row>
    <row r="970" spans="1:12" s="2" customFormat="1" ht="13.2" x14ac:dyDescent="0.25">
      <c r="A970" s="10"/>
      <c r="B970" s="10"/>
      <c r="D970" s="10"/>
      <c r="F970" s="10"/>
      <c r="G970" s="10"/>
      <c r="H970" s="10"/>
      <c r="I970" s="10"/>
      <c r="J970" s="10"/>
      <c r="K970" s="10"/>
      <c r="L970" s="10"/>
    </row>
    <row r="971" spans="1:12" s="2" customFormat="1" ht="13.2" x14ac:dyDescent="0.25">
      <c r="A971" s="10"/>
      <c r="B971" s="10"/>
      <c r="D971" s="10"/>
      <c r="F971" s="10"/>
      <c r="G971" s="10"/>
      <c r="H971" s="10"/>
      <c r="I971" s="10"/>
      <c r="J971" s="10"/>
      <c r="K971" s="10"/>
      <c r="L971" s="10"/>
    </row>
    <row r="972" spans="1:12" s="2" customFormat="1" ht="13.2" x14ac:dyDescent="0.25">
      <c r="A972" s="10"/>
      <c r="B972" s="10"/>
      <c r="D972" s="10"/>
      <c r="F972" s="10"/>
      <c r="G972" s="10"/>
      <c r="H972" s="10"/>
      <c r="I972" s="10"/>
      <c r="J972" s="10"/>
      <c r="K972" s="10"/>
      <c r="L972" s="10"/>
    </row>
    <row r="973" spans="1:12" s="2" customFormat="1" ht="13.2" x14ac:dyDescent="0.25">
      <c r="A973" s="10"/>
      <c r="B973" s="10"/>
      <c r="D973" s="10"/>
      <c r="F973" s="10"/>
      <c r="G973" s="10"/>
      <c r="H973" s="10"/>
      <c r="I973" s="10"/>
      <c r="J973" s="10"/>
      <c r="K973" s="10"/>
      <c r="L973" s="10"/>
    </row>
    <row r="974" spans="1:12" s="2" customFormat="1" ht="13.2" x14ac:dyDescent="0.25">
      <c r="A974" s="10"/>
      <c r="B974" s="10"/>
      <c r="D974" s="10"/>
      <c r="F974" s="10"/>
      <c r="G974" s="10"/>
      <c r="H974" s="10"/>
      <c r="I974" s="10"/>
      <c r="J974" s="10"/>
      <c r="K974" s="10"/>
      <c r="L974" s="10"/>
    </row>
    <row r="975" spans="1:12" s="2" customFormat="1" ht="13.2" x14ac:dyDescent="0.25">
      <c r="A975" s="10"/>
      <c r="B975" s="10"/>
      <c r="D975" s="10"/>
      <c r="F975" s="10"/>
      <c r="G975" s="10"/>
      <c r="H975" s="10"/>
      <c r="I975" s="10"/>
      <c r="J975" s="10"/>
      <c r="K975" s="10"/>
      <c r="L975" s="10"/>
    </row>
    <row r="976" spans="1:12" s="2" customFormat="1" ht="13.2" x14ac:dyDescent="0.25">
      <c r="A976" s="10"/>
      <c r="B976" s="10"/>
      <c r="D976" s="10"/>
      <c r="F976" s="10"/>
      <c r="G976" s="10"/>
      <c r="H976" s="10"/>
      <c r="I976" s="10"/>
      <c r="J976" s="10"/>
      <c r="K976" s="10"/>
      <c r="L976" s="10"/>
    </row>
    <row r="977" spans="1:12" s="2" customFormat="1" ht="13.2" x14ac:dyDescent="0.25">
      <c r="A977" s="10"/>
      <c r="B977" s="10"/>
      <c r="D977" s="10"/>
      <c r="F977" s="10"/>
      <c r="G977" s="10"/>
      <c r="H977" s="10"/>
      <c r="I977" s="10"/>
      <c r="J977" s="10"/>
      <c r="K977" s="10"/>
      <c r="L977" s="10"/>
    </row>
    <row r="978" spans="1:12" s="2" customFormat="1" ht="13.2" x14ac:dyDescent="0.25">
      <c r="A978" s="10"/>
      <c r="B978" s="10"/>
      <c r="D978" s="10"/>
      <c r="F978" s="10"/>
      <c r="G978" s="10"/>
      <c r="H978" s="10"/>
      <c r="I978" s="10"/>
      <c r="J978" s="10"/>
      <c r="K978" s="10"/>
      <c r="L978" s="10"/>
    </row>
    <row r="979" spans="1:12" s="2" customFormat="1" ht="13.2" x14ac:dyDescent="0.25">
      <c r="A979" s="10"/>
      <c r="B979" s="10"/>
      <c r="D979" s="10"/>
      <c r="F979" s="10"/>
      <c r="G979" s="10"/>
      <c r="H979" s="10"/>
      <c r="I979" s="10"/>
      <c r="J979" s="10"/>
      <c r="K979" s="10"/>
      <c r="L979" s="10"/>
    </row>
    <row r="980" spans="1:12" s="2" customFormat="1" ht="13.2" x14ac:dyDescent="0.25">
      <c r="A980" s="10"/>
      <c r="B980" s="10"/>
      <c r="D980" s="10"/>
      <c r="F980" s="10"/>
      <c r="G980" s="10"/>
      <c r="H980" s="10"/>
      <c r="I980" s="10"/>
      <c r="J980" s="10"/>
      <c r="K980" s="10"/>
      <c r="L980" s="10"/>
    </row>
    <row r="981" spans="1:12" s="2" customFormat="1" ht="13.2" x14ac:dyDescent="0.25">
      <c r="A981" s="10"/>
      <c r="B981" s="10"/>
      <c r="D981" s="10"/>
      <c r="F981" s="10"/>
      <c r="G981" s="10"/>
      <c r="H981" s="10"/>
      <c r="I981" s="10"/>
      <c r="J981" s="10"/>
      <c r="K981" s="10"/>
      <c r="L981" s="10"/>
    </row>
    <row r="982" spans="1:12" s="2" customFormat="1" ht="13.2" x14ac:dyDescent="0.25">
      <c r="A982" s="10"/>
      <c r="B982" s="10"/>
      <c r="D982" s="10"/>
      <c r="F982" s="10"/>
      <c r="G982" s="10"/>
      <c r="H982" s="10"/>
      <c r="I982" s="10"/>
      <c r="J982" s="10"/>
      <c r="K982" s="10"/>
      <c r="L982" s="10"/>
    </row>
    <row r="983" spans="1:12" s="2" customFormat="1" ht="13.2" x14ac:dyDescent="0.25">
      <c r="A983" s="10"/>
      <c r="B983" s="10"/>
      <c r="D983" s="10"/>
      <c r="F983" s="10"/>
      <c r="G983" s="10"/>
      <c r="H983" s="10"/>
      <c r="I983" s="10"/>
      <c r="J983" s="10"/>
      <c r="K983" s="10"/>
      <c r="L983" s="10"/>
    </row>
    <row r="984" spans="1:12" s="2" customFormat="1" ht="13.2" x14ac:dyDescent="0.25">
      <c r="A984" s="10"/>
      <c r="B984" s="10"/>
      <c r="D984" s="10"/>
      <c r="F984" s="10"/>
      <c r="G984" s="10"/>
      <c r="H984" s="10"/>
      <c r="I984" s="10"/>
      <c r="J984" s="10"/>
      <c r="K984" s="10"/>
      <c r="L984" s="10"/>
    </row>
    <row r="985" spans="1:12" s="2" customFormat="1" ht="13.2" x14ac:dyDescent="0.25">
      <c r="A985" s="10"/>
      <c r="B985" s="10"/>
      <c r="D985" s="10"/>
      <c r="F985" s="10"/>
      <c r="G985" s="10"/>
      <c r="H985" s="10"/>
      <c r="I985" s="10"/>
      <c r="J985" s="10"/>
      <c r="K985" s="10"/>
      <c r="L985" s="10"/>
    </row>
    <row r="986" spans="1:12" s="2" customFormat="1" ht="13.2" x14ac:dyDescent="0.25">
      <c r="A986" s="10"/>
      <c r="B986" s="10"/>
      <c r="D986" s="10"/>
      <c r="F986" s="10"/>
      <c r="G986" s="10"/>
      <c r="H986" s="10"/>
      <c r="I986" s="10"/>
      <c r="J986" s="10"/>
      <c r="K986" s="10"/>
      <c r="L986" s="10"/>
    </row>
    <row r="987" spans="1:12" s="2" customFormat="1" ht="13.2" x14ac:dyDescent="0.25">
      <c r="A987" s="10"/>
      <c r="B987" s="10"/>
      <c r="D987" s="10"/>
      <c r="F987" s="10"/>
      <c r="G987" s="10"/>
      <c r="H987" s="10"/>
      <c r="I987" s="10"/>
      <c r="J987" s="10"/>
      <c r="K987" s="10"/>
      <c r="L987" s="10"/>
    </row>
    <row r="988" spans="1:12" s="2" customFormat="1" ht="13.2" x14ac:dyDescent="0.25">
      <c r="A988" s="10"/>
      <c r="B988" s="10"/>
      <c r="D988" s="10"/>
      <c r="F988" s="10"/>
      <c r="G988" s="10"/>
      <c r="H988" s="10"/>
      <c r="I988" s="10"/>
      <c r="J988" s="10"/>
      <c r="K988" s="10"/>
      <c r="L988" s="10"/>
    </row>
    <row r="989" spans="1:12" s="2" customFormat="1" ht="13.2" x14ac:dyDescent="0.25">
      <c r="A989" s="10"/>
      <c r="B989" s="10"/>
      <c r="D989" s="10"/>
      <c r="F989" s="10"/>
      <c r="G989" s="10"/>
      <c r="H989" s="10"/>
      <c r="I989" s="10"/>
      <c r="J989" s="10"/>
      <c r="K989" s="10"/>
      <c r="L989" s="10"/>
    </row>
    <row r="990" spans="1:12" s="2" customFormat="1" ht="13.2" x14ac:dyDescent="0.25">
      <c r="A990" s="10"/>
      <c r="B990" s="10"/>
      <c r="D990" s="10"/>
      <c r="F990" s="10"/>
      <c r="G990" s="10"/>
      <c r="H990" s="10"/>
      <c r="I990" s="10"/>
      <c r="J990" s="10"/>
      <c r="K990" s="10"/>
      <c r="L990" s="10"/>
    </row>
    <row r="991" spans="1:12" s="2" customFormat="1" ht="13.2" x14ac:dyDescent="0.25">
      <c r="A991" s="10"/>
      <c r="B991" s="10"/>
      <c r="D991" s="10"/>
      <c r="F991" s="10"/>
      <c r="G991" s="10"/>
      <c r="H991" s="10"/>
      <c r="I991" s="10"/>
      <c r="J991" s="10"/>
      <c r="K991" s="10"/>
      <c r="L991" s="10"/>
    </row>
    <row r="992" spans="1:12" s="2" customFormat="1" ht="13.2" x14ac:dyDescent="0.25">
      <c r="A992" s="10"/>
      <c r="B992" s="10"/>
      <c r="D992" s="10"/>
      <c r="F992" s="10"/>
      <c r="G992" s="10"/>
      <c r="H992" s="10"/>
      <c r="I992" s="10"/>
      <c r="J992" s="10"/>
      <c r="K992" s="10"/>
      <c r="L992" s="10"/>
    </row>
    <row r="993" spans="1:12" s="2" customFormat="1" ht="13.2" x14ac:dyDescent="0.25">
      <c r="A993" s="10"/>
      <c r="B993" s="10"/>
      <c r="D993" s="10"/>
      <c r="F993" s="10"/>
      <c r="G993" s="10"/>
      <c r="H993" s="10"/>
      <c r="I993" s="10"/>
      <c r="J993" s="10"/>
      <c r="K993" s="10"/>
      <c r="L993" s="10"/>
    </row>
    <row r="994" spans="1:12" s="2" customFormat="1" ht="13.2" x14ac:dyDescent="0.25">
      <c r="A994" s="10"/>
      <c r="B994" s="10"/>
      <c r="D994" s="10"/>
      <c r="F994" s="10"/>
      <c r="G994" s="10"/>
      <c r="H994" s="10"/>
      <c r="I994" s="10"/>
      <c r="J994" s="10"/>
      <c r="K994" s="10"/>
      <c r="L994" s="10"/>
    </row>
    <row r="995" spans="1:12" s="2" customFormat="1" ht="13.2" x14ac:dyDescent="0.25">
      <c r="A995" s="10"/>
      <c r="B995" s="10"/>
      <c r="D995" s="10"/>
      <c r="F995" s="10"/>
      <c r="G995" s="10"/>
      <c r="H995" s="10"/>
      <c r="I995" s="10"/>
      <c r="J995" s="10"/>
      <c r="K995" s="10"/>
      <c r="L995" s="10"/>
    </row>
    <row r="996" spans="1:12" s="2" customFormat="1" ht="13.2" x14ac:dyDescent="0.25">
      <c r="A996" s="10"/>
      <c r="B996" s="10"/>
      <c r="D996" s="10"/>
      <c r="F996" s="10"/>
      <c r="G996" s="10"/>
      <c r="H996" s="10"/>
      <c r="I996" s="10"/>
      <c r="J996" s="10"/>
      <c r="K996" s="10"/>
      <c r="L996" s="10"/>
    </row>
    <row r="997" spans="1:12" s="2" customFormat="1" ht="13.2" x14ac:dyDescent="0.25">
      <c r="A997" s="10"/>
      <c r="B997" s="10"/>
      <c r="D997" s="10"/>
      <c r="F997" s="10"/>
      <c r="G997" s="10"/>
      <c r="H997" s="10"/>
      <c r="I997" s="10"/>
      <c r="J997" s="10"/>
      <c r="K997" s="10"/>
      <c r="L997" s="10"/>
    </row>
    <row r="998" spans="1:12" s="2" customFormat="1" ht="13.2" x14ac:dyDescent="0.25">
      <c r="A998" s="10"/>
      <c r="B998" s="10"/>
      <c r="D998" s="10"/>
      <c r="F998" s="10"/>
      <c r="G998" s="10"/>
      <c r="H998" s="10"/>
      <c r="I998" s="10"/>
      <c r="J998" s="10"/>
      <c r="K998" s="10"/>
      <c r="L998" s="10"/>
    </row>
    <row r="999" spans="1:12" s="2" customFormat="1" ht="13.2" x14ac:dyDescent="0.25">
      <c r="A999" s="10"/>
      <c r="B999" s="10"/>
      <c r="D999" s="10"/>
      <c r="F999" s="10"/>
      <c r="G999" s="10"/>
      <c r="H999" s="10"/>
      <c r="I999" s="10"/>
      <c r="J999" s="10"/>
      <c r="K999" s="10"/>
      <c r="L999" s="10"/>
    </row>
    <row r="1000" spans="1:12" s="2" customFormat="1" ht="13.2" x14ac:dyDescent="0.25">
      <c r="A1000" s="10"/>
      <c r="B1000" s="10"/>
      <c r="D1000" s="10"/>
      <c r="F1000" s="10"/>
      <c r="G1000" s="10"/>
      <c r="H1000" s="10"/>
      <c r="I1000" s="10"/>
      <c r="J1000" s="10"/>
      <c r="K1000" s="10"/>
      <c r="L1000" s="10"/>
    </row>
    <row r="1001" spans="1:12" s="2" customFormat="1" ht="13.2" x14ac:dyDescent="0.25">
      <c r="A1001" s="10"/>
      <c r="B1001" s="10"/>
      <c r="D1001" s="10"/>
      <c r="F1001" s="10"/>
      <c r="G1001" s="10"/>
      <c r="H1001" s="10"/>
      <c r="I1001" s="10"/>
      <c r="J1001" s="10"/>
      <c r="K1001" s="10"/>
      <c r="L1001" s="10"/>
    </row>
    <row r="1002" spans="1:12" s="2" customFormat="1" ht="13.2" x14ac:dyDescent="0.25">
      <c r="A1002" s="10"/>
      <c r="B1002" s="10"/>
      <c r="D1002" s="10"/>
      <c r="F1002" s="10"/>
      <c r="G1002" s="10"/>
      <c r="H1002" s="10"/>
      <c r="I1002" s="10"/>
      <c r="J1002" s="10"/>
      <c r="K1002" s="10"/>
      <c r="L1002" s="10"/>
    </row>
    <row r="1003" spans="1:12" s="2" customFormat="1" ht="13.2" x14ac:dyDescent="0.25">
      <c r="A1003" s="10"/>
      <c r="B1003" s="10"/>
      <c r="D1003" s="10"/>
      <c r="F1003" s="10"/>
      <c r="G1003" s="10"/>
      <c r="H1003" s="10"/>
      <c r="I1003" s="10"/>
      <c r="J1003" s="10"/>
      <c r="K1003" s="10"/>
      <c r="L1003" s="10"/>
    </row>
    <row r="1004" spans="1:12" s="2" customFormat="1" ht="13.2" x14ac:dyDescent="0.25">
      <c r="A1004" s="10"/>
      <c r="B1004" s="10"/>
      <c r="D1004" s="10"/>
      <c r="F1004" s="10"/>
      <c r="G1004" s="10"/>
      <c r="H1004" s="10"/>
      <c r="I1004" s="10"/>
      <c r="J1004" s="10"/>
      <c r="K1004" s="10"/>
      <c r="L1004" s="10"/>
    </row>
    <row r="1005" spans="1:12" s="2" customFormat="1" ht="13.2" x14ac:dyDescent="0.25">
      <c r="A1005" s="10"/>
      <c r="B1005" s="10"/>
      <c r="D1005" s="10"/>
      <c r="F1005" s="10"/>
      <c r="G1005" s="10"/>
      <c r="H1005" s="10"/>
      <c r="I1005" s="10"/>
      <c r="J1005" s="10"/>
      <c r="K1005" s="10"/>
      <c r="L1005" s="10"/>
    </row>
    <row r="1006" spans="1:12" s="2" customFormat="1" ht="13.2" x14ac:dyDescent="0.25">
      <c r="A1006" s="10"/>
      <c r="B1006" s="10"/>
      <c r="D1006" s="10"/>
      <c r="F1006" s="10"/>
      <c r="G1006" s="10"/>
      <c r="H1006" s="10"/>
      <c r="I1006" s="10"/>
      <c r="J1006" s="10"/>
      <c r="K1006" s="10"/>
      <c r="L1006" s="10"/>
    </row>
    <row r="1007" spans="1:12" s="2" customFormat="1" ht="13.2" x14ac:dyDescent="0.25">
      <c r="A1007" s="10"/>
      <c r="B1007" s="10"/>
      <c r="D1007" s="10"/>
      <c r="F1007" s="10"/>
      <c r="G1007" s="10"/>
      <c r="H1007" s="10"/>
      <c r="I1007" s="10"/>
      <c r="J1007" s="10"/>
      <c r="K1007" s="10"/>
      <c r="L1007" s="10"/>
    </row>
    <row r="1008" spans="1:12" s="2" customFormat="1" ht="13.2" x14ac:dyDescent="0.25">
      <c r="A1008" s="10"/>
      <c r="B1008" s="10"/>
      <c r="D1008" s="10"/>
      <c r="F1008" s="10"/>
      <c r="G1008" s="10"/>
      <c r="H1008" s="10"/>
      <c r="I1008" s="10"/>
      <c r="J1008" s="10"/>
      <c r="K1008" s="10"/>
      <c r="L1008" s="10"/>
    </row>
    <row r="1009" spans="1:12" s="2" customFormat="1" ht="13.2" x14ac:dyDescent="0.25">
      <c r="A1009" s="10"/>
      <c r="B1009" s="10"/>
      <c r="D1009" s="10"/>
      <c r="F1009" s="10"/>
      <c r="G1009" s="10"/>
      <c r="H1009" s="10"/>
      <c r="I1009" s="10"/>
      <c r="J1009" s="10"/>
      <c r="K1009" s="10"/>
      <c r="L1009" s="10"/>
    </row>
    <row r="1010" spans="1:12" s="2" customFormat="1" ht="13.2" x14ac:dyDescent="0.25">
      <c r="A1010" s="10"/>
      <c r="B1010" s="10"/>
      <c r="D1010" s="10"/>
      <c r="F1010" s="10"/>
      <c r="G1010" s="10"/>
      <c r="H1010" s="10"/>
      <c r="I1010" s="10"/>
      <c r="J1010" s="10"/>
      <c r="K1010" s="10"/>
      <c r="L1010" s="10"/>
    </row>
    <row r="1011" spans="1:12" s="2" customFormat="1" ht="13.2" x14ac:dyDescent="0.25">
      <c r="A1011" s="10"/>
      <c r="B1011" s="10"/>
      <c r="D1011" s="10"/>
      <c r="F1011" s="10"/>
      <c r="G1011" s="10"/>
      <c r="H1011" s="10"/>
      <c r="I1011" s="10"/>
      <c r="J1011" s="10"/>
      <c r="K1011" s="10"/>
      <c r="L1011" s="10"/>
    </row>
    <row r="1012" spans="1:12" s="2" customFormat="1" ht="13.2" x14ac:dyDescent="0.25">
      <c r="A1012" s="10"/>
      <c r="B1012" s="10"/>
      <c r="D1012" s="10"/>
      <c r="F1012" s="10"/>
      <c r="G1012" s="10"/>
      <c r="H1012" s="10"/>
      <c r="I1012" s="10"/>
      <c r="J1012" s="10"/>
      <c r="K1012" s="10"/>
      <c r="L1012" s="10"/>
    </row>
    <row r="1013" spans="1:12" s="2" customFormat="1" ht="13.2" x14ac:dyDescent="0.25">
      <c r="A1013" s="10"/>
      <c r="B1013" s="10"/>
      <c r="D1013" s="10"/>
      <c r="F1013" s="10"/>
      <c r="G1013" s="10"/>
      <c r="H1013" s="10"/>
      <c r="I1013" s="10"/>
      <c r="J1013" s="10"/>
      <c r="K1013" s="10"/>
      <c r="L1013" s="10"/>
    </row>
    <row r="1014" spans="1:12" s="2" customFormat="1" ht="13.2" x14ac:dyDescent="0.25">
      <c r="A1014" s="10"/>
      <c r="B1014" s="10"/>
      <c r="D1014" s="10"/>
      <c r="F1014" s="10"/>
      <c r="G1014" s="10"/>
      <c r="H1014" s="10"/>
      <c r="I1014" s="10"/>
      <c r="J1014" s="10"/>
      <c r="K1014" s="10"/>
      <c r="L1014" s="10"/>
    </row>
    <row r="1015" spans="1:12" s="2" customFormat="1" ht="13.2" x14ac:dyDescent="0.25">
      <c r="A1015" s="10"/>
      <c r="B1015" s="10"/>
      <c r="D1015" s="10"/>
      <c r="F1015" s="10"/>
      <c r="G1015" s="10"/>
      <c r="H1015" s="10"/>
      <c r="I1015" s="10"/>
      <c r="J1015" s="10"/>
      <c r="K1015" s="10"/>
      <c r="L1015" s="10"/>
    </row>
    <row r="1016" spans="1:12" s="2" customFormat="1" ht="13.2" x14ac:dyDescent="0.25">
      <c r="A1016" s="10"/>
      <c r="B1016" s="10"/>
      <c r="D1016" s="10"/>
      <c r="F1016" s="10"/>
      <c r="G1016" s="10"/>
      <c r="H1016" s="10"/>
      <c r="I1016" s="10"/>
      <c r="J1016" s="10"/>
      <c r="K1016" s="10"/>
      <c r="L1016" s="10"/>
    </row>
    <row r="1017" spans="1:12" s="2" customFormat="1" ht="13.2" x14ac:dyDescent="0.25">
      <c r="A1017" s="10"/>
      <c r="B1017" s="10"/>
      <c r="D1017" s="10"/>
      <c r="F1017" s="10"/>
      <c r="G1017" s="10"/>
      <c r="H1017" s="10"/>
      <c r="I1017" s="10"/>
      <c r="J1017" s="10"/>
      <c r="K1017" s="10"/>
      <c r="L1017" s="10"/>
    </row>
    <row r="1018" spans="1:12" s="2" customFormat="1" ht="13.2" x14ac:dyDescent="0.25">
      <c r="A1018" s="10"/>
      <c r="B1018" s="10"/>
      <c r="D1018" s="10"/>
      <c r="F1018" s="10"/>
      <c r="G1018" s="10"/>
      <c r="H1018" s="10"/>
      <c r="I1018" s="10"/>
      <c r="J1018" s="10"/>
      <c r="K1018" s="10"/>
      <c r="L1018" s="10"/>
    </row>
    <row r="1019" spans="1:12" s="2" customFormat="1" ht="13.2" x14ac:dyDescent="0.25">
      <c r="A1019" s="10"/>
      <c r="B1019" s="10"/>
      <c r="D1019" s="10"/>
      <c r="F1019" s="10"/>
      <c r="G1019" s="10"/>
      <c r="H1019" s="10"/>
      <c r="I1019" s="10"/>
      <c r="J1019" s="10"/>
      <c r="K1019" s="10"/>
      <c r="L1019" s="10"/>
    </row>
    <row r="1020" spans="1:12" s="2" customFormat="1" ht="13.2" x14ac:dyDescent="0.25">
      <c r="A1020" s="10"/>
      <c r="B1020" s="10"/>
      <c r="D1020" s="10"/>
      <c r="F1020" s="10"/>
      <c r="G1020" s="10"/>
      <c r="H1020" s="10"/>
      <c r="I1020" s="10"/>
      <c r="J1020" s="10"/>
      <c r="K1020" s="10"/>
      <c r="L1020" s="10"/>
    </row>
    <row r="1021" spans="1:12" s="2" customFormat="1" ht="13.2" x14ac:dyDescent="0.25">
      <c r="A1021" s="10"/>
      <c r="B1021" s="10"/>
      <c r="D1021" s="10"/>
      <c r="F1021" s="10"/>
      <c r="G1021" s="10"/>
      <c r="H1021" s="10"/>
      <c r="I1021" s="10"/>
      <c r="J1021" s="10"/>
      <c r="K1021" s="10"/>
      <c r="L1021" s="10"/>
    </row>
    <row r="1022" spans="1:12" s="2" customFormat="1" ht="13.2" x14ac:dyDescent="0.25">
      <c r="A1022" s="10"/>
      <c r="B1022" s="10"/>
      <c r="D1022" s="10"/>
      <c r="F1022" s="10"/>
      <c r="G1022" s="10"/>
      <c r="H1022" s="10"/>
      <c r="I1022" s="10"/>
      <c r="J1022" s="10"/>
      <c r="K1022" s="10"/>
      <c r="L1022" s="10"/>
    </row>
    <row r="1023" spans="1:12" s="2" customFormat="1" ht="13.2" x14ac:dyDescent="0.25">
      <c r="A1023" s="10"/>
      <c r="B1023" s="10"/>
      <c r="D1023" s="10"/>
      <c r="F1023" s="10"/>
      <c r="G1023" s="10"/>
      <c r="H1023" s="10"/>
      <c r="I1023" s="10"/>
      <c r="J1023" s="10"/>
      <c r="K1023" s="10"/>
      <c r="L1023" s="10"/>
    </row>
    <row r="1024" spans="1:12" s="2" customFormat="1" ht="13.2" x14ac:dyDescent="0.25">
      <c r="A1024" s="10"/>
      <c r="B1024" s="10"/>
      <c r="D1024" s="10"/>
      <c r="F1024" s="10"/>
      <c r="G1024" s="10"/>
      <c r="H1024" s="10"/>
      <c r="I1024" s="10"/>
      <c r="J1024" s="10"/>
      <c r="K1024" s="10"/>
      <c r="L1024" s="10"/>
    </row>
    <row r="1025" spans="1:12" s="2" customFormat="1" ht="13.2" x14ac:dyDescent="0.25">
      <c r="A1025" s="10"/>
      <c r="B1025" s="10"/>
      <c r="D1025" s="10"/>
      <c r="F1025" s="10"/>
      <c r="G1025" s="10"/>
      <c r="H1025" s="10"/>
      <c r="I1025" s="10"/>
      <c r="J1025" s="10"/>
      <c r="K1025" s="10"/>
      <c r="L1025" s="10"/>
    </row>
    <row r="1026" spans="1:12" s="2" customFormat="1" ht="13.2" x14ac:dyDescent="0.25">
      <c r="A1026" s="10"/>
      <c r="B1026" s="10"/>
      <c r="D1026" s="10"/>
      <c r="F1026" s="10"/>
      <c r="G1026" s="10"/>
      <c r="H1026" s="10"/>
      <c r="I1026" s="10"/>
      <c r="J1026" s="10"/>
      <c r="K1026" s="10"/>
      <c r="L1026" s="10"/>
    </row>
    <row r="1027" spans="1:12" s="2" customFormat="1" ht="13.2" x14ac:dyDescent="0.25">
      <c r="A1027" s="10"/>
      <c r="B1027" s="10"/>
      <c r="D1027" s="10"/>
      <c r="F1027" s="10"/>
      <c r="G1027" s="10"/>
      <c r="H1027" s="10"/>
      <c r="I1027" s="10"/>
      <c r="J1027" s="10"/>
      <c r="K1027" s="10"/>
      <c r="L1027" s="10"/>
    </row>
    <row r="1028" spans="1:12" s="2" customFormat="1" ht="13.2" x14ac:dyDescent="0.25">
      <c r="A1028" s="10"/>
      <c r="B1028" s="10"/>
      <c r="D1028" s="10"/>
      <c r="F1028" s="10"/>
      <c r="G1028" s="10"/>
      <c r="H1028" s="10"/>
      <c r="I1028" s="10"/>
      <c r="J1028" s="10"/>
      <c r="K1028" s="10"/>
      <c r="L1028" s="10"/>
    </row>
    <row r="1029" spans="1:12" s="2" customFormat="1" ht="13.2" x14ac:dyDescent="0.25">
      <c r="A1029" s="10"/>
      <c r="B1029" s="10"/>
      <c r="D1029" s="10"/>
      <c r="F1029" s="10"/>
      <c r="G1029" s="10"/>
      <c r="H1029" s="10"/>
      <c r="I1029" s="10"/>
      <c r="J1029" s="10"/>
      <c r="K1029" s="10"/>
      <c r="L1029" s="10"/>
    </row>
    <row r="1030" spans="1:12" s="2" customFormat="1" ht="13.2" x14ac:dyDescent="0.25">
      <c r="A1030" s="10"/>
      <c r="B1030" s="10"/>
      <c r="D1030" s="10"/>
      <c r="F1030" s="10"/>
      <c r="G1030" s="10"/>
      <c r="H1030" s="10"/>
      <c r="I1030" s="10"/>
      <c r="J1030" s="10"/>
      <c r="K1030" s="10"/>
      <c r="L1030" s="10"/>
    </row>
    <row r="1031" spans="1:12" s="2" customFormat="1" ht="13.2" x14ac:dyDescent="0.25">
      <c r="A1031" s="10"/>
      <c r="B1031" s="10"/>
      <c r="D1031" s="10"/>
      <c r="F1031" s="10"/>
      <c r="G1031" s="10"/>
      <c r="H1031" s="10"/>
      <c r="I1031" s="10"/>
      <c r="J1031" s="10"/>
      <c r="K1031" s="10"/>
      <c r="L1031" s="10"/>
    </row>
    <row r="1032" spans="1:12" s="2" customFormat="1" ht="13.2" x14ac:dyDescent="0.25">
      <c r="A1032" s="10"/>
      <c r="B1032" s="10"/>
      <c r="D1032" s="10"/>
      <c r="F1032" s="10"/>
      <c r="G1032" s="10"/>
      <c r="H1032" s="10"/>
      <c r="I1032" s="10"/>
      <c r="J1032" s="10"/>
      <c r="K1032" s="10"/>
      <c r="L1032" s="10"/>
    </row>
    <row r="1033" spans="1:12" s="2" customFormat="1" ht="13.2" x14ac:dyDescent="0.25">
      <c r="A1033" s="10"/>
      <c r="B1033" s="10"/>
      <c r="D1033" s="10"/>
      <c r="F1033" s="10"/>
      <c r="G1033" s="10"/>
      <c r="H1033" s="10"/>
      <c r="I1033" s="10"/>
      <c r="J1033" s="10"/>
      <c r="K1033" s="10"/>
      <c r="L1033" s="10"/>
    </row>
    <row r="1034" spans="1:12" s="2" customFormat="1" ht="13.2" x14ac:dyDescent="0.25">
      <c r="A1034" s="10"/>
      <c r="B1034" s="10"/>
      <c r="D1034" s="10"/>
      <c r="F1034" s="10"/>
      <c r="G1034" s="10"/>
      <c r="H1034" s="10"/>
      <c r="I1034" s="10"/>
      <c r="J1034" s="10"/>
      <c r="K1034" s="10"/>
      <c r="L1034" s="10"/>
    </row>
    <row r="1035" spans="1:12" s="2" customFormat="1" ht="13.2" x14ac:dyDescent="0.25">
      <c r="A1035" s="10"/>
      <c r="B1035" s="10"/>
      <c r="D1035" s="10"/>
      <c r="F1035" s="10"/>
      <c r="G1035" s="10"/>
      <c r="H1035" s="10"/>
      <c r="I1035" s="10"/>
      <c r="J1035" s="10"/>
      <c r="K1035" s="10"/>
      <c r="L1035" s="10"/>
    </row>
    <row r="1036" spans="1:12" s="2" customFormat="1" ht="13.2" x14ac:dyDescent="0.25">
      <c r="A1036" s="10"/>
      <c r="B1036" s="10"/>
      <c r="D1036" s="10"/>
      <c r="F1036" s="10"/>
      <c r="G1036" s="10"/>
      <c r="H1036" s="10"/>
      <c r="I1036" s="10"/>
      <c r="J1036" s="10"/>
      <c r="K1036" s="10"/>
      <c r="L1036" s="10"/>
    </row>
    <row r="1037" spans="1:12" s="2" customFormat="1" ht="13.2" x14ac:dyDescent="0.25">
      <c r="A1037" s="10"/>
      <c r="B1037" s="10"/>
      <c r="D1037" s="10"/>
      <c r="F1037" s="10"/>
      <c r="G1037" s="10"/>
      <c r="H1037" s="10"/>
      <c r="I1037" s="10"/>
      <c r="J1037" s="10"/>
      <c r="K1037" s="10"/>
      <c r="L1037" s="10"/>
    </row>
    <row r="1038" spans="1:12" s="2" customFormat="1" ht="13.2" x14ac:dyDescent="0.25">
      <c r="A1038" s="10"/>
      <c r="B1038" s="10"/>
      <c r="D1038" s="10"/>
      <c r="F1038" s="10"/>
      <c r="G1038" s="10"/>
      <c r="H1038" s="10"/>
      <c r="I1038" s="10"/>
      <c r="J1038" s="10"/>
      <c r="K1038" s="10"/>
      <c r="L1038" s="10"/>
    </row>
    <row r="1039" spans="1:12" s="2" customFormat="1" ht="13.2" x14ac:dyDescent="0.25">
      <c r="A1039" s="10"/>
      <c r="B1039" s="10"/>
      <c r="D1039" s="10"/>
      <c r="F1039" s="10"/>
      <c r="G1039" s="10"/>
      <c r="H1039" s="10"/>
      <c r="I1039" s="10"/>
      <c r="J1039" s="10"/>
      <c r="K1039" s="10"/>
      <c r="L1039" s="10"/>
    </row>
    <row r="1040" spans="1:12" s="2" customFormat="1" ht="13.2" x14ac:dyDescent="0.25">
      <c r="A1040" s="10"/>
      <c r="B1040" s="10"/>
      <c r="D1040" s="10"/>
      <c r="F1040" s="10"/>
      <c r="G1040" s="10"/>
      <c r="H1040" s="10"/>
      <c r="I1040" s="10"/>
      <c r="J1040" s="10"/>
      <c r="K1040" s="10"/>
      <c r="L1040" s="10"/>
    </row>
    <row r="1041" spans="1:12" s="2" customFormat="1" ht="13.2" x14ac:dyDescent="0.25">
      <c r="A1041" s="10"/>
      <c r="B1041" s="10"/>
      <c r="D1041" s="10"/>
      <c r="F1041" s="10"/>
      <c r="G1041" s="10"/>
      <c r="H1041" s="10"/>
      <c r="I1041" s="10"/>
      <c r="J1041" s="10"/>
      <c r="K1041" s="10"/>
      <c r="L1041" s="10"/>
    </row>
    <row r="1042" spans="1:12" s="2" customFormat="1" ht="13.2" x14ac:dyDescent="0.25">
      <c r="A1042" s="10"/>
      <c r="B1042" s="10"/>
      <c r="D1042" s="10"/>
      <c r="F1042" s="10"/>
      <c r="G1042" s="10"/>
      <c r="H1042" s="10"/>
      <c r="I1042" s="10"/>
      <c r="J1042" s="10"/>
      <c r="K1042" s="10"/>
      <c r="L1042" s="10"/>
    </row>
    <row r="1043" spans="1:12" s="2" customFormat="1" ht="13.2" x14ac:dyDescent="0.25">
      <c r="A1043" s="10"/>
      <c r="B1043" s="10"/>
      <c r="D1043" s="10"/>
      <c r="F1043" s="10"/>
      <c r="G1043" s="10"/>
      <c r="H1043" s="10"/>
      <c r="I1043" s="10"/>
      <c r="J1043" s="10"/>
      <c r="K1043" s="10"/>
      <c r="L1043" s="10"/>
    </row>
    <row r="1044" spans="1:12" s="2" customFormat="1" ht="13.2" x14ac:dyDescent="0.25">
      <c r="A1044" s="10"/>
      <c r="B1044" s="10"/>
      <c r="D1044" s="10"/>
      <c r="F1044" s="10"/>
      <c r="G1044" s="10"/>
      <c r="H1044" s="10"/>
      <c r="I1044" s="10"/>
      <c r="J1044" s="10"/>
      <c r="K1044" s="10"/>
      <c r="L1044" s="10"/>
    </row>
    <row r="1045" spans="1:12" s="2" customFormat="1" ht="13.2" x14ac:dyDescent="0.25">
      <c r="A1045" s="10"/>
      <c r="B1045" s="10"/>
      <c r="D1045" s="10"/>
      <c r="F1045" s="10"/>
      <c r="G1045" s="10"/>
      <c r="H1045" s="10"/>
      <c r="I1045" s="10"/>
      <c r="J1045" s="10"/>
      <c r="K1045" s="10"/>
      <c r="L1045" s="10"/>
    </row>
    <row r="1046" spans="1:12" s="2" customFormat="1" ht="13.2" x14ac:dyDescent="0.25">
      <c r="A1046" s="10"/>
      <c r="B1046" s="10"/>
      <c r="D1046" s="10"/>
      <c r="F1046" s="10"/>
      <c r="G1046" s="10"/>
      <c r="H1046" s="10"/>
      <c r="I1046" s="10"/>
      <c r="J1046" s="10"/>
      <c r="K1046" s="10"/>
      <c r="L1046" s="10"/>
    </row>
    <row r="1047" spans="1:12" s="2" customFormat="1" ht="13.2" x14ac:dyDescent="0.25">
      <c r="A1047" s="10"/>
      <c r="B1047" s="10"/>
      <c r="D1047" s="10"/>
      <c r="F1047" s="10"/>
      <c r="G1047" s="10"/>
      <c r="H1047" s="10"/>
      <c r="I1047" s="10"/>
      <c r="J1047" s="10"/>
      <c r="K1047" s="10"/>
      <c r="L1047" s="10"/>
    </row>
    <row r="1048" spans="1:12" s="2" customFormat="1" ht="13.2" x14ac:dyDescent="0.25">
      <c r="A1048" s="10"/>
      <c r="B1048" s="10"/>
      <c r="D1048" s="10"/>
      <c r="F1048" s="10"/>
      <c r="G1048" s="10"/>
      <c r="H1048" s="10"/>
      <c r="I1048" s="10"/>
      <c r="J1048" s="10"/>
      <c r="K1048" s="10"/>
      <c r="L1048" s="10"/>
    </row>
    <row r="1049" spans="1:12" s="2" customFormat="1" ht="13.2" x14ac:dyDescent="0.25">
      <c r="A1049" s="10"/>
      <c r="B1049" s="10"/>
      <c r="D1049" s="10"/>
      <c r="F1049" s="10"/>
      <c r="G1049" s="10"/>
      <c r="H1049" s="10"/>
      <c r="I1049" s="10"/>
      <c r="J1049" s="10"/>
      <c r="K1049" s="10"/>
      <c r="L1049" s="10"/>
    </row>
    <row r="1050" spans="1:12" s="2" customFormat="1" ht="13.2" x14ac:dyDescent="0.25">
      <c r="A1050" s="10"/>
      <c r="B1050" s="10"/>
      <c r="D1050" s="10"/>
      <c r="F1050" s="10"/>
      <c r="G1050" s="10"/>
      <c r="H1050" s="10"/>
      <c r="I1050" s="10"/>
      <c r="J1050" s="10"/>
      <c r="K1050" s="10"/>
      <c r="L1050" s="10"/>
    </row>
    <row r="1051" spans="1:12" s="2" customFormat="1" ht="13.2" x14ac:dyDescent="0.25">
      <c r="A1051" s="10"/>
      <c r="B1051" s="10"/>
      <c r="D1051" s="10"/>
      <c r="F1051" s="10"/>
      <c r="G1051" s="10"/>
      <c r="H1051" s="10"/>
      <c r="I1051" s="10"/>
      <c r="J1051" s="10"/>
      <c r="K1051" s="10"/>
      <c r="L1051" s="10"/>
    </row>
    <row r="1052" spans="1:12" s="2" customFormat="1" ht="13.2" x14ac:dyDescent="0.25">
      <c r="A1052" s="10"/>
      <c r="B1052" s="10"/>
      <c r="D1052" s="10"/>
      <c r="F1052" s="10"/>
      <c r="G1052" s="10"/>
      <c r="H1052" s="10"/>
      <c r="I1052" s="10"/>
      <c r="J1052" s="10"/>
      <c r="K1052" s="10"/>
      <c r="L1052" s="10"/>
    </row>
    <row r="1053" spans="1:12" s="2" customFormat="1" ht="13.2" x14ac:dyDescent="0.25">
      <c r="A1053" s="10"/>
      <c r="B1053" s="10"/>
      <c r="D1053" s="10"/>
      <c r="F1053" s="10"/>
      <c r="G1053" s="10"/>
      <c r="H1053" s="10"/>
      <c r="I1053" s="10"/>
      <c r="J1053" s="10"/>
      <c r="K1053" s="10"/>
      <c r="L1053" s="10"/>
    </row>
    <row r="1054" spans="1:12" s="2" customFormat="1" ht="13.2" x14ac:dyDescent="0.25">
      <c r="A1054" s="10"/>
      <c r="B1054" s="10"/>
      <c r="D1054" s="10"/>
      <c r="F1054" s="10"/>
      <c r="G1054" s="10"/>
      <c r="H1054" s="10"/>
      <c r="I1054" s="10"/>
      <c r="J1054" s="10"/>
      <c r="K1054" s="10"/>
      <c r="L1054" s="10"/>
    </row>
    <row r="1055" spans="1:12" s="2" customFormat="1" ht="13.2" x14ac:dyDescent="0.25">
      <c r="A1055" s="10"/>
      <c r="B1055" s="10"/>
      <c r="D1055" s="10"/>
      <c r="F1055" s="10"/>
      <c r="G1055" s="10"/>
      <c r="H1055" s="10"/>
      <c r="I1055" s="10"/>
      <c r="J1055" s="10"/>
      <c r="K1055" s="10"/>
      <c r="L1055" s="10"/>
    </row>
    <row r="1056" spans="1:12" s="2" customFormat="1" ht="13.2" x14ac:dyDescent="0.25">
      <c r="A1056" s="10"/>
      <c r="B1056" s="10"/>
      <c r="D1056" s="10"/>
      <c r="F1056" s="10"/>
      <c r="G1056" s="10"/>
      <c r="H1056" s="10"/>
      <c r="I1056" s="10"/>
      <c r="J1056" s="10"/>
      <c r="K1056" s="10"/>
      <c r="L1056" s="10"/>
    </row>
    <row r="1057" spans="1:12" s="2" customFormat="1" ht="13.2" x14ac:dyDescent="0.25">
      <c r="A1057" s="10"/>
      <c r="B1057" s="10"/>
      <c r="D1057" s="10"/>
      <c r="F1057" s="10"/>
      <c r="G1057" s="10"/>
      <c r="H1057" s="10"/>
      <c r="I1057" s="10"/>
      <c r="J1057" s="10"/>
      <c r="K1057" s="10"/>
      <c r="L1057" s="10"/>
    </row>
    <row r="1058" spans="1:12" s="2" customFormat="1" ht="13.2" x14ac:dyDescent="0.25">
      <c r="A1058" s="10"/>
      <c r="B1058" s="10"/>
      <c r="D1058" s="10"/>
      <c r="F1058" s="10"/>
      <c r="G1058" s="10"/>
      <c r="H1058" s="10"/>
      <c r="I1058" s="10"/>
      <c r="J1058" s="10"/>
      <c r="K1058" s="10"/>
      <c r="L1058" s="10"/>
    </row>
    <row r="1059" spans="1:12" s="2" customFormat="1" ht="13.2" x14ac:dyDescent="0.25">
      <c r="A1059" s="10"/>
      <c r="B1059" s="10"/>
      <c r="D1059" s="10"/>
      <c r="F1059" s="10"/>
      <c r="G1059" s="10"/>
      <c r="H1059" s="10"/>
      <c r="I1059" s="10"/>
      <c r="J1059" s="10"/>
      <c r="K1059" s="10"/>
      <c r="L1059" s="10"/>
    </row>
    <row r="1060" spans="1:12" s="2" customFormat="1" ht="13.2" x14ac:dyDescent="0.25">
      <c r="A1060" s="10"/>
      <c r="B1060" s="10"/>
      <c r="D1060" s="10"/>
      <c r="F1060" s="10"/>
      <c r="G1060" s="10"/>
      <c r="H1060" s="10"/>
      <c r="I1060" s="10"/>
      <c r="J1060" s="10"/>
      <c r="K1060" s="10"/>
      <c r="L1060" s="10"/>
    </row>
    <row r="1061" spans="1:12" s="2" customFormat="1" ht="13.2" x14ac:dyDescent="0.25">
      <c r="A1061" s="10"/>
      <c r="B1061" s="10"/>
      <c r="D1061" s="10"/>
      <c r="F1061" s="10"/>
      <c r="G1061" s="10"/>
      <c r="H1061" s="10"/>
      <c r="I1061" s="10"/>
      <c r="J1061" s="10"/>
      <c r="K1061" s="10"/>
      <c r="L1061" s="10"/>
    </row>
    <row r="1062" spans="1:12" s="2" customFormat="1" ht="13.2" x14ac:dyDescent="0.25">
      <c r="A1062" s="10"/>
      <c r="B1062" s="10"/>
      <c r="D1062" s="10"/>
      <c r="F1062" s="10"/>
      <c r="G1062" s="10"/>
      <c r="H1062" s="10"/>
      <c r="I1062" s="10"/>
      <c r="J1062" s="10"/>
      <c r="K1062" s="10"/>
      <c r="L1062" s="10"/>
    </row>
    <row r="1063" spans="1:12" s="2" customFormat="1" ht="13.2" x14ac:dyDescent="0.25">
      <c r="A1063" s="10"/>
      <c r="B1063" s="10"/>
      <c r="D1063" s="10"/>
      <c r="F1063" s="10"/>
      <c r="G1063" s="10"/>
      <c r="H1063" s="10"/>
      <c r="I1063" s="10"/>
      <c r="J1063" s="10"/>
      <c r="K1063" s="10"/>
      <c r="L1063" s="10"/>
    </row>
    <row r="1064" spans="1:12" s="2" customFormat="1" ht="13.2" x14ac:dyDescent="0.25">
      <c r="A1064" s="10"/>
      <c r="B1064" s="10"/>
      <c r="D1064" s="10"/>
      <c r="F1064" s="10"/>
      <c r="G1064" s="10"/>
      <c r="H1064" s="10"/>
      <c r="I1064" s="10"/>
      <c r="J1064" s="10"/>
      <c r="K1064" s="10"/>
      <c r="L1064" s="10"/>
    </row>
    <row r="1065" spans="1:12" s="2" customFormat="1" ht="13.2" x14ac:dyDescent="0.25">
      <c r="A1065" s="10"/>
      <c r="B1065" s="10"/>
      <c r="D1065" s="10"/>
      <c r="F1065" s="10"/>
      <c r="G1065" s="10"/>
      <c r="H1065" s="10"/>
      <c r="I1065" s="10"/>
      <c r="J1065" s="10"/>
      <c r="K1065" s="10"/>
      <c r="L1065" s="10"/>
    </row>
    <row r="1066" spans="1:12" s="2" customFormat="1" ht="13.2" x14ac:dyDescent="0.25">
      <c r="A1066" s="10"/>
      <c r="B1066" s="10"/>
      <c r="D1066" s="10"/>
      <c r="F1066" s="10"/>
      <c r="G1066" s="10"/>
      <c r="H1066" s="10"/>
      <c r="I1066" s="10"/>
      <c r="J1066" s="10"/>
      <c r="K1066" s="10"/>
      <c r="L1066" s="10"/>
    </row>
    <row r="1067" spans="1:12" s="2" customFormat="1" ht="13.2" x14ac:dyDescent="0.25">
      <c r="A1067" s="10"/>
      <c r="B1067" s="10"/>
      <c r="D1067" s="10"/>
      <c r="F1067" s="10"/>
      <c r="G1067" s="10"/>
      <c r="H1067" s="10"/>
      <c r="I1067" s="10"/>
      <c r="J1067" s="10"/>
      <c r="K1067" s="10"/>
      <c r="L1067" s="10"/>
    </row>
    <row r="1068" spans="1:12" s="2" customFormat="1" ht="13.2" x14ac:dyDescent="0.25">
      <c r="A1068" s="10"/>
      <c r="B1068" s="10"/>
      <c r="D1068" s="10"/>
      <c r="F1068" s="10"/>
      <c r="G1068" s="10"/>
      <c r="H1068" s="10"/>
      <c r="I1068" s="10"/>
      <c r="J1068" s="10"/>
      <c r="K1068" s="10"/>
      <c r="L1068" s="10"/>
    </row>
    <row r="1069" spans="1:12" s="2" customFormat="1" ht="13.2" x14ac:dyDescent="0.25">
      <c r="A1069" s="10"/>
      <c r="B1069" s="10"/>
      <c r="D1069" s="10"/>
      <c r="F1069" s="10"/>
      <c r="G1069" s="10"/>
      <c r="H1069" s="10"/>
      <c r="I1069" s="10"/>
      <c r="J1069" s="10"/>
      <c r="K1069" s="10"/>
      <c r="L1069" s="10"/>
    </row>
    <row r="1070" spans="1:12" s="2" customFormat="1" ht="13.2" x14ac:dyDescent="0.25">
      <c r="A1070" s="10"/>
      <c r="B1070" s="10"/>
      <c r="D1070" s="10"/>
      <c r="F1070" s="10"/>
      <c r="G1070" s="10"/>
      <c r="H1070" s="10"/>
      <c r="I1070" s="10"/>
      <c r="J1070" s="10"/>
      <c r="K1070" s="10"/>
      <c r="L1070" s="10"/>
    </row>
    <row r="1071" spans="1:12" s="2" customFormat="1" ht="13.2" x14ac:dyDescent="0.25">
      <c r="A1071" s="10"/>
      <c r="B1071" s="10"/>
      <c r="D1071" s="10"/>
      <c r="F1071" s="10"/>
      <c r="G1071" s="10"/>
      <c r="H1071" s="10"/>
      <c r="I1071" s="10"/>
      <c r="J1071" s="10"/>
      <c r="K1071" s="10"/>
      <c r="L1071" s="10"/>
    </row>
    <row r="1072" spans="1:12" s="2" customFormat="1" ht="13.2" x14ac:dyDescent="0.25">
      <c r="A1072" s="10"/>
      <c r="B1072" s="10"/>
      <c r="D1072" s="10"/>
      <c r="F1072" s="10"/>
      <c r="G1072" s="10"/>
      <c r="H1072" s="10"/>
      <c r="I1072" s="10"/>
      <c r="J1072" s="10"/>
      <c r="K1072" s="10"/>
      <c r="L1072" s="10"/>
    </row>
    <row r="1073" spans="1:12" s="2" customFormat="1" ht="13.2" x14ac:dyDescent="0.25">
      <c r="A1073" s="10"/>
      <c r="B1073" s="10"/>
      <c r="D1073" s="10"/>
      <c r="F1073" s="10"/>
      <c r="G1073" s="10"/>
      <c r="H1073" s="10"/>
      <c r="I1073" s="10"/>
      <c r="J1073" s="10"/>
      <c r="K1073" s="10"/>
      <c r="L1073" s="10"/>
    </row>
    <row r="1074" spans="1:12" s="2" customFormat="1" ht="13.2" x14ac:dyDescent="0.25">
      <c r="A1074" s="10"/>
      <c r="B1074" s="10"/>
      <c r="D1074" s="10"/>
      <c r="F1074" s="10"/>
      <c r="G1074" s="10"/>
      <c r="H1074" s="10"/>
      <c r="I1074" s="10"/>
      <c r="J1074" s="10"/>
      <c r="K1074" s="10"/>
      <c r="L1074" s="10"/>
    </row>
    <row r="1075" spans="1:12" s="2" customFormat="1" ht="13.2" x14ac:dyDescent="0.25">
      <c r="A1075" s="10"/>
      <c r="B1075" s="10"/>
      <c r="D1075" s="10"/>
      <c r="F1075" s="10"/>
      <c r="G1075" s="10"/>
      <c r="H1075" s="10"/>
      <c r="I1075" s="10"/>
      <c r="J1075" s="10"/>
      <c r="K1075" s="10"/>
      <c r="L1075" s="10"/>
    </row>
    <row r="1076" spans="1:12" s="2" customFormat="1" ht="13.2" x14ac:dyDescent="0.25">
      <c r="A1076" s="10"/>
      <c r="B1076" s="10"/>
      <c r="D1076" s="10"/>
      <c r="F1076" s="10"/>
      <c r="G1076" s="10"/>
      <c r="H1076" s="10"/>
      <c r="I1076" s="10"/>
      <c r="J1076" s="10"/>
      <c r="K1076" s="10"/>
      <c r="L1076" s="10"/>
    </row>
    <row r="1077" spans="1:12" s="2" customFormat="1" ht="13.2" x14ac:dyDescent="0.25">
      <c r="A1077" s="10"/>
      <c r="B1077" s="10"/>
      <c r="D1077" s="10"/>
      <c r="F1077" s="10"/>
      <c r="G1077" s="10"/>
      <c r="H1077" s="10"/>
      <c r="I1077" s="10"/>
      <c r="J1077" s="10"/>
      <c r="K1077" s="10"/>
      <c r="L1077" s="10"/>
    </row>
    <row r="1078" spans="1:12" s="2" customFormat="1" ht="13.2" x14ac:dyDescent="0.25">
      <c r="A1078" s="10"/>
      <c r="B1078" s="10"/>
      <c r="D1078" s="10"/>
      <c r="F1078" s="10"/>
      <c r="G1078" s="10"/>
      <c r="H1078" s="10"/>
      <c r="I1078" s="10"/>
      <c r="J1078" s="10"/>
      <c r="K1078" s="10"/>
      <c r="L1078" s="10"/>
    </row>
    <row r="1079" spans="1:12" s="2" customFormat="1" ht="13.2" x14ac:dyDescent="0.25">
      <c r="A1079" s="10"/>
      <c r="B1079" s="10"/>
      <c r="D1079" s="10"/>
      <c r="F1079" s="10"/>
      <c r="G1079" s="10"/>
      <c r="H1079" s="10"/>
      <c r="I1079" s="10"/>
      <c r="J1079" s="10"/>
      <c r="K1079" s="10"/>
      <c r="L1079" s="10"/>
    </row>
    <row r="1080" spans="1:12" s="2" customFormat="1" ht="13.2" x14ac:dyDescent="0.25">
      <c r="A1080" s="10"/>
      <c r="B1080" s="10"/>
      <c r="D1080" s="10"/>
      <c r="F1080" s="10"/>
      <c r="G1080" s="10"/>
      <c r="H1080" s="10"/>
      <c r="I1080" s="10"/>
      <c r="J1080" s="10"/>
      <c r="K1080" s="10"/>
      <c r="L1080" s="10"/>
    </row>
    <row r="1081" spans="1:12" s="2" customFormat="1" ht="13.2" x14ac:dyDescent="0.25">
      <c r="A1081" s="10"/>
      <c r="B1081" s="10"/>
      <c r="D1081" s="10"/>
      <c r="F1081" s="10"/>
      <c r="G1081" s="10"/>
      <c r="H1081" s="10"/>
      <c r="I1081" s="10"/>
      <c r="J1081" s="10"/>
      <c r="K1081" s="10"/>
      <c r="L1081" s="10"/>
    </row>
    <row r="1082" spans="1:12" s="2" customFormat="1" ht="13.2" x14ac:dyDescent="0.25">
      <c r="A1082" s="10"/>
      <c r="B1082" s="10"/>
      <c r="D1082" s="10"/>
      <c r="F1082" s="10"/>
      <c r="G1082" s="10"/>
      <c r="H1082" s="10"/>
      <c r="I1082" s="10"/>
      <c r="J1082" s="10"/>
      <c r="K1082" s="10"/>
      <c r="L1082" s="10"/>
    </row>
    <row r="1083" spans="1:12" s="2" customFormat="1" ht="13.2" x14ac:dyDescent="0.25">
      <c r="A1083" s="10"/>
      <c r="B1083" s="10"/>
      <c r="D1083" s="10"/>
      <c r="F1083" s="10"/>
      <c r="G1083" s="10"/>
      <c r="H1083" s="10"/>
      <c r="I1083" s="10"/>
      <c r="J1083" s="10"/>
      <c r="K1083" s="10"/>
      <c r="L1083" s="10"/>
    </row>
    <row r="1084" spans="1:12" s="2" customFormat="1" ht="13.2" x14ac:dyDescent="0.25">
      <c r="A1084" s="10"/>
      <c r="B1084" s="10"/>
      <c r="D1084" s="10"/>
      <c r="F1084" s="10"/>
      <c r="G1084" s="10"/>
      <c r="H1084" s="10"/>
      <c r="I1084" s="10"/>
      <c r="J1084" s="10"/>
      <c r="K1084" s="10"/>
      <c r="L1084" s="10"/>
    </row>
    <row r="1085" spans="1:12" s="2" customFormat="1" ht="13.2" x14ac:dyDescent="0.25">
      <c r="A1085" s="10"/>
      <c r="B1085" s="10"/>
      <c r="D1085" s="10"/>
      <c r="F1085" s="10"/>
      <c r="G1085" s="10"/>
      <c r="H1085" s="10"/>
      <c r="I1085" s="10"/>
      <c r="J1085" s="10"/>
      <c r="K1085" s="10"/>
      <c r="L1085" s="10"/>
    </row>
    <row r="1086" spans="1:12" s="2" customFormat="1" ht="13.2" x14ac:dyDescent="0.25">
      <c r="A1086" s="10"/>
      <c r="B1086" s="10"/>
      <c r="D1086" s="10"/>
      <c r="F1086" s="10"/>
      <c r="G1086" s="10"/>
      <c r="H1086" s="10"/>
      <c r="I1086" s="10"/>
      <c r="J1086" s="10"/>
      <c r="K1086" s="10"/>
      <c r="L1086" s="10"/>
    </row>
    <row r="1087" spans="1:12" s="2" customFormat="1" ht="13.2" x14ac:dyDescent="0.25">
      <c r="A1087" s="10"/>
      <c r="B1087" s="10"/>
      <c r="D1087" s="10"/>
      <c r="F1087" s="10"/>
      <c r="G1087" s="10"/>
      <c r="H1087" s="10"/>
      <c r="I1087" s="10"/>
      <c r="J1087" s="10"/>
      <c r="K1087" s="10"/>
      <c r="L1087" s="10"/>
    </row>
    <row r="1088" spans="1:12" s="2" customFormat="1" ht="13.2" x14ac:dyDescent="0.25">
      <c r="A1088" s="10"/>
      <c r="B1088" s="10"/>
      <c r="D1088" s="10"/>
      <c r="F1088" s="10"/>
      <c r="G1088" s="10"/>
      <c r="H1088" s="10"/>
      <c r="I1088" s="10"/>
      <c r="J1088" s="10"/>
      <c r="K1088" s="10"/>
      <c r="L1088" s="10"/>
    </row>
    <row r="1089" spans="1:12" s="2" customFormat="1" ht="13.2" x14ac:dyDescent="0.25">
      <c r="A1089" s="10"/>
      <c r="B1089" s="10"/>
      <c r="D1089" s="10"/>
      <c r="F1089" s="10"/>
      <c r="G1089" s="10"/>
      <c r="H1089" s="10"/>
      <c r="I1089" s="10"/>
      <c r="J1089" s="10"/>
      <c r="K1089" s="10"/>
      <c r="L1089" s="10"/>
    </row>
    <row r="1090" spans="1:12" s="2" customFormat="1" ht="13.2" x14ac:dyDescent="0.25">
      <c r="A1090" s="10"/>
      <c r="B1090" s="10"/>
      <c r="D1090" s="10"/>
      <c r="F1090" s="10"/>
      <c r="G1090" s="10"/>
      <c r="H1090" s="10"/>
      <c r="I1090" s="10"/>
      <c r="J1090" s="10"/>
      <c r="K1090" s="10"/>
      <c r="L1090" s="10"/>
    </row>
    <row r="1091" spans="1:12" s="2" customFormat="1" ht="13.2" x14ac:dyDescent="0.25">
      <c r="A1091" s="10"/>
      <c r="B1091" s="10"/>
      <c r="D1091" s="10"/>
      <c r="F1091" s="10"/>
      <c r="G1091" s="10"/>
      <c r="H1091" s="10"/>
      <c r="I1091" s="10"/>
      <c r="J1091" s="10"/>
      <c r="K1091" s="10"/>
      <c r="L1091" s="10"/>
    </row>
    <row r="1092" spans="1:12" s="2" customFormat="1" ht="13.2" x14ac:dyDescent="0.25">
      <c r="A1092" s="10"/>
      <c r="B1092" s="10"/>
      <c r="D1092" s="10"/>
      <c r="F1092" s="10"/>
      <c r="G1092" s="10"/>
      <c r="H1092" s="10"/>
      <c r="I1092" s="10"/>
      <c r="J1092" s="10"/>
      <c r="K1092" s="10"/>
      <c r="L1092" s="10"/>
    </row>
    <row r="1093" spans="1:12" s="2" customFormat="1" ht="13.2" x14ac:dyDescent="0.25">
      <c r="A1093" s="10"/>
      <c r="B1093" s="10"/>
      <c r="D1093" s="10"/>
      <c r="F1093" s="10"/>
      <c r="G1093" s="10"/>
      <c r="H1093" s="10"/>
      <c r="I1093" s="10"/>
      <c r="J1093" s="10"/>
      <c r="K1093" s="10"/>
      <c r="L1093" s="10"/>
    </row>
    <row r="1094" spans="1:12" s="2" customFormat="1" ht="13.2" x14ac:dyDescent="0.25">
      <c r="A1094" s="10"/>
      <c r="B1094" s="10"/>
      <c r="D1094" s="10"/>
      <c r="F1094" s="10"/>
      <c r="G1094" s="10"/>
      <c r="H1094" s="10"/>
      <c r="I1094" s="10"/>
      <c r="J1094" s="10"/>
      <c r="K1094" s="10"/>
      <c r="L1094" s="10"/>
    </row>
    <row r="1095" spans="1:12" s="2" customFormat="1" ht="13.2" x14ac:dyDescent="0.25">
      <c r="A1095" s="10"/>
      <c r="B1095" s="10"/>
      <c r="D1095" s="10"/>
      <c r="F1095" s="10"/>
      <c r="G1095" s="10"/>
      <c r="H1095" s="10"/>
      <c r="I1095" s="10"/>
      <c r="J1095" s="10"/>
      <c r="K1095" s="10"/>
      <c r="L1095" s="10"/>
    </row>
    <row r="1096" spans="1:12" s="2" customFormat="1" ht="13.2" x14ac:dyDescent="0.25">
      <c r="A1096" s="10"/>
      <c r="B1096" s="10"/>
      <c r="D1096" s="10"/>
      <c r="F1096" s="10"/>
      <c r="G1096" s="10"/>
      <c r="H1096" s="10"/>
      <c r="I1096" s="10"/>
      <c r="J1096" s="10"/>
      <c r="K1096" s="10"/>
      <c r="L1096" s="10"/>
    </row>
    <row r="1097" spans="1:12" s="2" customFormat="1" ht="13.2" x14ac:dyDescent="0.25">
      <c r="A1097" s="10"/>
      <c r="B1097" s="10"/>
      <c r="D1097" s="10"/>
      <c r="F1097" s="10"/>
      <c r="G1097" s="10"/>
      <c r="H1097" s="10"/>
      <c r="I1097" s="10"/>
      <c r="J1097" s="10"/>
      <c r="K1097" s="10"/>
      <c r="L1097" s="10"/>
    </row>
    <row r="1098" spans="1:12" s="2" customFormat="1" ht="13.2" x14ac:dyDescent="0.25">
      <c r="A1098" s="10"/>
      <c r="B1098" s="10"/>
      <c r="D1098" s="10"/>
      <c r="F1098" s="10"/>
      <c r="G1098" s="10"/>
      <c r="H1098" s="10"/>
      <c r="I1098" s="10"/>
      <c r="J1098" s="10"/>
      <c r="K1098" s="10"/>
      <c r="L1098" s="10"/>
    </row>
    <row r="1099" spans="1:12" s="2" customFormat="1" ht="13.2" x14ac:dyDescent="0.25">
      <c r="A1099" s="10"/>
      <c r="B1099" s="10"/>
      <c r="D1099" s="10"/>
      <c r="F1099" s="10"/>
      <c r="G1099" s="10"/>
      <c r="H1099" s="10"/>
      <c r="I1099" s="10"/>
      <c r="J1099" s="10"/>
      <c r="K1099" s="10"/>
      <c r="L1099" s="10"/>
    </row>
    <row r="1100" spans="1:12" s="2" customFormat="1" ht="13.2" x14ac:dyDescent="0.25">
      <c r="A1100" s="10"/>
      <c r="B1100" s="10"/>
      <c r="D1100" s="10"/>
      <c r="F1100" s="10"/>
      <c r="G1100" s="10"/>
      <c r="H1100" s="10"/>
      <c r="I1100" s="10"/>
      <c r="J1100" s="10"/>
      <c r="K1100" s="10"/>
      <c r="L1100" s="10"/>
    </row>
    <row r="1101" spans="1:12" s="2" customFormat="1" ht="13.2" x14ac:dyDescent="0.25">
      <c r="A1101" s="10"/>
      <c r="B1101" s="10"/>
      <c r="D1101" s="10"/>
      <c r="F1101" s="10"/>
      <c r="G1101" s="10"/>
      <c r="H1101" s="10"/>
      <c r="I1101" s="10"/>
      <c r="J1101" s="10"/>
      <c r="K1101" s="10"/>
      <c r="L1101" s="10"/>
    </row>
    <row r="1102" spans="1:12" s="2" customFormat="1" ht="13.2" x14ac:dyDescent="0.25">
      <c r="A1102" s="10"/>
      <c r="B1102" s="10"/>
      <c r="D1102" s="10"/>
      <c r="F1102" s="10"/>
      <c r="G1102" s="10"/>
      <c r="H1102" s="10"/>
      <c r="I1102" s="10"/>
      <c r="J1102" s="10"/>
      <c r="K1102" s="10"/>
      <c r="L1102" s="10"/>
    </row>
    <row r="1103" spans="1:12" s="2" customFormat="1" ht="13.2" x14ac:dyDescent="0.25">
      <c r="A1103" s="10"/>
      <c r="B1103" s="10"/>
      <c r="D1103" s="10"/>
      <c r="F1103" s="10"/>
      <c r="G1103" s="10"/>
      <c r="H1103" s="10"/>
      <c r="I1103" s="10"/>
      <c r="J1103" s="10"/>
      <c r="K1103" s="10"/>
      <c r="L1103" s="10"/>
    </row>
    <row r="1104" spans="1:12" s="2" customFormat="1" ht="13.2" x14ac:dyDescent="0.25">
      <c r="A1104" s="10"/>
      <c r="B1104" s="10"/>
      <c r="D1104" s="10"/>
      <c r="F1104" s="10"/>
      <c r="G1104" s="10"/>
      <c r="H1104" s="10"/>
      <c r="I1104" s="10"/>
      <c r="J1104" s="10"/>
      <c r="K1104" s="10"/>
      <c r="L1104" s="10"/>
    </row>
    <row r="1105" spans="1:12" s="2" customFormat="1" ht="13.2" x14ac:dyDescent="0.25">
      <c r="A1105" s="10"/>
      <c r="B1105" s="10"/>
      <c r="D1105" s="10"/>
      <c r="F1105" s="10"/>
      <c r="G1105" s="10"/>
      <c r="H1105" s="10"/>
      <c r="I1105" s="10"/>
      <c r="J1105" s="10"/>
      <c r="K1105" s="10"/>
      <c r="L1105" s="10"/>
    </row>
    <row r="1106" spans="1:12" s="2" customFormat="1" ht="13.2" x14ac:dyDescent="0.25">
      <c r="A1106" s="10"/>
      <c r="B1106" s="10"/>
      <c r="D1106" s="10"/>
      <c r="F1106" s="10"/>
      <c r="G1106" s="10"/>
      <c r="H1106" s="10"/>
      <c r="I1106" s="10"/>
      <c r="J1106" s="10"/>
      <c r="K1106" s="10"/>
      <c r="L1106" s="10"/>
    </row>
    <row r="1107" spans="1:12" s="2" customFormat="1" ht="13.2" x14ac:dyDescent="0.25">
      <c r="A1107" s="10"/>
      <c r="B1107" s="10"/>
      <c r="D1107" s="10"/>
      <c r="F1107" s="10"/>
      <c r="G1107" s="10"/>
      <c r="H1107" s="10"/>
      <c r="I1107" s="10"/>
      <c r="J1107" s="10"/>
      <c r="K1107" s="10"/>
      <c r="L1107" s="10"/>
    </row>
    <row r="1108" spans="1:12" s="2" customFormat="1" ht="13.2" x14ac:dyDescent="0.25">
      <c r="A1108" s="10"/>
      <c r="B1108" s="10"/>
      <c r="D1108" s="10"/>
      <c r="F1108" s="10"/>
      <c r="G1108" s="10"/>
      <c r="H1108" s="10"/>
      <c r="I1108" s="10"/>
      <c r="J1108" s="10"/>
      <c r="K1108" s="10"/>
      <c r="L1108" s="10"/>
    </row>
    <row r="1109" spans="1:12" s="2" customFormat="1" ht="13.2" x14ac:dyDescent="0.25">
      <c r="A1109" s="10"/>
      <c r="B1109" s="10"/>
      <c r="D1109" s="10"/>
      <c r="F1109" s="10"/>
      <c r="G1109" s="10"/>
      <c r="H1109" s="10"/>
      <c r="I1109" s="10"/>
      <c r="J1109" s="10"/>
      <c r="K1109" s="10"/>
      <c r="L1109" s="10"/>
    </row>
    <row r="1110" spans="1:12" s="2" customFormat="1" ht="13.2" x14ac:dyDescent="0.25">
      <c r="A1110" s="10"/>
      <c r="B1110" s="10"/>
      <c r="D1110" s="10"/>
      <c r="F1110" s="10"/>
      <c r="G1110" s="10"/>
      <c r="H1110" s="10"/>
      <c r="I1110" s="10"/>
      <c r="J1110" s="10"/>
      <c r="K1110" s="10"/>
      <c r="L1110" s="10"/>
    </row>
    <row r="1111" spans="1:12" s="2" customFormat="1" ht="13.2" x14ac:dyDescent="0.25">
      <c r="A1111" s="10"/>
      <c r="B1111" s="10"/>
      <c r="D1111" s="10"/>
      <c r="F1111" s="10"/>
      <c r="G1111" s="10"/>
      <c r="H1111" s="10"/>
      <c r="I1111" s="10"/>
      <c r="J1111" s="10"/>
      <c r="K1111" s="10"/>
      <c r="L1111" s="10"/>
    </row>
    <row r="1112" spans="1:12" s="2" customFormat="1" ht="13.2" x14ac:dyDescent="0.25">
      <c r="A1112" s="10"/>
      <c r="B1112" s="10"/>
      <c r="D1112" s="10"/>
      <c r="F1112" s="10"/>
      <c r="G1112" s="10"/>
      <c r="H1112" s="10"/>
      <c r="I1112" s="10"/>
      <c r="J1112" s="10"/>
      <c r="K1112" s="10"/>
      <c r="L1112" s="10"/>
    </row>
    <row r="1113" spans="1:12" s="2" customFormat="1" ht="13.2" x14ac:dyDescent="0.25">
      <c r="A1113" s="10"/>
      <c r="B1113" s="10"/>
      <c r="D1113" s="10"/>
      <c r="F1113" s="10"/>
      <c r="G1113" s="10"/>
      <c r="H1113" s="10"/>
      <c r="I1113" s="10"/>
      <c r="J1113" s="10"/>
      <c r="K1113" s="10"/>
      <c r="L1113" s="10"/>
    </row>
    <row r="1114" spans="1:12" s="2" customFormat="1" ht="13.2" x14ac:dyDescent="0.25">
      <c r="A1114" s="10"/>
      <c r="B1114" s="10"/>
      <c r="D1114" s="10"/>
      <c r="F1114" s="10"/>
      <c r="G1114" s="10"/>
      <c r="H1114" s="10"/>
      <c r="I1114" s="10"/>
      <c r="J1114" s="10"/>
      <c r="K1114" s="10"/>
      <c r="L1114" s="10"/>
    </row>
    <row r="1115" spans="1:12" s="2" customFormat="1" ht="13.2" x14ac:dyDescent="0.25">
      <c r="A1115" s="10"/>
      <c r="B1115" s="10"/>
      <c r="D1115" s="10"/>
      <c r="F1115" s="10"/>
      <c r="G1115" s="10"/>
      <c r="H1115" s="10"/>
      <c r="I1115" s="10"/>
      <c r="J1115" s="10"/>
      <c r="K1115" s="10"/>
      <c r="L1115" s="10"/>
    </row>
    <row r="1116" spans="1:12" s="2" customFormat="1" ht="13.2" x14ac:dyDescent="0.25">
      <c r="A1116" s="10"/>
      <c r="B1116" s="10"/>
      <c r="D1116" s="10"/>
      <c r="F1116" s="10"/>
      <c r="G1116" s="10"/>
      <c r="H1116" s="10"/>
      <c r="I1116" s="10"/>
      <c r="J1116" s="10"/>
      <c r="K1116" s="10"/>
      <c r="L1116" s="10"/>
    </row>
    <row r="1117" spans="1:12" s="2" customFormat="1" ht="13.2" x14ac:dyDescent="0.25">
      <c r="A1117" s="10"/>
      <c r="B1117" s="10"/>
      <c r="D1117" s="10"/>
      <c r="F1117" s="10"/>
      <c r="G1117" s="10"/>
      <c r="H1117" s="10"/>
      <c r="I1117" s="10"/>
      <c r="J1117" s="10"/>
      <c r="K1117" s="10"/>
      <c r="L1117" s="10"/>
    </row>
    <row r="1118" spans="1:12" s="2" customFormat="1" ht="13.2" x14ac:dyDescent="0.25">
      <c r="A1118" s="10"/>
      <c r="B1118" s="10"/>
      <c r="D1118" s="10"/>
      <c r="F1118" s="10"/>
      <c r="G1118" s="10"/>
      <c r="H1118" s="10"/>
      <c r="I1118" s="10"/>
      <c r="J1118" s="10"/>
      <c r="K1118" s="10"/>
      <c r="L1118" s="10"/>
    </row>
    <row r="1119" spans="1:12" s="2" customFormat="1" ht="13.2" x14ac:dyDescent="0.25">
      <c r="A1119" s="10"/>
      <c r="B1119" s="10"/>
      <c r="D1119" s="10"/>
      <c r="F1119" s="10"/>
      <c r="G1119" s="10"/>
      <c r="H1119" s="10"/>
      <c r="I1119" s="10"/>
      <c r="J1119" s="10"/>
      <c r="K1119" s="10"/>
      <c r="L1119" s="10"/>
    </row>
    <row r="1120" spans="1:12" s="2" customFormat="1" ht="13.2" x14ac:dyDescent="0.25">
      <c r="A1120" s="10"/>
      <c r="B1120" s="10"/>
      <c r="D1120" s="10"/>
      <c r="F1120" s="10"/>
      <c r="G1120" s="10"/>
      <c r="H1120" s="10"/>
      <c r="I1120" s="10"/>
      <c r="J1120" s="10"/>
      <c r="K1120" s="10"/>
      <c r="L1120" s="10"/>
    </row>
    <row r="1121" spans="1:12" s="2" customFormat="1" ht="13.2" x14ac:dyDescent="0.25">
      <c r="A1121" s="10"/>
      <c r="B1121" s="10"/>
      <c r="D1121" s="10"/>
      <c r="F1121" s="10"/>
      <c r="G1121" s="10"/>
      <c r="H1121" s="10"/>
      <c r="I1121" s="10"/>
      <c r="J1121" s="10"/>
      <c r="K1121" s="10"/>
      <c r="L1121" s="10"/>
    </row>
    <row r="1122" spans="1:12" s="2" customFormat="1" ht="13.2" x14ac:dyDescent="0.25">
      <c r="A1122" s="10"/>
      <c r="B1122" s="10"/>
      <c r="D1122" s="10"/>
      <c r="F1122" s="10"/>
      <c r="G1122" s="10"/>
      <c r="H1122" s="10"/>
      <c r="I1122" s="10"/>
      <c r="J1122" s="10"/>
      <c r="K1122" s="10"/>
      <c r="L1122" s="10"/>
    </row>
    <row r="1123" spans="1:12" s="2" customFormat="1" ht="13.2" x14ac:dyDescent="0.25">
      <c r="A1123" s="10"/>
      <c r="B1123" s="10"/>
      <c r="D1123" s="10"/>
      <c r="F1123" s="10"/>
      <c r="G1123" s="10"/>
      <c r="H1123" s="10"/>
      <c r="I1123" s="10"/>
      <c r="J1123" s="10"/>
      <c r="K1123" s="10"/>
      <c r="L1123" s="10"/>
    </row>
    <row r="1124" spans="1:12" s="2" customFormat="1" ht="13.2" x14ac:dyDescent="0.25">
      <c r="A1124" s="10"/>
      <c r="B1124" s="10"/>
      <c r="D1124" s="10"/>
      <c r="F1124" s="10"/>
      <c r="G1124" s="10"/>
      <c r="H1124" s="10"/>
      <c r="I1124" s="10"/>
      <c r="J1124" s="10"/>
      <c r="K1124" s="10"/>
      <c r="L1124" s="10"/>
    </row>
    <row r="1125" spans="1:12" s="2" customFormat="1" ht="13.2" x14ac:dyDescent="0.25">
      <c r="A1125" s="10"/>
      <c r="B1125" s="10"/>
      <c r="D1125" s="10"/>
      <c r="F1125" s="10"/>
      <c r="G1125" s="10"/>
      <c r="H1125" s="10"/>
      <c r="I1125" s="10"/>
      <c r="J1125" s="10"/>
      <c r="K1125" s="10"/>
      <c r="L1125" s="10"/>
    </row>
    <row r="1126" spans="1:12" s="2" customFormat="1" ht="13.2" x14ac:dyDescent="0.25">
      <c r="A1126" s="10"/>
      <c r="B1126" s="10"/>
      <c r="D1126" s="10"/>
      <c r="F1126" s="10"/>
      <c r="G1126" s="10"/>
      <c r="H1126" s="10"/>
      <c r="I1126" s="10"/>
      <c r="J1126" s="10"/>
      <c r="K1126" s="10"/>
      <c r="L1126" s="10"/>
    </row>
    <row r="1127" spans="1:12" s="2" customFormat="1" ht="13.2" x14ac:dyDescent="0.25">
      <c r="A1127" s="10"/>
      <c r="B1127" s="10"/>
      <c r="D1127" s="10"/>
      <c r="F1127" s="10"/>
      <c r="G1127" s="10"/>
      <c r="H1127" s="10"/>
      <c r="I1127" s="10"/>
      <c r="J1127" s="10"/>
      <c r="K1127" s="10"/>
      <c r="L1127" s="10"/>
    </row>
    <row r="1128" spans="1:12" s="2" customFormat="1" ht="13.2" x14ac:dyDescent="0.25">
      <c r="A1128" s="10"/>
      <c r="B1128" s="10"/>
      <c r="D1128" s="10"/>
      <c r="F1128" s="10"/>
      <c r="G1128" s="10"/>
      <c r="H1128" s="10"/>
      <c r="I1128" s="10"/>
      <c r="J1128" s="10"/>
      <c r="K1128" s="10"/>
      <c r="L1128" s="10"/>
    </row>
    <row r="1129" spans="1:12" s="2" customFormat="1" ht="13.2" x14ac:dyDescent="0.25">
      <c r="A1129" s="10"/>
      <c r="B1129" s="10"/>
      <c r="D1129" s="10"/>
      <c r="F1129" s="10"/>
      <c r="G1129" s="10"/>
      <c r="H1129" s="10"/>
      <c r="I1129" s="10"/>
      <c r="J1129" s="10"/>
      <c r="K1129" s="10"/>
      <c r="L1129" s="10"/>
    </row>
    <row r="1130" spans="1:12" s="2" customFormat="1" ht="13.2" x14ac:dyDescent="0.25">
      <c r="A1130" s="10"/>
      <c r="B1130" s="10"/>
      <c r="D1130" s="10"/>
      <c r="F1130" s="10"/>
      <c r="G1130" s="10"/>
      <c r="H1130" s="10"/>
      <c r="I1130" s="10"/>
      <c r="J1130" s="10"/>
      <c r="K1130" s="10"/>
      <c r="L1130" s="10"/>
    </row>
    <row r="1131" spans="1:12" s="2" customFormat="1" ht="13.2" x14ac:dyDescent="0.25">
      <c r="A1131" s="10"/>
      <c r="B1131" s="10"/>
      <c r="D1131" s="10"/>
      <c r="F1131" s="10"/>
      <c r="G1131" s="10"/>
      <c r="H1131" s="10"/>
      <c r="I1131" s="10"/>
      <c r="J1131" s="10"/>
      <c r="K1131" s="10"/>
      <c r="L1131" s="10"/>
    </row>
    <row r="1132" spans="1:12" s="2" customFormat="1" ht="13.2" x14ac:dyDescent="0.25">
      <c r="A1132" s="10"/>
      <c r="B1132" s="10"/>
      <c r="D1132" s="10"/>
      <c r="F1132" s="10"/>
      <c r="G1132" s="10"/>
      <c r="H1132" s="10"/>
      <c r="I1132" s="10"/>
      <c r="J1132" s="10"/>
      <c r="K1132" s="10"/>
      <c r="L1132" s="10"/>
    </row>
    <row r="1133" spans="1:12" s="2" customFormat="1" ht="13.2" x14ac:dyDescent="0.25">
      <c r="A1133" s="10"/>
      <c r="B1133" s="10"/>
      <c r="D1133" s="10"/>
      <c r="F1133" s="10"/>
      <c r="G1133" s="10"/>
      <c r="H1133" s="10"/>
      <c r="I1133" s="10"/>
      <c r="J1133" s="10"/>
      <c r="K1133" s="10"/>
      <c r="L1133" s="10"/>
    </row>
    <row r="1134" spans="1:12" s="2" customFormat="1" ht="13.2" x14ac:dyDescent="0.25">
      <c r="A1134" s="10"/>
      <c r="B1134" s="10"/>
      <c r="D1134" s="10"/>
      <c r="F1134" s="10"/>
      <c r="G1134" s="10"/>
      <c r="H1134" s="10"/>
      <c r="I1134" s="10"/>
      <c r="J1134" s="10"/>
      <c r="K1134" s="10"/>
      <c r="L1134" s="10"/>
    </row>
    <row r="1135" spans="1:12" s="2" customFormat="1" ht="13.2" x14ac:dyDescent="0.25">
      <c r="A1135" s="10"/>
      <c r="B1135" s="10"/>
      <c r="D1135" s="10"/>
      <c r="F1135" s="10"/>
      <c r="G1135" s="10"/>
      <c r="H1135" s="10"/>
      <c r="I1135" s="10"/>
      <c r="J1135" s="10"/>
      <c r="K1135" s="10"/>
      <c r="L1135" s="10"/>
    </row>
    <row r="1136" spans="1:12" s="2" customFormat="1" ht="13.2" x14ac:dyDescent="0.25">
      <c r="A1136" s="10"/>
      <c r="B1136" s="10"/>
      <c r="D1136" s="10"/>
      <c r="F1136" s="10"/>
      <c r="G1136" s="10"/>
      <c r="H1136" s="10"/>
      <c r="I1136" s="10"/>
      <c r="J1136" s="10"/>
      <c r="K1136" s="10"/>
      <c r="L1136" s="10"/>
    </row>
    <row r="1137" spans="1:12" s="2" customFormat="1" ht="13.2" x14ac:dyDescent="0.25">
      <c r="A1137" s="10"/>
      <c r="B1137" s="10"/>
      <c r="D1137" s="10"/>
      <c r="F1137" s="10"/>
      <c r="G1137" s="10"/>
      <c r="H1137" s="10"/>
      <c r="I1137" s="10"/>
      <c r="J1137" s="10"/>
      <c r="K1137" s="10"/>
      <c r="L1137" s="10"/>
    </row>
    <row r="1138" spans="1:12" s="2" customFormat="1" ht="13.2" x14ac:dyDescent="0.25">
      <c r="A1138" s="10"/>
      <c r="B1138" s="10"/>
      <c r="D1138" s="10"/>
      <c r="F1138" s="10"/>
      <c r="G1138" s="10"/>
      <c r="H1138" s="10"/>
      <c r="I1138" s="10"/>
      <c r="J1138" s="10"/>
      <c r="K1138" s="10"/>
      <c r="L1138" s="10"/>
    </row>
    <row r="1139" spans="1:12" s="2" customFormat="1" ht="13.2" x14ac:dyDescent="0.25">
      <c r="A1139" s="10"/>
      <c r="B1139" s="10"/>
      <c r="D1139" s="10"/>
      <c r="F1139" s="10"/>
      <c r="G1139" s="10"/>
      <c r="H1139" s="10"/>
      <c r="I1139" s="10"/>
      <c r="J1139" s="10"/>
      <c r="K1139" s="10"/>
      <c r="L1139" s="10"/>
    </row>
    <row r="1140" spans="1:12" s="2" customFormat="1" ht="13.2" x14ac:dyDescent="0.25">
      <c r="A1140" s="10"/>
      <c r="B1140" s="10"/>
      <c r="D1140" s="10"/>
      <c r="F1140" s="10"/>
      <c r="G1140" s="10"/>
      <c r="H1140" s="10"/>
      <c r="I1140" s="10"/>
      <c r="J1140" s="10"/>
      <c r="K1140" s="10"/>
      <c r="L1140" s="10"/>
    </row>
    <row r="1141" spans="1:12" s="2" customFormat="1" ht="13.2" x14ac:dyDescent="0.25">
      <c r="A1141" s="10"/>
      <c r="B1141" s="10"/>
      <c r="D1141" s="10"/>
      <c r="F1141" s="10"/>
      <c r="G1141" s="10"/>
      <c r="H1141" s="10"/>
      <c r="I1141" s="10"/>
      <c r="J1141" s="10"/>
      <c r="K1141" s="10"/>
      <c r="L1141" s="10"/>
    </row>
    <row r="1142" spans="1:12" s="2" customFormat="1" ht="13.2" x14ac:dyDescent="0.25">
      <c r="A1142" s="10"/>
      <c r="B1142" s="10"/>
      <c r="D1142" s="10"/>
      <c r="F1142" s="10"/>
      <c r="G1142" s="10"/>
      <c r="H1142" s="10"/>
      <c r="I1142" s="10"/>
      <c r="J1142" s="10"/>
      <c r="K1142" s="10"/>
      <c r="L1142" s="10"/>
    </row>
    <row r="1143" spans="1:12" s="2" customFormat="1" ht="13.2" x14ac:dyDescent="0.25">
      <c r="A1143" s="10"/>
      <c r="B1143" s="10"/>
      <c r="D1143" s="10"/>
      <c r="F1143" s="10"/>
      <c r="G1143" s="10"/>
      <c r="H1143" s="10"/>
      <c r="I1143" s="10"/>
      <c r="J1143" s="10"/>
      <c r="K1143" s="10"/>
      <c r="L1143" s="10"/>
    </row>
    <row r="1144" spans="1:12" s="2" customFormat="1" ht="13.2" x14ac:dyDescent="0.25">
      <c r="A1144" s="10"/>
      <c r="B1144" s="10"/>
      <c r="D1144" s="10"/>
      <c r="F1144" s="10"/>
      <c r="G1144" s="10"/>
      <c r="H1144" s="10"/>
      <c r="I1144" s="10"/>
      <c r="J1144" s="10"/>
      <c r="K1144" s="10"/>
      <c r="L1144" s="10"/>
    </row>
    <row r="1145" spans="1:12" s="2" customFormat="1" ht="13.2" x14ac:dyDescent="0.25">
      <c r="A1145" s="10"/>
      <c r="B1145" s="10"/>
      <c r="D1145" s="10"/>
      <c r="F1145" s="10"/>
      <c r="G1145" s="10"/>
      <c r="H1145" s="10"/>
      <c r="I1145" s="10"/>
      <c r="J1145" s="10"/>
      <c r="K1145" s="10"/>
      <c r="L1145" s="10"/>
    </row>
    <row r="1146" spans="1:12" s="2" customFormat="1" ht="13.2" x14ac:dyDescent="0.25">
      <c r="A1146" s="10"/>
      <c r="B1146" s="10"/>
      <c r="D1146" s="10"/>
      <c r="F1146" s="10"/>
      <c r="G1146" s="10"/>
      <c r="H1146" s="10"/>
      <c r="I1146" s="10"/>
      <c r="J1146" s="10"/>
      <c r="K1146" s="10"/>
      <c r="L1146" s="10"/>
    </row>
    <row r="1147" spans="1:12" s="2" customFormat="1" ht="13.2" x14ac:dyDescent="0.25">
      <c r="A1147" s="10"/>
      <c r="B1147" s="10"/>
      <c r="D1147" s="10"/>
      <c r="F1147" s="10"/>
      <c r="G1147" s="10"/>
      <c r="H1147" s="10"/>
      <c r="I1147" s="10"/>
      <c r="J1147" s="10"/>
      <c r="K1147" s="10"/>
      <c r="L1147" s="10"/>
    </row>
    <row r="1148" spans="1:12" s="2" customFormat="1" ht="13.2" x14ac:dyDescent="0.25">
      <c r="A1148" s="10"/>
      <c r="B1148" s="10"/>
      <c r="D1148" s="10"/>
      <c r="F1148" s="10"/>
      <c r="G1148" s="10"/>
      <c r="H1148" s="10"/>
      <c r="I1148" s="10"/>
      <c r="J1148" s="10"/>
      <c r="K1148" s="10"/>
      <c r="L1148" s="10"/>
    </row>
    <row r="1149" spans="1:12" s="2" customFormat="1" ht="13.2" x14ac:dyDescent="0.25">
      <c r="A1149" s="10"/>
      <c r="B1149" s="10"/>
      <c r="D1149" s="10"/>
      <c r="F1149" s="10"/>
      <c r="G1149" s="10"/>
      <c r="H1149" s="10"/>
      <c r="I1149" s="10"/>
      <c r="J1149" s="10"/>
      <c r="K1149" s="10"/>
      <c r="L1149" s="10"/>
    </row>
    <row r="1150" spans="1:12" s="2" customFormat="1" ht="13.2" x14ac:dyDescent="0.25">
      <c r="A1150" s="10"/>
      <c r="B1150" s="10"/>
      <c r="D1150" s="10"/>
      <c r="F1150" s="10"/>
      <c r="G1150" s="10"/>
      <c r="H1150" s="10"/>
      <c r="I1150" s="10"/>
      <c r="J1150" s="10"/>
      <c r="K1150" s="10"/>
      <c r="L1150" s="10"/>
    </row>
    <row r="1151" spans="1:12" s="2" customFormat="1" ht="13.2" x14ac:dyDescent="0.25">
      <c r="A1151" s="10"/>
      <c r="B1151" s="10"/>
      <c r="D1151" s="10"/>
      <c r="F1151" s="10"/>
      <c r="G1151" s="10"/>
      <c r="H1151" s="10"/>
      <c r="I1151" s="10"/>
      <c r="J1151" s="10"/>
      <c r="K1151" s="10"/>
      <c r="L1151" s="10"/>
    </row>
    <row r="1152" spans="1:12" s="2" customFormat="1" ht="13.2" x14ac:dyDescent="0.25">
      <c r="A1152" s="10"/>
      <c r="B1152" s="10"/>
      <c r="D1152" s="10"/>
      <c r="F1152" s="10"/>
      <c r="G1152" s="10"/>
      <c r="H1152" s="10"/>
      <c r="I1152" s="10"/>
      <c r="J1152" s="10"/>
      <c r="K1152" s="10"/>
      <c r="L1152" s="10"/>
    </row>
    <row r="1153" spans="1:12" s="2" customFormat="1" ht="13.2" x14ac:dyDescent="0.25">
      <c r="A1153" s="10"/>
      <c r="B1153" s="10"/>
      <c r="D1153" s="10"/>
      <c r="F1153" s="10"/>
      <c r="G1153" s="10"/>
      <c r="H1153" s="10"/>
      <c r="I1153" s="10"/>
      <c r="J1153" s="10"/>
      <c r="K1153" s="10"/>
      <c r="L1153" s="10"/>
    </row>
    <row r="1154" spans="1:12" s="2" customFormat="1" ht="13.2" x14ac:dyDescent="0.25">
      <c r="A1154" s="10"/>
      <c r="B1154" s="10"/>
      <c r="D1154" s="10"/>
      <c r="F1154" s="10"/>
      <c r="G1154" s="10"/>
      <c r="H1154" s="10"/>
      <c r="I1154" s="10"/>
      <c r="J1154" s="10"/>
      <c r="K1154" s="10"/>
      <c r="L1154" s="10"/>
    </row>
    <row r="1155" spans="1:12" s="2" customFormat="1" ht="13.2" x14ac:dyDescent="0.25">
      <c r="A1155" s="10"/>
      <c r="B1155" s="10"/>
      <c r="D1155" s="10"/>
      <c r="F1155" s="10"/>
      <c r="G1155" s="10"/>
      <c r="H1155" s="10"/>
      <c r="I1155" s="10"/>
      <c r="J1155" s="10"/>
      <c r="K1155" s="10"/>
      <c r="L1155" s="10"/>
    </row>
    <row r="1156" spans="1:12" s="2" customFormat="1" ht="13.2" x14ac:dyDescent="0.25">
      <c r="A1156" s="10"/>
      <c r="B1156" s="10"/>
      <c r="D1156" s="10"/>
      <c r="F1156" s="10"/>
      <c r="G1156" s="10"/>
      <c r="H1156" s="10"/>
      <c r="I1156" s="10"/>
      <c r="J1156" s="10"/>
      <c r="K1156" s="10"/>
      <c r="L1156" s="10"/>
    </row>
    <row r="1157" spans="1:12" s="2" customFormat="1" ht="13.2" x14ac:dyDescent="0.25">
      <c r="A1157" s="10"/>
      <c r="B1157" s="10"/>
      <c r="D1157" s="10"/>
      <c r="F1157" s="10"/>
      <c r="G1157" s="10"/>
      <c r="H1157" s="10"/>
      <c r="I1157" s="10"/>
      <c r="J1157" s="10"/>
      <c r="K1157" s="10"/>
      <c r="L1157" s="10"/>
    </row>
    <row r="1158" spans="1:12" s="2" customFormat="1" ht="13.2" x14ac:dyDescent="0.25">
      <c r="A1158" s="10"/>
      <c r="B1158" s="10"/>
      <c r="D1158" s="10"/>
      <c r="F1158" s="10"/>
      <c r="G1158" s="10"/>
      <c r="H1158" s="10"/>
      <c r="I1158" s="10"/>
      <c r="J1158" s="10"/>
      <c r="K1158" s="10"/>
      <c r="L1158" s="10"/>
    </row>
    <row r="1159" spans="1:12" s="2" customFormat="1" ht="13.2" x14ac:dyDescent="0.25">
      <c r="A1159" s="10"/>
      <c r="B1159" s="10"/>
      <c r="D1159" s="10"/>
      <c r="F1159" s="10"/>
      <c r="G1159" s="10"/>
      <c r="H1159" s="10"/>
      <c r="I1159" s="10"/>
      <c r="J1159" s="10"/>
      <c r="K1159" s="10"/>
      <c r="L1159" s="10"/>
    </row>
    <row r="1160" spans="1:12" s="2" customFormat="1" ht="13.2" x14ac:dyDescent="0.25">
      <c r="A1160" s="10"/>
      <c r="B1160" s="10"/>
      <c r="D1160" s="10"/>
      <c r="F1160" s="10"/>
      <c r="G1160" s="10"/>
      <c r="H1160" s="10"/>
      <c r="I1160" s="10"/>
      <c r="J1160" s="10"/>
      <c r="K1160" s="10"/>
      <c r="L1160" s="10"/>
    </row>
    <row r="1161" spans="1:12" s="2" customFormat="1" ht="13.2" x14ac:dyDescent="0.25">
      <c r="A1161" s="10"/>
      <c r="B1161" s="10"/>
      <c r="D1161" s="10"/>
      <c r="F1161" s="10"/>
      <c r="G1161" s="10"/>
      <c r="H1161" s="10"/>
      <c r="I1161" s="10"/>
      <c r="J1161" s="10"/>
      <c r="K1161" s="10"/>
      <c r="L1161" s="10"/>
    </row>
    <row r="1162" spans="1:12" s="2" customFormat="1" ht="13.2" x14ac:dyDescent="0.25">
      <c r="A1162" s="10"/>
      <c r="B1162" s="10"/>
      <c r="D1162" s="10"/>
      <c r="F1162" s="10"/>
      <c r="G1162" s="10"/>
      <c r="H1162" s="10"/>
      <c r="I1162" s="10"/>
      <c r="J1162" s="10"/>
      <c r="K1162" s="10"/>
      <c r="L1162" s="10"/>
    </row>
    <row r="1163" spans="1:12" s="2" customFormat="1" ht="13.2" x14ac:dyDescent="0.25">
      <c r="A1163" s="10"/>
      <c r="B1163" s="10"/>
      <c r="D1163" s="10"/>
      <c r="F1163" s="10"/>
      <c r="G1163" s="10"/>
      <c r="H1163" s="10"/>
      <c r="I1163" s="10"/>
      <c r="J1163" s="10"/>
      <c r="K1163" s="10"/>
      <c r="L1163" s="10"/>
    </row>
    <row r="1164" spans="1:12" s="2" customFormat="1" ht="13.2" x14ac:dyDescent="0.25">
      <c r="A1164" s="10"/>
      <c r="B1164" s="10"/>
      <c r="D1164" s="10"/>
      <c r="F1164" s="10"/>
      <c r="G1164" s="10"/>
      <c r="H1164" s="10"/>
      <c r="I1164" s="10"/>
      <c r="J1164" s="10"/>
      <c r="K1164" s="10"/>
      <c r="L1164" s="10"/>
    </row>
    <row r="1165" spans="1:12" s="2" customFormat="1" ht="13.2" x14ac:dyDescent="0.25">
      <c r="A1165" s="10"/>
      <c r="B1165" s="10"/>
      <c r="D1165" s="10"/>
      <c r="F1165" s="10"/>
      <c r="G1165" s="10"/>
      <c r="H1165" s="10"/>
      <c r="I1165" s="10"/>
      <c r="J1165" s="10"/>
      <c r="K1165" s="10"/>
      <c r="L1165" s="10"/>
    </row>
    <row r="1166" spans="1:12" s="2" customFormat="1" ht="13.2" x14ac:dyDescent="0.25">
      <c r="A1166" s="10"/>
      <c r="B1166" s="10"/>
      <c r="D1166" s="10"/>
      <c r="F1166" s="10"/>
      <c r="G1166" s="10"/>
      <c r="H1166" s="10"/>
      <c r="I1166" s="10"/>
      <c r="J1166" s="10"/>
      <c r="K1166" s="10"/>
      <c r="L1166" s="10"/>
    </row>
    <row r="1167" spans="1:12" s="2" customFormat="1" ht="13.2" x14ac:dyDescent="0.25">
      <c r="A1167" s="10"/>
      <c r="B1167" s="10"/>
      <c r="D1167" s="10"/>
      <c r="F1167" s="10"/>
      <c r="G1167" s="10"/>
      <c r="H1167" s="10"/>
      <c r="I1167" s="10"/>
      <c r="J1167" s="10"/>
      <c r="K1167" s="10"/>
      <c r="L1167" s="10"/>
    </row>
    <row r="1168" spans="1:12" s="2" customFormat="1" ht="13.2" x14ac:dyDescent="0.25">
      <c r="A1168" s="10"/>
      <c r="B1168" s="10"/>
      <c r="D1168" s="10"/>
      <c r="F1168" s="10"/>
      <c r="G1168" s="10"/>
      <c r="H1168" s="10"/>
      <c r="I1168" s="10"/>
      <c r="J1168" s="10"/>
      <c r="K1168" s="10"/>
      <c r="L1168" s="10"/>
    </row>
    <row r="1169" spans="1:12" s="2" customFormat="1" ht="13.2" x14ac:dyDescent="0.25">
      <c r="A1169" s="10"/>
      <c r="B1169" s="10"/>
      <c r="D1169" s="10"/>
      <c r="F1169" s="10"/>
      <c r="G1169" s="10"/>
      <c r="H1169" s="10"/>
      <c r="I1169" s="10"/>
      <c r="J1169" s="10"/>
      <c r="K1169" s="10"/>
      <c r="L1169" s="10"/>
    </row>
    <row r="1170" spans="1:12" s="2" customFormat="1" ht="13.2" x14ac:dyDescent="0.25">
      <c r="A1170" s="10"/>
      <c r="B1170" s="10"/>
      <c r="D1170" s="10"/>
      <c r="F1170" s="10"/>
      <c r="G1170" s="10"/>
      <c r="H1170" s="10"/>
      <c r="I1170" s="10"/>
      <c r="J1170" s="10"/>
      <c r="K1170" s="10"/>
      <c r="L1170" s="10"/>
    </row>
    <row r="1171" spans="1:12" s="2" customFormat="1" ht="13.2" x14ac:dyDescent="0.25">
      <c r="A1171" s="10"/>
      <c r="B1171" s="10"/>
      <c r="D1171" s="10"/>
      <c r="F1171" s="10"/>
      <c r="G1171" s="10"/>
      <c r="H1171" s="10"/>
      <c r="I1171" s="10"/>
      <c r="J1171" s="10"/>
      <c r="K1171" s="10"/>
      <c r="L1171" s="10"/>
    </row>
    <row r="1172" spans="1:12" s="2" customFormat="1" ht="13.2" x14ac:dyDescent="0.25">
      <c r="A1172" s="10"/>
      <c r="B1172" s="10"/>
      <c r="D1172" s="10"/>
      <c r="F1172" s="10"/>
      <c r="G1172" s="10"/>
      <c r="H1172" s="10"/>
      <c r="I1172" s="10"/>
      <c r="J1172" s="10"/>
      <c r="K1172" s="10"/>
      <c r="L1172" s="10"/>
    </row>
    <row r="1173" spans="1:12" s="2" customFormat="1" ht="13.2" x14ac:dyDescent="0.25">
      <c r="A1173" s="10"/>
      <c r="B1173" s="10"/>
      <c r="D1173" s="10"/>
      <c r="F1173" s="10"/>
      <c r="G1173" s="10"/>
      <c r="H1173" s="10"/>
      <c r="I1173" s="10"/>
      <c r="J1173" s="10"/>
      <c r="K1173" s="10"/>
      <c r="L1173" s="10"/>
    </row>
    <row r="1174" spans="1:12" s="2" customFormat="1" ht="13.2" x14ac:dyDescent="0.25">
      <c r="A1174" s="10"/>
      <c r="B1174" s="10"/>
      <c r="D1174" s="10"/>
      <c r="F1174" s="10"/>
      <c r="G1174" s="10"/>
      <c r="H1174" s="10"/>
      <c r="I1174" s="10"/>
      <c r="J1174" s="10"/>
      <c r="K1174" s="10"/>
      <c r="L1174" s="10"/>
    </row>
    <row r="1175" spans="1:12" s="2" customFormat="1" ht="13.2" x14ac:dyDescent="0.25">
      <c r="A1175" s="10"/>
      <c r="B1175" s="10"/>
      <c r="D1175" s="10"/>
      <c r="F1175" s="10"/>
      <c r="G1175" s="10"/>
      <c r="H1175" s="10"/>
      <c r="I1175" s="10"/>
      <c r="J1175" s="10"/>
      <c r="K1175" s="10"/>
      <c r="L1175" s="10"/>
    </row>
    <row r="1176" spans="1:12" s="2" customFormat="1" ht="13.2" x14ac:dyDescent="0.25">
      <c r="A1176" s="10"/>
      <c r="B1176" s="10"/>
      <c r="D1176" s="10"/>
      <c r="F1176" s="10"/>
      <c r="G1176" s="10"/>
      <c r="H1176" s="10"/>
      <c r="I1176" s="10"/>
      <c r="J1176" s="10"/>
      <c r="K1176" s="10"/>
      <c r="L1176" s="10"/>
    </row>
    <row r="1177" spans="1:12" s="2" customFormat="1" ht="13.2" x14ac:dyDescent="0.25">
      <c r="A1177" s="10"/>
      <c r="B1177" s="10"/>
      <c r="D1177" s="10"/>
      <c r="F1177" s="10"/>
      <c r="G1177" s="10"/>
      <c r="H1177" s="10"/>
      <c r="I1177" s="10"/>
      <c r="J1177" s="10"/>
      <c r="K1177" s="10"/>
      <c r="L1177" s="10"/>
    </row>
    <row r="1178" spans="1:12" s="2" customFormat="1" ht="13.2" x14ac:dyDescent="0.25">
      <c r="A1178" s="10"/>
      <c r="B1178" s="10"/>
      <c r="D1178" s="10"/>
      <c r="F1178" s="10"/>
      <c r="G1178" s="10"/>
      <c r="H1178" s="10"/>
      <c r="I1178" s="10"/>
      <c r="J1178" s="10"/>
      <c r="K1178" s="10"/>
      <c r="L1178" s="10"/>
    </row>
    <row r="1179" spans="1:12" s="2" customFormat="1" ht="13.2" x14ac:dyDescent="0.25">
      <c r="A1179" s="10"/>
      <c r="B1179" s="10"/>
      <c r="D1179" s="10"/>
      <c r="F1179" s="10"/>
      <c r="G1179" s="10"/>
      <c r="H1179" s="10"/>
      <c r="I1179" s="10"/>
      <c r="J1179" s="10"/>
      <c r="K1179" s="10"/>
      <c r="L1179" s="10"/>
    </row>
    <row r="1180" spans="1:12" s="2" customFormat="1" ht="13.2" x14ac:dyDescent="0.25">
      <c r="A1180" s="10"/>
      <c r="B1180" s="10"/>
      <c r="D1180" s="10"/>
      <c r="F1180" s="10"/>
      <c r="G1180" s="10"/>
      <c r="H1180" s="10"/>
      <c r="I1180" s="10"/>
      <c r="J1180" s="10"/>
      <c r="K1180" s="10"/>
      <c r="L1180" s="10"/>
    </row>
    <row r="1181" spans="1:12" s="2" customFormat="1" ht="13.2" x14ac:dyDescent="0.25">
      <c r="A1181" s="10"/>
      <c r="B1181" s="10"/>
      <c r="D1181" s="10"/>
      <c r="F1181" s="10"/>
      <c r="G1181" s="10"/>
      <c r="H1181" s="10"/>
      <c r="I1181" s="10"/>
      <c r="J1181" s="10"/>
      <c r="K1181" s="10"/>
      <c r="L1181" s="10"/>
    </row>
    <row r="1182" spans="1:12" s="2" customFormat="1" ht="13.2" x14ac:dyDescent="0.25">
      <c r="A1182" s="10"/>
      <c r="B1182" s="10"/>
      <c r="D1182" s="10"/>
      <c r="F1182" s="10"/>
      <c r="G1182" s="10"/>
      <c r="H1182" s="10"/>
      <c r="I1182" s="10"/>
      <c r="J1182" s="10"/>
      <c r="K1182" s="10"/>
      <c r="L1182" s="10"/>
    </row>
    <row r="1183" spans="1:12" s="2" customFormat="1" ht="13.2" x14ac:dyDescent="0.25">
      <c r="A1183" s="10"/>
      <c r="B1183" s="10"/>
      <c r="D1183" s="10"/>
      <c r="F1183" s="10"/>
      <c r="G1183" s="10"/>
      <c r="H1183" s="10"/>
      <c r="I1183" s="10"/>
      <c r="J1183" s="10"/>
      <c r="K1183" s="10"/>
      <c r="L1183" s="10"/>
    </row>
    <row r="1184" spans="1:12" s="2" customFormat="1" ht="13.2" x14ac:dyDescent="0.25">
      <c r="A1184" s="10"/>
      <c r="B1184" s="10"/>
      <c r="D1184" s="10"/>
      <c r="F1184" s="10"/>
      <c r="G1184" s="10"/>
      <c r="H1184" s="10"/>
      <c r="I1184" s="10"/>
      <c r="J1184" s="10"/>
      <c r="K1184" s="10"/>
      <c r="L1184" s="10"/>
    </row>
    <row r="1185" spans="1:12" s="2" customFormat="1" ht="13.2" x14ac:dyDescent="0.25">
      <c r="A1185" s="10"/>
      <c r="B1185" s="10"/>
      <c r="D1185" s="10"/>
      <c r="F1185" s="10"/>
      <c r="G1185" s="10"/>
      <c r="H1185" s="10"/>
      <c r="I1185" s="10"/>
      <c r="J1185" s="10"/>
      <c r="K1185" s="10"/>
      <c r="L1185" s="10"/>
    </row>
    <row r="1186" spans="1:12" s="2" customFormat="1" ht="13.2" x14ac:dyDescent="0.25">
      <c r="A1186" s="10"/>
      <c r="B1186" s="10"/>
      <c r="D1186" s="10"/>
      <c r="F1186" s="10"/>
      <c r="G1186" s="10"/>
      <c r="H1186" s="10"/>
      <c r="I1186" s="10"/>
      <c r="J1186" s="10"/>
      <c r="K1186" s="10"/>
      <c r="L1186" s="10"/>
    </row>
    <row r="1187" spans="1:12" s="2" customFormat="1" ht="13.2" x14ac:dyDescent="0.25">
      <c r="A1187" s="10"/>
      <c r="B1187" s="10"/>
      <c r="D1187" s="10"/>
      <c r="F1187" s="10"/>
      <c r="G1187" s="10"/>
      <c r="H1187" s="10"/>
      <c r="I1187" s="10"/>
      <c r="J1187" s="10"/>
      <c r="K1187" s="10"/>
      <c r="L1187" s="10"/>
    </row>
    <row r="1188" spans="1:12" s="2" customFormat="1" ht="13.2" x14ac:dyDescent="0.25">
      <c r="A1188" s="10"/>
      <c r="B1188" s="10"/>
      <c r="D1188" s="10"/>
      <c r="F1188" s="10"/>
      <c r="G1188" s="10"/>
      <c r="H1188" s="10"/>
      <c r="I1188" s="10"/>
      <c r="J1188" s="10"/>
      <c r="K1188" s="10"/>
      <c r="L1188" s="10"/>
    </row>
    <row r="1189" spans="1:12" s="2" customFormat="1" ht="13.2" x14ac:dyDescent="0.25">
      <c r="A1189" s="10"/>
      <c r="B1189" s="10"/>
      <c r="D1189" s="10"/>
      <c r="F1189" s="10"/>
      <c r="G1189" s="10"/>
      <c r="H1189" s="10"/>
      <c r="I1189" s="10"/>
      <c r="J1189" s="10"/>
      <c r="K1189" s="10"/>
      <c r="L1189" s="10"/>
    </row>
    <row r="1190" spans="1:12" s="2" customFormat="1" ht="13.2" x14ac:dyDescent="0.25">
      <c r="A1190" s="10"/>
      <c r="B1190" s="10"/>
      <c r="D1190" s="10"/>
      <c r="F1190" s="10"/>
      <c r="G1190" s="10"/>
      <c r="H1190" s="10"/>
      <c r="I1190" s="10"/>
      <c r="J1190" s="10"/>
      <c r="K1190" s="10"/>
      <c r="L1190" s="10"/>
    </row>
    <row r="1191" spans="1:12" s="2" customFormat="1" ht="13.2" x14ac:dyDescent="0.25">
      <c r="A1191" s="10"/>
      <c r="B1191" s="10"/>
      <c r="D1191" s="10"/>
      <c r="F1191" s="10"/>
      <c r="G1191" s="10"/>
      <c r="H1191" s="10"/>
      <c r="I1191" s="10"/>
      <c r="J1191" s="10"/>
      <c r="K1191" s="10"/>
      <c r="L1191" s="10"/>
    </row>
    <row r="1192" spans="1:12" s="2" customFormat="1" ht="13.2" x14ac:dyDescent="0.25">
      <c r="A1192" s="10"/>
      <c r="B1192" s="10"/>
      <c r="D1192" s="10"/>
      <c r="F1192" s="10"/>
      <c r="G1192" s="10"/>
      <c r="H1192" s="10"/>
      <c r="I1192" s="10"/>
      <c r="J1192" s="10"/>
      <c r="K1192" s="10"/>
      <c r="L1192" s="10"/>
    </row>
    <row r="1193" spans="1:12" s="2" customFormat="1" ht="13.2" x14ac:dyDescent="0.25">
      <c r="A1193" s="10"/>
      <c r="B1193" s="10"/>
      <c r="D1193" s="10"/>
      <c r="F1193" s="10"/>
      <c r="G1193" s="10"/>
      <c r="H1193" s="10"/>
      <c r="I1193" s="10"/>
      <c r="J1193" s="10"/>
      <c r="K1193" s="10"/>
      <c r="L1193" s="10"/>
    </row>
    <row r="1194" spans="1:12" s="2" customFormat="1" ht="13.2" x14ac:dyDescent="0.25">
      <c r="A1194" s="10"/>
      <c r="B1194" s="10"/>
      <c r="D1194" s="10"/>
      <c r="F1194" s="10"/>
      <c r="G1194" s="10"/>
      <c r="H1194" s="10"/>
      <c r="I1194" s="10"/>
      <c r="J1194" s="10"/>
      <c r="K1194" s="10"/>
      <c r="L1194" s="10"/>
    </row>
    <row r="1195" spans="1:12" s="2" customFormat="1" ht="13.2" x14ac:dyDescent="0.25">
      <c r="A1195" s="10"/>
      <c r="B1195" s="10"/>
      <c r="D1195" s="10"/>
      <c r="F1195" s="10"/>
      <c r="G1195" s="10"/>
      <c r="H1195" s="10"/>
      <c r="I1195" s="10"/>
      <c r="J1195" s="10"/>
      <c r="K1195" s="10"/>
      <c r="L1195" s="10"/>
    </row>
    <row r="1196" spans="1:12" s="2" customFormat="1" ht="13.2" x14ac:dyDescent="0.25">
      <c r="A1196" s="10"/>
      <c r="B1196" s="10"/>
      <c r="D1196" s="10"/>
      <c r="F1196" s="10"/>
      <c r="G1196" s="10"/>
      <c r="H1196" s="10"/>
      <c r="I1196" s="10"/>
      <c r="J1196" s="10"/>
      <c r="K1196" s="10"/>
      <c r="L1196" s="10"/>
    </row>
    <row r="1197" spans="1:12" s="2" customFormat="1" ht="13.2" x14ac:dyDescent="0.25">
      <c r="A1197" s="10"/>
      <c r="B1197" s="10"/>
      <c r="D1197" s="10"/>
      <c r="F1197" s="10"/>
      <c r="G1197" s="10"/>
      <c r="H1197" s="10"/>
      <c r="I1197" s="10"/>
      <c r="J1197" s="10"/>
      <c r="K1197" s="10"/>
      <c r="L1197" s="10"/>
    </row>
    <row r="1198" spans="1:12" s="2" customFormat="1" ht="13.2" x14ac:dyDescent="0.25">
      <c r="A1198" s="10"/>
      <c r="B1198" s="10"/>
      <c r="D1198" s="10"/>
      <c r="F1198" s="10"/>
      <c r="G1198" s="10"/>
      <c r="H1198" s="10"/>
      <c r="I1198" s="10"/>
      <c r="J1198" s="10"/>
      <c r="K1198" s="10"/>
      <c r="L1198" s="10"/>
    </row>
    <row r="1199" spans="1:12" s="2" customFormat="1" ht="13.2" x14ac:dyDescent="0.25">
      <c r="A1199" s="10"/>
      <c r="B1199" s="10"/>
      <c r="D1199" s="10"/>
      <c r="F1199" s="10"/>
      <c r="G1199" s="10"/>
      <c r="H1199" s="10"/>
      <c r="I1199" s="10"/>
      <c r="J1199" s="10"/>
      <c r="K1199" s="10"/>
      <c r="L1199" s="10"/>
    </row>
    <row r="1200" spans="1:12" s="2" customFormat="1" ht="13.2" x14ac:dyDescent="0.25">
      <c r="A1200" s="10"/>
      <c r="B1200" s="10"/>
      <c r="D1200" s="10"/>
      <c r="F1200" s="10"/>
      <c r="G1200" s="10"/>
      <c r="H1200" s="10"/>
      <c r="I1200" s="10"/>
      <c r="J1200" s="10"/>
      <c r="K1200" s="10"/>
      <c r="L1200" s="10"/>
    </row>
    <row r="1201" spans="1:12" s="2" customFormat="1" ht="13.2" x14ac:dyDescent="0.25">
      <c r="A1201" s="10"/>
      <c r="B1201" s="10"/>
      <c r="D1201" s="10"/>
      <c r="F1201" s="10"/>
      <c r="G1201" s="10"/>
      <c r="H1201" s="10"/>
      <c r="I1201" s="10"/>
      <c r="J1201" s="10"/>
      <c r="K1201" s="10"/>
      <c r="L1201" s="10"/>
    </row>
    <row r="1202" spans="1:12" s="2" customFormat="1" ht="13.2" x14ac:dyDescent="0.25">
      <c r="A1202" s="10"/>
      <c r="B1202" s="10"/>
      <c r="D1202" s="10"/>
      <c r="F1202" s="10"/>
      <c r="G1202" s="10"/>
      <c r="H1202" s="10"/>
      <c r="I1202" s="10"/>
      <c r="J1202" s="10"/>
      <c r="K1202" s="10"/>
      <c r="L1202" s="10"/>
    </row>
    <row r="1203" spans="1:12" s="2" customFormat="1" ht="13.2" x14ac:dyDescent="0.25">
      <c r="A1203" s="10"/>
      <c r="B1203" s="10"/>
      <c r="D1203" s="10"/>
      <c r="F1203" s="10"/>
      <c r="G1203" s="10"/>
      <c r="H1203" s="10"/>
      <c r="I1203" s="10"/>
      <c r="J1203" s="10"/>
      <c r="K1203" s="10"/>
      <c r="L1203" s="10"/>
    </row>
    <row r="1204" spans="1:12" s="2" customFormat="1" ht="13.2" x14ac:dyDescent="0.25">
      <c r="A1204" s="10"/>
      <c r="B1204" s="10"/>
      <c r="D1204" s="10"/>
      <c r="F1204" s="10"/>
      <c r="G1204" s="10"/>
      <c r="H1204" s="10"/>
      <c r="I1204" s="10"/>
      <c r="J1204" s="10"/>
      <c r="K1204" s="10"/>
      <c r="L1204" s="10"/>
    </row>
    <row r="1205" spans="1:12" s="2" customFormat="1" ht="13.2" x14ac:dyDescent="0.25">
      <c r="A1205" s="10"/>
      <c r="B1205" s="10"/>
      <c r="D1205" s="10"/>
      <c r="F1205" s="10"/>
      <c r="G1205" s="10"/>
      <c r="H1205" s="10"/>
      <c r="I1205" s="10"/>
      <c r="J1205" s="10"/>
      <c r="K1205" s="10"/>
      <c r="L1205" s="10"/>
    </row>
    <row r="1206" spans="1:12" s="2" customFormat="1" ht="13.2" x14ac:dyDescent="0.25">
      <c r="A1206" s="10"/>
      <c r="B1206" s="10"/>
      <c r="D1206" s="10"/>
      <c r="F1206" s="10"/>
      <c r="G1206" s="10"/>
      <c r="H1206" s="10"/>
      <c r="I1206" s="10"/>
      <c r="J1206" s="10"/>
      <c r="K1206" s="10"/>
      <c r="L1206" s="10"/>
    </row>
    <row r="1207" spans="1:12" s="2" customFormat="1" ht="13.2" x14ac:dyDescent="0.25">
      <c r="A1207" s="10"/>
      <c r="B1207" s="10"/>
      <c r="D1207" s="10"/>
      <c r="F1207" s="10"/>
      <c r="G1207" s="10"/>
      <c r="H1207" s="10"/>
      <c r="I1207" s="10"/>
      <c r="J1207" s="10"/>
      <c r="K1207" s="10"/>
      <c r="L1207" s="10"/>
    </row>
    <row r="1208" spans="1:12" s="2" customFormat="1" ht="13.2" x14ac:dyDescent="0.25">
      <c r="A1208" s="10"/>
      <c r="B1208" s="10"/>
      <c r="D1208" s="10"/>
      <c r="F1208" s="10"/>
      <c r="G1208" s="10"/>
      <c r="H1208" s="10"/>
      <c r="I1208" s="10"/>
      <c r="J1208" s="10"/>
      <c r="K1208" s="10"/>
      <c r="L1208" s="10"/>
    </row>
    <row r="1209" spans="1:12" s="2" customFormat="1" ht="13.2" x14ac:dyDescent="0.25">
      <c r="A1209" s="10"/>
      <c r="B1209" s="10"/>
      <c r="D1209" s="10"/>
      <c r="F1209" s="10"/>
      <c r="G1209" s="10"/>
      <c r="H1209" s="10"/>
      <c r="I1209" s="10"/>
      <c r="J1209" s="10"/>
      <c r="K1209" s="10"/>
      <c r="L1209" s="10"/>
    </row>
    <row r="1210" spans="1:12" s="2" customFormat="1" ht="13.2" x14ac:dyDescent="0.25">
      <c r="A1210" s="10"/>
      <c r="B1210" s="10"/>
      <c r="D1210" s="10"/>
      <c r="F1210" s="10"/>
      <c r="G1210" s="10"/>
      <c r="H1210" s="10"/>
      <c r="I1210" s="10"/>
      <c r="J1210" s="10"/>
      <c r="K1210" s="10"/>
      <c r="L1210" s="10"/>
    </row>
    <row r="1211" spans="1:12" s="2" customFormat="1" ht="13.2" x14ac:dyDescent="0.25">
      <c r="A1211" s="10"/>
      <c r="B1211" s="10"/>
      <c r="D1211" s="10"/>
      <c r="F1211" s="10"/>
      <c r="G1211" s="10"/>
      <c r="H1211" s="10"/>
      <c r="I1211" s="10"/>
      <c r="J1211" s="10"/>
      <c r="K1211" s="10"/>
      <c r="L1211" s="10"/>
    </row>
    <row r="1212" spans="1:12" s="2" customFormat="1" ht="13.2" x14ac:dyDescent="0.25">
      <c r="A1212" s="10"/>
      <c r="B1212" s="10"/>
      <c r="D1212" s="10"/>
      <c r="F1212" s="10"/>
      <c r="G1212" s="10"/>
      <c r="H1212" s="10"/>
      <c r="I1212" s="10"/>
      <c r="J1212" s="10"/>
      <c r="K1212" s="10"/>
      <c r="L1212" s="10"/>
    </row>
    <row r="1213" spans="1:12" s="2" customFormat="1" ht="13.2" x14ac:dyDescent="0.25">
      <c r="A1213" s="10"/>
      <c r="B1213" s="10"/>
      <c r="D1213" s="10"/>
      <c r="F1213" s="10"/>
      <c r="G1213" s="10"/>
      <c r="H1213" s="10"/>
      <c r="I1213" s="10"/>
      <c r="J1213" s="10"/>
      <c r="K1213" s="10"/>
      <c r="L1213" s="10"/>
    </row>
    <row r="1214" spans="1:12" s="2" customFormat="1" ht="13.2" x14ac:dyDescent="0.25">
      <c r="A1214" s="10"/>
      <c r="B1214" s="10"/>
      <c r="D1214" s="10"/>
      <c r="F1214" s="10"/>
      <c r="G1214" s="10"/>
      <c r="H1214" s="10"/>
      <c r="I1214" s="10"/>
      <c r="J1214" s="10"/>
      <c r="K1214" s="10"/>
      <c r="L1214" s="10"/>
    </row>
    <row r="1215" spans="1:12" s="2" customFormat="1" ht="13.2" x14ac:dyDescent="0.25">
      <c r="A1215" s="10"/>
      <c r="B1215" s="10"/>
      <c r="D1215" s="10"/>
      <c r="F1215" s="10"/>
      <c r="G1215" s="10"/>
      <c r="H1215" s="10"/>
      <c r="I1215" s="10"/>
      <c r="J1215" s="10"/>
      <c r="K1215" s="10"/>
      <c r="L1215" s="10"/>
    </row>
    <row r="1216" spans="1:12" s="2" customFormat="1" ht="13.2" x14ac:dyDescent="0.25">
      <c r="A1216" s="10"/>
      <c r="B1216" s="10"/>
      <c r="D1216" s="10"/>
      <c r="F1216" s="10"/>
      <c r="G1216" s="10"/>
      <c r="H1216" s="10"/>
      <c r="I1216" s="10"/>
      <c r="J1216" s="10"/>
      <c r="K1216" s="10"/>
      <c r="L1216" s="10"/>
    </row>
    <row r="1217" spans="1:12" s="2" customFormat="1" ht="13.2" x14ac:dyDescent="0.25">
      <c r="A1217" s="10"/>
      <c r="B1217" s="10"/>
      <c r="D1217" s="10"/>
      <c r="F1217" s="10"/>
      <c r="G1217" s="10"/>
      <c r="H1217" s="10"/>
      <c r="I1217" s="10"/>
      <c r="J1217" s="10"/>
      <c r="K1217" s="10"/>
      <c r="L1217" s="10"/>
    </row>
    <row r="1218" spans="1:12" s="2" customFormat="1" ht="13.2" x14ac:dyDescent="0.25">
      <c r="A1218" s="10"/>
      <c r="B1218" s="10"/>
      <c r="D1218" s="10"/>
      <c r="F1218" s="10"/>
      <c r="G1218" s="10"/>
      <c r="H1218" s="10"/>
      <c r="I1218" s="10"/>
      <c r="J1218" s="10"/>
      <c r="K1218" s="10"/>
      <c r="L1218" s="10"/>
    </row>
    <row r="1219" spans="1:12" s="2" customFormat="1" ht="13.2" x14ac:dyDescent="0.25">
      <c r="A1219" s="10"/>
      <c r="B1219" s="10"/>
      <c r="D1219" s="10"/>
      <c r="F1219" s="10"/>
      <c r="G1219" s="10"/>
      <c r="H1219" s="10"/>
      <c r="I1219" s="10"/>
      <c r="J1219" s="10"/>
      <c r="K1219" s="10"/>
      <c r="L1219" s="10"/>
    </row>
    <row r="1220" spans="1:12" s="2" customFormat="1" ht="13.2" x14ac:dyDescent="0.25">
      <c r="A1220" s="10"/>
      <c r="B1220" s="10"/>
      <c r="D1220" s="10"/>
      <c r="F1220" s="10"/>
      <c r="G1220" s="10"/>
      <c r="H1220" s="10"/>
      <c r="I1220" s="10"/>
      <c r="J1220" s="10"/>
      <c r="K1220" s="10"/>
      <c r="L1220" s="10"/>
    </row>
    <row r="1221" spans="1:12" s="2" customFormat="1" ht="13.2" x14ac:dyDescent="0.25">
      <c r="A1221" s="10"/>
      <c r="B1221" s="10"/>
      <c r="D1221" s="10"/>
      <c r="F1221" s="10"/>
      <c r="G1221" s="10"/>
      <c r="H1221" s="10"/>
      <c r="I1221" s="10"/>
      <c r="J1221" s="10"/>
      <c r="K1221" s="10"/>
      <c r="L1221" s="10"/>
    </row>
    <row r="1222" spans="1:12" s="2" customFormat="1" ht="13.2" x14ac:dyDescent="0.25">
      <c r="A1222" s="10"/>
      <c r="B1222" s="10"/>
      <c r="D1222" s="10"/>
      <c r="F1222" s="10"/>
      <c r="G1222" s="10"/>
      <c r="H1222" s="10"/>
      <c r="I1222" s="10"/>
      <c r="J1222" s="10"/>
      <c r="K1222" s="10"/>
      <c r="L1222" s="10"/>
    </row>
    <row r="1223" spans="1:12" s="2" customFormat="1" ht="13.2" x14ac:dyDescent="0.25">
      <c r="A1223" s="10"/>
      <c r="B1223" s="10"/>
      <c r="D1223" s="10"/>
      <c r="F1223" s="10"/>
      <c r="G1223" s="10"/>
      <c r="H1223" s="10"/>
      <c r="I1223" s="10"/>
      <c r="J1223" s="10"/>
      <c r="K1223" s="10"/>
      <c r="L1223" s="10"/>
    </row>
    <row r="1224" spans="1:12" s="2" customFormat="1" ht="13.2" x14ac:dyDescent="0.25">
      <c r="A1224" s="10"/>
      <c r="B1224" s="10"/>
      <c r="D1224" s="10"/>
      <c r="F1224" s="10"/>
      <c r="G1224" s="10"/>
      <c r="H1224" s="10"/>
      <c r="I1224" s="10"/>
      <c r="J1224" s="10"/>
      <c r="K1224" s="10"/>
      <c r="L1224" s="10"/>
    </row>
    <row r="1225" spans="1:12" s="2" customFormat="1" ht="13.2" x14ac:dyDescent="0.25">
      <c r="A1225" s="10"/>
      <c r="B1225" s="10"/>
      <c r="D1225" s="10"/>
      <c r="F1225" s="10"/>
      <c r="G1225" s="10"/>
      <c r="H1225" s="10"/>
      <c r="I1225" s="10"/>
      <c r="J1225" s="10"/>
      <c r="K1225" s="10"/>
      <c r="L1225" s="10"/>
    </row>
    <row r="1226" spans="1:12" s="2" customFormat="1" ht="13.2" x14ac:dyDescent="0.25">
      <c r="A1226" s="10"/>
      <c r="B1226" s="10"/>
      <c r="D1226" s="10"/>
      <c r="F1226" s="10"/>
      <c r="G1226" s="10"/>
      <c r="H1226" s="10"/>
      <c r="I1226" s="10"/>
      <c r="J1226" s="10"/>
      <c r="K1226" s="10"/>
      <c r="L1226" s="10"/>
    </row>
    <row r="1227" spans="1:12" s="2" customFormat="1" ht="13.2" x14ac:dyDescent="0.25">
      <c r="A1227" s="10"/>
      <c r="B1227" s="10"/>
      <c r="D1227" s="10"/>
      <c r="F1227" s="10"/>
      <c r="G1227" s="10"/>
      <c r="H1227" s="10"/>
      <c r="I1227" s="10"/>
      <c r="J1227" s="10"/>
      <c r="K1227" s="10"/>
      <c r="L1227" s="10"/>
    </row>
    <row r="1228" spans="1:12" s="2" customFormat="1" ht="13.2" x14ac:dyDescent="0.25">
      <c r="A1228" s="10"/>
      <c r="B1228" s="10"/>
      <c r="D1228" s="10"/>
      <c r="F1228" s="10"/>
      <c r="G1228" s="10"/>
      <c r="H1228" s="10"/>
      <c r="I1228" s="10"/>
      <c r="J1228" s="10"/>
      <c r="K1228" s="10"/>
      <c r="L1228" s="10"/>
    </row>
    <row r="1229" spans="1:12" s="2" customFormat="1" ht="13.2" x14ac:dyDescent="0.25">
      <c r="A1229" s="10"/>
      <c r="B1229" s="10"/>
      <c r="D1229" s="10"/>
      <c r="F1229" s="10"/>
      <c r="G1229" s="10"/>
      <c r="H1229" s="10"/>
      <c r="I1229" s="10"/>
      <c r="J1229" s="10"/>
      <c r="K1229" s="10"/>
      <c r="L1229" s="10"/>
    </row>
    <row r="1230" spans="1:12" s="2" customFormat="1" ht="13.2" x14ac:dyDescent="0.25">
      <c r="A1230" s="10"/>
      <c r="B1230" s="10"/>
      <c r="D1230" s="10"/>
      <c r="F1230" s="10"/>
      <c r="G1230" s="10"/>
      <c r="H1230" s="10"/>
      <c r="I1230" s="10"/>
      <c r="J1230" s="10"/>
      <c r="K1230" s="10"/>
      <c r="L1230" s="10"/>
    </row>
    <row r="1231" spans="1:12" s="2" customFormat="1" ht="13.2" x14ac:dyDescent="0.25">
      <c r="A1231" s="10"/>
      <c r="B1231" s="10"/>
      <c r="D1231" s="10"/>
      <c r="F1231" s="10"/>
      <c r="G1231" s="10"/>
      <c r="H1231" s="10"/>
      <c r="I1231" s="10"/>
      <c r="J1231" s="10"/>
      <c r="K1231" s="10"/>
      <c r="L1231" s="10"/>
    </row>
    <row r="1232" spans="1:12" s="2" customFormat="1" ht="13.2" x14ac:dyDescent="0.25">
      <c r="A1232" s="10"/>
      <c r="B1232" s="10"/>
      <c r="D1232" s="10"/>
      <c r="F1232" s="10"/>
      <c r="G1232" s="10"/>
      <c r="H1232" s="10"/>
      <c r="I1232" s="10"/>
      <c r="J1232" s="10"/>
      <c r="K1232" s="10"/>
      <c r="L1232" s="10"/>
    </row>
    <row r="1233" spans="1:12" s="2" customFormat="1" ht="13.2" x14ac:dyDescent="0.25">
      <c r="A1233" s="10"/>
      <c r="B1233" s="10"/>
      <c r="D1233" s="10"/>
      <c r="F1233" s="10"/>
      <c r="G1233" s="10"/>
      <c r="H1233" s="10"/>
      <c r="I1233" s="10"/>
      <c r="J1233" s="10"/>
      <c r="K1233" s="10"/>
      <c r="L1233" s="10"/>
    </row>
    <row r="1234" spans="1:12" s="2" customFormat="1" ht="13.2" x14ac:dyDescent="0.25">
      <c r="A1234" s="10"/>
      <c r="B1234" s="10"/>
      <c r="D1234" s="10"/>
      <c r="F1234" s="10"/>
      <c r="G1234" s="10"/>
      <c r="H1234" s="10"/>
      <c r="I1234" s="10"/>
      <c r="J1234" s="10"/>
      <c r="K1234" s="10"/>
      <c r="L1234" s="10"/>
    </row>
    <row r="1235" spans="1:12" s="2" customFormat="1" ht="13.2" x14ac:dyDescent="0.25">
      <c r="A1235" s="10"/>
      <c r="B1235" s="10"/>
      <c r="D1235" s="10"/>
      <c r="F1235" s="10"/>
      <c r="G1235" s="10"/>
      <c r="H1235" s="10"/>
      <c r="I1235" s="10"/>
      <c r="J1235" s="10"/>
      <c r="K1235" s="10"/>
      <c r="L1235" s="10"/>
    </row>
    <row r="1236" spans="1:12" s="2" customFormat="1" ht="13.2" x14ac:dyDescent="0.25">
      <c r="A1236" s="10"/>
      <c r="B1236" s="10"/>
      <c r="D1236" s="10"/>
      <c r="F1236" s="10"/>
      <c r="G1236" s="10"/>
      <c r="H1236" s="10"/>
      <c r="I1236" s="10"/>
      <c r="J1236" s="10"/>
      <c r="K1236" s="10"/>
      <c r="L1236" s="10"/>
    </row>
    <row r="1237" spans="1:12" s="2" customFormat="1" ht="13.2" x14ac:dyDescent="0.25">
      <c r="A1237" s="10"/>
      <c r="B1237" s="10"/>
      <c r="D1237" s="10"/>
      <c r="F1237" s="10"/>
      <c r="G1237" s="10"/>
      <c r="H1237" s="10"/>
      <c r="I1237" s="10"/>
      <c r="J1237" s="10"/>
      <c r="K1237" s="10"/>
      <c r="L1237" s="10"/>
    </row>
    <row r="1238" spans="1:12" s="2" customFormat="1" ht="13.2" x14ac:dyDescent="0.25">
      <c r="A1238" s="10"/>
      <c r="B1238" s="10"/>
      <c r="D1238" s="10"/>
      <c r="F1238" s="10"/>
      <c r="G1238" s="10"/>
      <c r="H1238" s="10"/>
      <c r="I1238" s="10"/>
      <c r="J1238" s="10"/>
      <c r="K1238" s="10"/>
      <c r="L1238" s="10"/>
    </row>
    <row r="1239" spans="1:12" s="2" customFormat="1" ht="13.2" x14ac:dyDescent="0.25">
      <c r="A1239" s="10"/>
      <c r="B1239" s="10"/>
      <c r="D1239" s="10"/>
      <c r="F1239" s="10"/>
      <c r="G1239" s="10"/>
      <c r="H1239" s="10"/>
      <c r="I1239" s="10"/>
      <c r="J1239" s="10"/>
      <c r="K1239" s="10"/>
      <c r="L1239" s="10"/>
    </row>
    <row r="1240" spans="1:12" s="2" customFormat="1" ht="13.2" x14ac:dyDescent="0.25">
      <c r="A1240" s="10"/>
      <c r="B1240" s="10"/>
      <c r="D1240" s="10"/>
      <c r="F1240" s="10"/>
      <c r="G1240" s="10"/>
      <c r="H1240" s="10"/>
      <c r="I1240" s="10"/>
      <c r="J1240" s="10"/>
      <c r="K1240" s="10"/>
      <c r="L1240" s="10"/>
    </row>
    <row r="1241" spans="1:12" s="2" customFormat="1" ht="13.2" x14ac:dyDescent="0.25">
      <c r="A1241" s="10"/>
      <c r="B1241" s="10"/>
      <c r="D1241" s="10"/>
      <c r="F1241" s="10"/>
      <c r="G1241" s="10"/>
      <c r="H1241" s="10"/>
      <c r="I1241" s="10"/>
      <c r="J1241" s="10"/>
      <c r="K1241" s="10"/>
      <c r="L1241" s="10"/>
    </row>
    <row r="1242" spans="1:12" s="2" customFormat="1" ht="13.2" x14ac:dyDescent="0.25">
      <c r="A1242" s="10"/>
      <c r="B1242" s="10"/>
      <c r="D1242" s="10"/>
      <c r="F1242" s="10"/>
      <c r="G1242" s="10"/>
      <c r="H1242" s="10"/>
      <c r="I1242" s="10"/>
      <c r="J1242" s="10"/>
      <c r="K1242" s="10"/>
      <c r="L1242" s="10"/>
    </row>
    <row r="1243" spans="1:12" s="2" customFormat="1" ht="13.2" x14ac:dyDescent="0.25">
      <c r="A1243" s="10"/>
      <c r="B1243" s="10"/>
      <c r="D1243" s="10"/>
      <c r="F1243" s="10"/>
      <c r="G1243" s="10"/>
      <c r="H1243" s="10"/>
      <c r="I1243" s="10"/>
      <c r="J1243" s="10"/>
      <c r="K1243" s="10"/>
      <c r="L1243" s="10"/>
    </row>
    <row r="1244" spans="1:12" s="2" customFormat="1" ht="13.2" x14ac:dyDescent="0.25">
      <c r="A1244" s="10"/>
      <c r="B1244" s="10"/>
      <c r="D1244" s="10"/>
      <c r="F1244" s="10"/>
      <c r="G1244" s="10"/>
      <c r="H1244" s="10"/>
      <c r="I1244" s="10"/>
      <c r="J1244" s="10"/>
      <c r="K1244" s="10"/>
      <c r="L1244" s="10"/>
    </row>
    <row r="1245" spans="1:12" s="2" customFormat="1" ht="13.2" x14ac:dyDescent="0.25">
      <c r="A1245" s="10"/>
      <c r="B1245" s="10"/>
      <c r="D1245" s="10"/>
      <c r="F1245" s="10"/>
      <c r="G1245" s="10"/>
      <c r="H1245" s="10"/>
      <c r="I1245" s="10"/>
      <c r="J1245" s="10"/>
      <c r="K1245" s="10"/>
      <c r="L1245" s="10"/>
    </row>
    <row r="1246" spans="1:12" s="2" customFormat="1" ht="13.2" x14ac:dyDescent="0.25">
      <c r="A1246" s="10"/>
      <c r="B1246" s="10"/>
      <c r="D1246" s="10"/>
      <c r="F1246" s="10"/>
      <c r="G1246" s="10"/>
      <c r="H1246" s="10"/>
      <c r="I1246" s="10"/>
      <c r="J1246" s="10"/>
      <c r="K1246" s="10"/>
      <c r="L1246" s="10"/>
    </row>
    <row r="1247" spans="1:12" s="2" customFormat="1" ht="13.2" x14ac:dyDescent="0.25">
      <c r="A1247" s="10"/>
      <c r="B1247" s="10"/>
      <c r="D1247" s="10"/>
      <c r="F1247" s="10"/>
      <c r="G1247" s="10"/>
      <c r="H1247" s="10"/>
      <c r="I1247" s="10"/>
      <c r="J1247" s="10"/>
      <c r="K1247" s="10"/>
      <c r="L1247" s="10"/>
    </row>
    <row r="1248" spans="1:12" s="2" customFormat="1" ht="13.2" x14ac:dyDescent="0.25">
      <c r="A1248" s="10"/>
      <c r="B1248" s="10"/>
      <c r="D1248" s="10"/>
      <c r="F1248" s="10"/>
      <c r="G1248" s="10"/>
      <c r="H1248" s="10"/>
      <c r="I1248" s="10"/>
      <c r="J1248" s="10"/>
      <c r="K1248" s="10"/>
      <c r="L1248" s="10"/>
    </row>
    <row r="1249" spans="1:12" s="2" customFormat="1" ht="13.2" x14ac:dyDescent="0.25">
      <c r="A1249" s="10"/>
      <c r="B1249" s="10"/>
      <c r="D1249" s="10"/>
      <c r="F1249" s="10"/>
      <c r="G1249" s="10"/>
      <c r="H1249" s="10"/>
      <c r="I1249" s="10"/>
      <c r="J1249" s="10"/>
      <c r="K1249" s="10"/>
      <c r="L1249" s="10"/>
    </row>
    <row r="1250" spans="1:12" s="2" customFormat="1" ht="13.2" x14ac:dyDescent="0.25">
      <c r="A1250" s="10"/>
      <c r="B1250" s="10"/>
      <c r="D1250" s="10"/>
      <c r="F1250" s="10"/>
      <c r="G1250" s="10"/>
      <c r="H1250" s="10"/>
      <c r="I1250" s="10"/>
      <c r="J1250" s="10"/>
      <c r="K1250" s="10"/>
      <c r="L1250" s="10"/>
    </row>
    <row r="1251" spans="1:12" s="2" customFormat="1" ht="13.2" x14ac:dyDescent="0.25">
      <c r="A1251" s="10"/>
      <c r="B1251" s="10"/>
      <c r="D1251" s="10"/>
      <c r="F1251" s="10"/>
      <c r="G1251" s="10"/>
      <c r="H1251" s="10"/>
      <c r="I1251" s="10"/>
      <c r="J1251" s="10"/>
      <c r="K1251" s="10"/>
      <c r="L1251" s="10"/>
    </row>
    <row r="1252" spans="1:12" s="2" customFormat="1" ht="13.2" x14ac:dyDescent="0.25">
      <c r="A1252" s="10"/>
      <c r="B1252" s="10"/>
      <c r="D1252" s="10"/>
      <c r="F1252" s="10"/>
      <c r="G1252" s="10"/>
      <c r="H1252" s="10"/>
      <c r="I1252" s="10"/>
      <c r="J1252" s="10"/>
      <c r="K1252" s="10"/>
      <c r="L1252" s="10"/>
    </row>
    <row r="1253" spans="1:12" s="2" customFormat="1" ht="13.2" x14ac:dyDescent="0.25">
      <c r="A1253" s="10"/>
      <c r="B1253" s="10"/>
      <c r="D1253" s="10"/>
      <c r="F1253" s="10"/>
      <c r="G1253" s="10"/>
      <c r="H1253" s="10"/>
      <c r="I1253" s="10"/>
      <c r="J1253" s="10"/>
      <c r="K1253" s="10"/>
      <c r="L1253" s="10"/>
    </row>
    <row r="1254" spans="1:12" s="2" customFormat="1" ht="13.2" x14ac:dyDescent="0.25">
      <c r="A1254" s="10"/>
      <c r="B1254" s="10"/>
      <c r="D1254" s="10"/>
      <c r="F1254" s="10"/>
      <c r="G1254" s="10"/>
      <c r="H1254" s="10"/>
      <c r="I1254" s="10"/>
      <c r="J1254" s="10"/>
      <c r="K1254" s="10"/>
      <c r="L1254" s="10"/>
    </row>
    <row r="1255" spans="1:12" s="2" customFormat="1" ht="13.2" x14ac:dyDescent="0.25">
      <c r="A1255" s="10"/>
      <c r="B1255" s="10"/>
      <c r="D1255" s="10"/>
      <c r="F1255" s="10"/>
      <c r="G1255" s="10"/>
      <c r="H1255" s="10"/>
      <c r="I1255" s="10"/>
      <c r="J1255" s="10"/>
      <c r="K1255" s="10"/>
      <c r="L1255" s="10"/>
    </row>
    <row r="1256" spans="1:12" s="2" customFormat="1" ht="13.2" x14ac:dyDescent="0.25">
      <c r="A1256" s="10"/>
      <c r="B1256" s="10"/>
      <c r="D1256" s="10"/>
      <c r="F1256" s="10"/>
      <c r="G1256" s="10"/>
      <c r="H1256" s="10"/>
      <c r="I1256" s="10"/>
      <c r="J1256" s="10"/>
      <c r="K1256" s="10"/>
      <c r="L1256" s="10"/>
    </row>
    <row r="1257" spans="1:12" s="2" customFormat="1" ht="13.2" x14ac:dyDescent="0.25">
      <c r="A1257" s="10"/>
      <c r="B1257" s="10"/>
      <c r="D1257" s="10"/>
      <c r="F1257" s="10"/>
      <c r="G1257" s="10"/>
      <c r="H1257" s="10"/>
      <c r="I1257" s="10"/>
      <c r="J1257" s="10"/>
      <c r="K1257" s="10"/>
      <c r="L1257" s="10"/>
    </row>
    <row r="1258" spans="1:12" s="2" customFormat="1" ht="13.2" x14ac:dyDescent="0.25">
      <c r="A1258" s="10"/>
      <c r="B1258" s="10"/>
      <c r="D1258" s="10"/>
      <c r="F1258" s="10"/>
      <c r="G1258" s="10"/>
      <c r="H1258" s="10"/>
      <c r="I1258" s="10"/>
      <c r="J1258" s="10"/>
      <c r="K1258" s="10"/>
      <c r="L1258" s="10"/>
    </row>
    <row r="1259" spans="1:12" s="2" customFormat="1" ht="13.2" x14ac:dyDescent="0.25">
      <c r="A1259" s="10"/>
      <c r="B1259" s="10"/>
      <c r="D1259" s="10"/>
      <c r="F1259" s="10"/>
      <c r="G1259" s="10"/>
      <c r="H1259" s="10"/>
      <c r="I1259" s="10"/>
      <c r="J1259" s="10"/>
      <c r="K1259" s="10"/>
      <c r="L1259" s="10"/>
    </row>
    <row r="1260" spans="1:12" s="2" customFormat="1" ht="13.2" x14ac:dyDescent="0.25">
      <c r="A1260" s="10"/>
      <c r="B1260" s="10"/>
      <c r="D1260" s="10"/>
      <c r="F1260" s="10"/>
      <c r="G1260" s="10"/>
      <c r="H1260" s="10"/>
      <c r="I1260" s="10"/>
      <c r="J1260" s="10"/>
      <c r="K1260" s="10"/>
      <c r="L1260" s="10"/>
    </row>
    <row r="1261" spans="1:12" s="2" customFormat="1" ht="13.2" x14ac:dyDescent="0.25">
      <c r="A1261" s="10"/>
      <c r="B1261" s="10"/>
      <c r="D1261" s="10"/>
      <c r="F1261" s="10"/>
      <c r="G1261" s="10"/>
      <c r="H1261" s="10"/>
      <c r="I1261" s="10"/>
      <c r="J1261" s="10"/>
      <c r="K1261" s="10"/>
      <c r="L1261" s="10"/>
    </row>
    <row r="1262" spans="1:12" s="2" customFormat="1" ht="13.2" x14ac:dyDescent="0.25">
      <c r="A1262" s="10"/>
      <c r="B1262" s="10"/>
      <c r="D1262" s="10"/>
      <c r="F1262" s="10"/>
      <c r="G1262" s="10"/>
      <c r="H1262" s="10"/>
      <c r="I1262" s="10"/>
      <c r="J1262" s="10"/>
      <c r="K1262" s="10"/>
      <c r="L1262" s="10"/>
    </row>
    <row r="1263" spans="1:12" s="2" customFormat="1" ht="13.2" x14ac:dyDescent="0.25">
      <c r="A1263" s="10"/>
      <c r="B1263" s="10"/>
      <c r="D1263" s="10"/>
      <c r="F1263" s="10"/>
      <c r="G1263" s="10"/>
      <c r="H1263" s="10"/>
      <c r="I1263" s="10"/>
      <c r="J1263" s="10"/>
      <c r="K1263" s="10"/>
      <c r="L1263" s="10"/>
    </row>
    <row r="1264" spans="1:12" s="2" customFormat="1" ht="13.2" x14ac:dyDescent="0.25">
      <c r="A1264" s="10"/>
      <c r="B1264" s="10"/>
      <c r="D1264" s="10"/>
      <c r="F1264" s="10"/>
      <c r="G1264" s="10"/>
      <c r="H1264" s="10"/>
      <c r="I1264" s="10"/>
      <c r="J1264" s="10"/>
      <c r="K1264" s="10"/>
      <c r="L1264" s="10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689B-080A-4198-A081-6E00637F2D0E}">
  <dimension ref="A1:ALM30"/>
  <sheetViews>
    <sheetView zoomScale="85" zoomScaleNormal="85" workbookViewId="0">
      <selection activeCell="F3" sqref="F3"/>
    </sheetView>
  </sheetViews>
  <sheetFormatPr defaultColWidth="11.5546875" defaultRowHeight="13.2" x14ac:dyDescent="0.25"/>
  <cols>
    <col min="1" max="1" width="7" style="10" customWidth="1"/>
    <col min="2" max="2" width="6" style="10" customWidth="1"/>
    <col min="3" max="3" width="6.5546875" style="10" customWidth="1"/>
    <col min="4" max="4" width="34.5546875" style="23" customWidth="1"/>
    <col min="5" max="5" width="7.77734375" style="10" customWidth="1"/>
    <col min="6" max="6" width="11.5546875" style="26"/>
    <col min="7" max="7" width="11.44140625" style="10" customWidth="1"/>
    <col min="8" max="16" width="8" style="10" customWidth="1"/>
    <col min="17" max="17" width="9.77734375" style="10" customWidth="1"/>
    <col min="18" max="18" width="9.109375" style="10" customWidth="1"/>
    <col min="19" max="19" width="8.44140625" style="10" customWidth="1"/>
    <col min="20" max="20" width="7.88671875" style="10" customWidth="1"/>
    <col min="21" max="21" width="8" style="10" customWidth="1"/>
    <col min="22" max="22" width="8.44140625" style="10" customWidth="1"/>
    <col min="23" max="23" width="8.33203125" style="10" customWidth="1"/>
    <col min="24" max="24" width="7.21875" style="10" customWidth="1"/>
    <col min="25" max="25" width="8" style="10" customWidth="1"/>
    <col min="26" max="26" width="7.44140625" style="10" customWidth="1"/>
    <col min="27" max="1000" width="11.5546875" style="10"/>
  </cols>
  <sheetData>
    <row r="1" spans="1:26" x14ac:dyDescent="0.25">
      <c r="A1" s="10" t="s">
        <v>0</v>
      </c>
      <c r="B1" s="10" t="s">
        <v>1</v>
      </c>
      <c r="C1" s="10" t="s">
        <v>48</v>
      </c>
      <c r="D1" s="23" t="s">
        <v>1255</v>
      </c>
      <c r="E1" s="10" t="s">
        <v>2</v>
      </c>
      <c r="F1" s="10" t="s">
        <v>1171</v>
      </c>
      <c r="G1" s="10" t="s">
        <v>34</v>
      </c>
      <c r="H1" s="10" t="s">
        <v>35</v>
      </c>
      <c r="I1" s="10" t="s">
        <v>36</v>
      </c>
      <c r="J1" s="10" t="s">
        <v>37</v>
      </c>
      <c r="K1" s="10" t="s">
        <v>38</v>
      </c>
      <c r="L1" s="10" t="s">
        <v>39</v>
      </c>
      <c r="M1" s="10" t="s">
        <v>40</v>
      </c>
      <c r="N1" s="10" t="s">
        <v>3</v>
      </c>
      <c r="O1" s="10" t="s">
        <v>4</v>
      </c>
      <c r="P1" s="10" t="s">
        <v>5</v>
      </c>
      <c r="Q1" s="10" t="s">
        <v>1270</v>
      </c>
      <c r="R1" s="10" t="s">
        <v>1271</v>
      </c>
      <c r="S1" s="10" t="s">
        <v>1272</v>
      </c>
      <c r="T1" s="10" t="s">
        <v>1273</v>
      </c>
      <c r="U1" s="10" t="s">
        <v>1274</v>
      </c>
      <c r="V1" s="10" t="s">
        <v>1275</v>
      </c>
      <c r="W1" s="10" t="s">
        <v>1276</v>
      </c>
      <c r="X1" s="10" t="s">
        <v>1277</v>
      </c>
      <c r="Y1" s="10" t="s">
        <v>1278</v>
      </c>
      <c r="Z1" s="10" t="s">
        <v>1279</v>
      </c>
    </row>
    <row r="2" spans="1:26" ht="26.4" x14ac:dyDescent="0.25">
      <c r="A2" s="10">
        <v>13</v>
      </c>
      <c r="B2" s="10" t="s">
        <v>1179</v>
      </c>
      <c r="C2" s="10" t="s">
        <v>11</v>
      </c>
      <c r="D2" s="24" t="s">
        <v>1180</v>
      </c>
      <c r="E2" s="10">
        <v>0</v>
      </c>
      <c r="F2" s="10">
        <v>15</v>
      </c>
      <c r="G2" s="13" t="s">
        <v>1256</v>
      </c>
      <c r="H2" s="13">
        <v>235.553333333333</v>
      </c>
      <c r="I2" s="13">
        <v>239.30666666666701</v>
      </c>
      <c r="J2" s="13">
        <v>64.453333333333305</v>
      </c>
      <c r="K2" s="13">
        <v>163.19999999999999</v>
      </c>
      <c r="L2" s="13">
        <v>52.1666666666667</v>
      </c>
      <c r="M2" s="13">
        <v>144.19999999999999</v>
      </c>
      <c r="N2" s="13">
        <v>201.16</v>
      </c>
      <c r="O2" s="13">
        <v>222.56</v>
      </c>
      <c r="P2" s="13">
        <v>78.572999999999993</v>
      </c>
      <c r="Q2" s="14">
        <v>3.0824850828048298</v>
      </c>
      <c r="R2" s="14">
        <v>8.6639537878554709</v>
      </c>
      <c r="S2" s="14">
        <v>8.4641653598033706</v>
      </c>
      <c r="T2" s="14">
        <v>9.57779177253793</v>
      </c>
      <c r="U2" s="14">
        <v>21.3634200044308</v>
      </c>
      <c r="V2" s="14">
        <v>7.8351466999363701</v>
      </c>
      <c r="W2" s="14">
        <v>5.2373657500694</v>
      </c>
      <c r="X2" s="12">
        <v>9.3260000000000005</v>
      </c>
      <c r="Y2" s="12">
        <v>12.627000000000001</v>
      </c>
      <c r="Z2" s="12">
        <v>18.952999999999999</v>
      </c>
    </row>
    <row r="3" spans="1:26" x14ac:dyDescent="0.25">
      <c r="A3" s="10">
        <v>26</v>
      </c>
      <c r="B3" s="10" t="s">
        <v>1253</v>
      </c>
      <c r="C3" s="10" t="s">
        <v>11</v>
      </c>
      <c r="D3" s="23" t="s">
        <v>1196</v>
      </c>
      <c r="E3" s="10">
        <v>0</v>
      </c>
      <c r="F3" s="10">
        <v>10</v>
      </c>
      <c r="G3" s="13">
        <v>83.22</v>
      </c>
      <c r="H3" s="13">
        <v>194.09</v>
      </c>
      <c r="I3" s="13">
        <v>59.88</v>
      </c>
      <c r="J3" s="13">
        <v>71.5</v>
      </c>
      <c r="K3" s="13">
        <v>144.09</v>
      </c>
      <c r="L3" s="13">
        <v>49.21</v>
      </c>
      <c r="M3" s="13">
        <v>144.56</v>
      </c>
      <c r="N3" s="13">
        <v>206.94</v>
      </c>
      <c r="O3" s="13">
        <v>249.07</v>
      </c>
      <c r="P3" s="13">
        <v>250</v>
      </c>
      <c r="Q3" s="14">
        <v>7.2298455492954101</v>
      </c>
      <c r="R3" s="14">
        <v>15.5282860183172</v>
      </c>
      <c r="S3" s="14">
        <v>13.909373338388299</v>
      </c>
      <c r="T3" s="14">
        <v>4.2684891940826102</v>
      </c>
      <c r="U3" s="14">
        <v>6.8956427466110002</v>
      </c>
      <c r="V3" s="14">
        <v>6.4011196937202604</v>
      </c>
      <c r="W3" s="14">
        <v>4.6764659020817501</v>
      </c>
      <c r="X3" s="12">
        <v>31.291</v>
      </c>
      <c r="Y3" s="12">
        <v>12.401999999999999</v>
      </c>
      <c r="Z3" s="12">
        <v>16.675000000000001</v>
      </c>
    </row>
    <row r="4" spans="1:26" ht="26.4" x14ac:dyDescent="0.25">
      <c r="A4" s="10">
        <v>15</v>
      </c>
      <c r="B4" s="10" t="s">
        <v>1181</v>
      </c>
      <c r="C4" s="10" t="s">
        <v>1182</v>
      </c>
      <c r="D4" s="24" t="s">
        <v>1183</v>
      </c>
      <c r="E4" s="10">
        <v>0</v>
      </c>
      <c r="F4" s="10">
        <v>36</v>
      </c>
      <c r="G4" s="13">
        <v>146.39722222222201</v>
      </c>
      <c r="H4" s="13">
        <v>260.12222222222198</v>
      </c>
      <c r="I4" s="13">
        <v>221.53055555555599</v>
      </c>
      <c r="J4" s="13">
        <v>63.9861111111111</v>
      </c>
      <c r="K4" s="13">
        <v>195.308333333333</v>
      </c>
      <c r="L4" s="13">
        <v>54.133333333333297</v>
      </c>
      <c r="M4" s="13">
        <v>143.472222222222</v>
      </c>
      <c r="N4" s="13">
        <v>227.36099999999999</v>
      </c>
      <c r="O4" s="13">
        <v>237.608</v>
      </c>
      <c r="P4" s="13">
        <v>192.84399999999999</v>
      </c>
      <c r="Q4" s="14">
        <v>4.5485624800502302</v>
      </c>
      <c r="R4" s="14">
        <v>18.481591012388702</v>
      </c>
      <c r="S4" s="14">
        <v>24.570781945164601</v>
      </c>
      <c r="T4" s="14">
        <v>12.8166666666667</v>
      </c>
      <c r="U4" s="14">
        <v>20.761452949430801</v>
      </c>
      <c r="V4" s="14">
        <v>7.46232441765203</v>
      </c>
      <c r="W4" s="14">
        <v>9.3927513422733409</v>
      </c>
      <c r="X4" s="12">
        <v>64.974000000000004</v>
      </c>
      <c r="Y4" s="12">
        <v>33.963999999999999</v>
      </c>
      <c r="Z4" s="12">
        <v>35.64</v>
      </c>
    </row>
    <row r="5" spans="1:26" x14ac:dyDescent="0.25">
      <c r="A5" s="10">
        <v>23</v>
      </c>
      <c r="B5" s="10" t="s">
        <v>1192</v>
      </c>
      <c r="C5" s="10" t="s">
        <v>1182</v>
      </c>
      <c r="D5" s="23" t="s">
        <v>1193</v>
      </c>
      <c r="E5" s="10">
        <v>0</v>
      </c>
      <c r="F5" s="10">
        <v>13</v>
      </c>
      <c r="G5" s="13">
        <v>147.47692307692299</v>
      </c>
      <c r="H5" s="13">
        <v>268.29230769230799</v>
      </c>
      <c r="I5" s="13">
        <v>146.26153846153801</v>
      </c>
      <c r="J5" s="13">
        <v>133.269230769231</v>
      </c>
      <c r="K5" s="13">
        <v>219.58461538461501</v>
      </c>
      <c r="L5" s="13">
        <v>65.861538461538501</v>
      </c>
      <c r="M5" s="13">
        <v>150.24615384615399</v>
      </c>
      <c r="N5" s="13">
        <v>257.17700000000002</v>
      </c>
      <c r="O5" s="13">
        <v>215.715</v>
      </c>
      <c r="P5" s="13">
        <v>280.12299999999999</v>
      </c>
      <c r="Q5" s="14">
        <v>2.87609510915809</v>
      </c>
      <c r="R5" s="14">
        <v>6.8300148289811498</v>
      </c>
      <c r="S5" s="14">
        <v>18.963365491632299</v>
      </c>
      <c r="T5" s="14">
        <v>8.8562016515156206</v>
      </c>
      <c r="U5" s="14">
        <v>11.151296348694601</v>
      </c>
      <c r="V5" s="14">
        <v>11.087871636878599</v>
      </c>
      <c r="W5" s="14">
        <v>5.6331778160903303</v>
      </c>
      <c r="X5" s="12">
        <v>19.524999999999999</v>
      </c>
      <c r="Y5" s="12">
        <v>29.263000000000002</v>
      </c>
      <c r="Z5" s="12">
        <v>12.718999999999999</v>
      </c>
    </row>
    <row r="6" spans="1:26" x14ac:dyDescent="0.25">
      <c r="A6" s="10">
        <v>17</v>
      </c>
      <c r="B6" s="10" t="s">
        <v>17</v>
      </c>
      <c r="C6" s="10" t="s">
        <v>13</v>
      </c>
      <c r="D6" s="23" t="s">
        <v>1186</v>
      </c>
      <c r="E6" s="10">
        <v>0</v>
      </c>
      <c r="F6" s="10">
        <v>35</v>
      </c>
      <c r="G6" s="13">
        <v>141.50571428571399</v>
      </c>
      <c r="H6" s="13">
        <v>225.517142857143</v>
      </c>
      <c r="I6" s="13">
        <v>73.714285714285694</v>
      </c>
      <c r="J6" s="13">
        <v>58.194285714285698</v>
      </c>
      <c r="K6" s="13">
        <v>163.22285714285701</v>
      </c>
      <c r="L6" s="13">
        <v>45.225714285714297</v>
      </c>
      <c r="M6" s="13">
        <v>83.862857142857095</v>
      </c>
      <c r="N6" s="13">
        <v>212.708</v>
      </c>
      <c r="O6" s="13">
        <v>189.684</v>
      </c>
      <c r="P6" s="13">
        <v>270.024</v>
      </c>
      <c r="Q6" s="14">
        <v>6.1783751365331501</v>
      </c>
      <c r="R6" s="14">
        <v>16.748968110695898</v>
      </c>
      <c r="S6" s="14">
        <v>12.019595345472601</v>
      </c>
      <c r="T6" s="14">
        <v>9.5220778397655703</v>
      </c>
      <c r="U6" s="14">
        <v>11.2257342407389</v>
      </c>
      <c r="V6" s="14">
        <v>8.0238007297826393</v>
      </c>
      <c r="W6" s="14">
        <v>4.8107774664738701</v>
      </c>
      <c r="X6" s="12">
        <v>45.033000000000001</v>
      </c>
      <c r="Y6" s="12">
        <v>13.61</v>
      </c>
      <c r="Z6" s="12">
        <v>61.691000000000003</v>
      </c>
    </row>
    <row r="7" spans="1:26" x14ac:dyDescent="0.25">
      <c r="A7" s="10">
        <v>6</v>
      </c>
      <c r="B7" s="10" t="s">
        <v>1254</v>
      </c>
      <c r="C7" s="10" t="s">
        <v>13</v>
      </c>
      <c r="D7" s="23" t="s">
        <v>1269</v>
      </c>
      <c r="E7" s="2">
        <v>28.8398082851173</v>
      </c>
      <c r="F7" s="10">
        <v>88</v>
      </c>
      <c r="G7" s="13">
        <v>100.704545454545</v>
      </c>
      <c r="H7" s="13">
        <v>235.24431818181799</v>
      </c>
      <c r="I7" s="13">
        <v>287.17386363636399</v>
      </c>
      <c r="J7" s="13">
        <v>169.815909090909</v>
      </c>
      <c r="K7" s="13">
        <v>163.17500000000001</v>
      </c>
      <c r="L7" s="13">
        <v>51.404545454545499</v>
      </c>
      <c r="M7" s="13">
        <v>84.157954545454601</v>
      </c>
      <c r="N7" s="13">
        <v>216.911</v>
      </c>
      <c r="O7" s="13">
        <v>184.773</v>
      </c>
      <c r="P7" s="13">
        <v>241.256</v>
      </c>
      <c r="Q7" s="14">
        <v>29.139063755938</v>
      </c>
      <c r="R7" s="14">
        <v>22.162486986230501</v>
      </c>
      <c r="S7" s="14">
        <v>11.826684170296801</v>
      </c>
      <c r="T7" s="14">
        <v>15.5115373180305</v>
      </c>
      <c r="U7" s="14">
        <v>17.429221400300399</v>
      </c>
      <c r="V7" s="14">
        <v>7.7855880574436398</v>
      </c>
      <c r="W7" s="14">
        <v>4.1502450167501603</v>
      </c>
      <c r="X7" s="12">
        <v>37.768999999999998</v>
      </c>
      <c r="Y7" s="12">
        <v>32.618000000000002</v>
      </c>
      <c r="Z7" s="12">
        <v>55.643000000000001</v>
      </c>
    </row>
    <row r="8" spans="1:26" x14ac:dyDescent="0.25">
      <c r="A8" s="10">
        <v>19</v>
      </c>
      <c r="B8" s="10" t="s">
        <v>1194</v>
      </c>
      <c r="C8" s="10" t="s">
        <v>29</v>
      </c>
      <c r="D8" s="23" t="s">
        <v>1189</v>
      </c>
      <c r="E8" s="10">
        <v>0</v>
      </c>
      <c r="F8" s="10">
        <v>18</v>
      </c>
      <c r="G8" s="13">
        <v>82.85</v>
      </c>
      <c r="H8" s="13">
        <v>223.65</v>
      </c>
      <c r="I8" s="13">
        <v>272.25555555555599</v>
      </c>
      <c r="J8" s="13">
        <v>56.794444444444402</v>
      </c>
      <c r="K8" s="13">
        <v>197.50555555555599</v>
      </c>
      <c r="L8" s="13">
        <v>279.62222222222198</v>
      </c>
      <c r="M8" s="13">
        <v>92.466666666666697</v>
      </c>
      <c r="N8" s="13">
        <v>185.3</v>
      </c>
      <c r="O8" s="13">
        <v>183.495</v>
      </c>
      <c r="P8" s="13">
        <v>88.552999999999997</v>
      </c>
      <c r="Q8" s="14">
        <v>3.8643544472676998</v>
      </c>
      <c r="R8" s="14">
        <v>14.037648956833699</v>
      </c>
      <c r="S8" s="14">
        <v>7.4986447577288597</v>
      </c>
      <c r="T8" s="14">
        <v>16.449189939726601</v>
      </c>
      <c r="U8" s="14">
        <v>20.869664791192299</v>
      </c>
      <c r="V8" s="14">
        <v>18.396021166851298</v>
      </c>
      <c r="W8" s="14">
        <v>9.1518561280340993</v>
      </c>
      <c r="X8" s="12">
        <v>45.526000000000003</v>
      </c>
      <c r="Y8" s="12">
        <v>69.180999999999997</v>
      </c>
      <c r="Z8" s="12">
        <v>138.357</v>
      </c>
    </row>
    <row r="9" spans="1:26" x14ac:dyDescent="0.25">
      <c r="A9" s="10">
        <v>25</v>
      </c>
      <c r="B9" s="10" t="s">
        <v>1188</v>
      </c>
      <c r="C9" s="10" t="s">
        <v>29</v>
      </c>
      <c r="D9" s="23" t="s">
        <v>1195</v>
      </c>
      <c r="E9" s="2">
        <v>24.9484357273864</v>
      </c>
      <c r="F9" s="10">
        <v>10</v>
      </c>
      <c r="G9" s="13">
        <v>145.46</v>
      </c>
      <c r="H9" s="13">
        <v>253.39</v>
      </c>
      <c r="I9" s="13">
        <v>278.39999999999998</v>
      </c>
      <c r="J9" s="13">
        <v>194.24</v>
      </c>
      <c r="K9" s="13">
        <v>148.56</v>
      </c>
      <c r="L9" s="13">
        <v>45.78</v>
      </c>
      <c r="M9" s="13">
        <v>147.57</v>
      </c>
      <c r="N9" s="13">
        <v>239.5</v>
      </c>
      <c r="O9" s="13">
        <v>251.52</v>
      </c>
      <c r="P9" s="13">
        <v>288.29000000000002</v>
      </c>
      <c r="Q9" s="14">
        <v>4.7305625693169198</v>
      </c>
      <c r="R9" s="14">
        <v>10.7475526930036</v>
      </c>
      <c r="S9" s="14">
        <v>8.5693251387337099</v>
      </c>
      <c r="T9" s="14">
        <v>9.8162224008129702</v>
      </c>
      <c r="U9" s="14">
        <v>8.3692824596191606</v>
      </c>
      <c r="V9" s="14">
        <v>9.5491477222955492</v>
      </c>
      <c r="W9" s="14">
        <v>8.0530256563742704</v>
      </c>
      <c r="X9" s="12">
        <v>10.895</v>
      </c>
      <c r="Y9" s="12">
        <v>12.401</v>
      </c>
      <c r="Z9" s="12">
        <v>5.5359999999999996</v>
      </c>
    </row>
    <row r="10" spans="1:26" x14ac:dyDescent="0.25">
      <c r="A10" s="10">
        <v>0</v>
      </c>
      <c r="B10" s="10" t="s">
        <v>6</v>
      </c>
      <c r="C10" s="10" t="s">
        <v>7</v>
      </c>
      <c r="D10" s="23" t="s">
        <v>1257</v>
      </c>
      <c r="E10" s="2">
        <v>98.437893035137606</v>
      </c>
      <c r="F10" s="10">
        <v>3857</v>
      </c>
      <c r="G10" s="13">
        <v>81.207311381902997</v>
      </c>
      <c r="H10" s="13">
        <v>213.909955924293</v>
      </c>
      <c r="I10" s="13">
        <v>287.692584910552</v>
      </c>
      <c r="J10" s="13">
        <v>296.20899662950501</v>
      </c>
      <c r="K10" s="13">
        <v>171.66756546538801</v>
      </c>
      <c r="L10" s="13">
        <v>54.379699248120303</v>
      </c>
      <c r="M10" s="13">
        <v>80.419419237749594</v>
      </c>
      <c r="N10" s="13">
        <v>194.20599999999999</v>
      </c>
      <c r="O10" s="13">
        <v>198.54300000000001</v>
      </c>
      <c r="P10" s="13">
        <v>23.363</v>
      </c>
      <c r="Q10" s="14">
        <v>4.5143171798590798</v>
      </c>
      <c r="R10" s="14">
        <v>10.119177769842899</v>
      </c>
      <c r="S10" s="14">
        <v>8.1879979961381206</v>
      </c>
      <c r="T10" s="14">
        <v>9.6994106985212305</v>
      </c>
      <c r="U10" s="14">
        <v>9.1746656473460497</v>
      </c>
      <c r="V10" s="14">
        <v>7.8398135478811799</v>
      </c>
      <c r="W10" s="14">
        <v>3.8313972179716398</v>
      </c>
      <c r="X10" s="12">
        <v>15.606999999999999</v>
      </c>
      <c r="Y10" s="12">
        <v>11.656000000000001</v>
      </c>
      <c r="Z10" s="12">
        <v>27.454999999999998</v>
      </c>
    </row>
    <row r="11" spans="1:26" x14ac:dyDescent="0.25">
      <c r="A11" s="10">
        <v>2</v>
      </c>
      <c r="B11" s="10" t="s">
        <v>55</v>
      </c>
      <c r="C11" s="10" t="s">
        <v>8</v>
      </c>
      <c r="D11" s="23" t="s">
        <v>1259</v>
      </c>
      <c r="E11" s="2">
        <v>94.822952565391901</v>
      </c>
      <c r="F11" s="10">
        <v>433</v>
      </c>
      <c r="G11" s="13">
        <v>81.129561200923803</v>
      </c>
      <c r="H11" s="13">
        <v>204.079907621247</v>
      </c>
      <c r="I11" s="13">
        <v>281.25334872979198</v>
      </c>
      <c r="J11" s="13">
        <v>141.99053117782901</v>
      </c>
      <c r="K11" s="13">
        <v>202.51316397228601</v>
      </c>
      <c r="L11" s="13">
        <v>185.239953810624</v>
      </c>
      <c r="M11" s="13">
        <v>86.014087759815197</v>
      </c>
      <c r="N11" s="13">
        <v>197.934</v>
      </c>
      <c r="O11" s="13">
        <v>184.19399999999999</v>
      </c>
      <c r="P11" s="13">
        <v>36.597999999999999</v>
      </c>
      <c r="Q11" s="14">
        <v>5.6346813017085902</v>
      </c>
      <c r="R11" s="14">
        <v>13.5628181133801</v>
      </c>
      <c r="S11" s="14">
        <v>15.874549982272899</v>
      </c>
      <c r="T11" s="14">
        <v>19.739482148836501</v>
      </c>
      <c r="U11" s="14">
        <v>17.162144426286002</v>
      </c>
      <c r="V11" s="14">
        <v>17.533350417125501</v>
      </c>
      <c r="W11" s="14">
        <v>6.31927974107683</v>
      </c>
      <c r="X11" s="12">
        <v>24.074000000000002</v>
      </c>
      <c r="Y11" s="12">
        <v>20.9</v>
      </c>
      <c r="Z11" s="12">
        <v>73.561000000000007</v>
      </c>
    </row>
    <row r="12" spans="1:26" x14ac:dyDescent="0.25">
      <c r="A12" s="10">
        <v>10</v>
      </c>
      <c r="B12" s="10" t="s">
        <v>1178</v>
      </c>
      <c r="C12" s="10" t="s">
        <v>9</v>
      </c>
      <c r="D12" s="23" t="s">
        <v>1260</v>
      </c>
      <c r="E12" s="2">
        <v>94.475451600546094</v>
      </c>
      <c r="F12" s="10">
        <v>86</v>
      </c>
      <c r="G12" s="13">
        <v>83.915116279069807</v>
      </c>
      <c r="H12" s="13">
        <v>222.22790697674401</v>
      </c>
      <c r="I12" s="13">
        <v>205.45697674418599</v>
      </c>
      <c r="J12" s="13">
        <v>306.732558139535</v>
      </c>
      <c r="K12" s="13">
        <v>148.29069767441899</v>
      </c>
      <c r="L12" s="13">
        <v>50.980232558139498</v>
      </c>
      <c r="M12" s="13">
        <v>82.141860465116295</v>
      </c>
      <c r="N12" s="13">
        <v>198.78399999999999</v>
      </c>
      <c r="O12" s="13">
        <v>199.899</v>
      </c>
      <c r="P12" s="13">
        <v>155.929</v>
      </c>
      <c r="Q12" s="14">
        <v>6.7548242880766898</v>
      </c>
      <c r="R12" s="14">
        <v>25.060480494725901</v>
      </c>
      <c r="S12" s="14">
        <v>51.836363663081301</v>
      </c>
      <c r="T12" s="14">
        <v>22.200357399669301</v>
      </c>
      <c r="U12" s="14">
        <v>22.743369443096402</v>
      </c>
      <c r="V12" s="14">
        <v>16.933606125567799</v>
      </c>
      <c r="W12" s="14">
        <v>6.3279299675659004</v>
      </c>
      <c r="X12" s="12">
        <v>33.109000000000002</v>
      </c>
      <c r="Y12" s="12">
        <v>17.396999999999998</v>
      </c>
      <c r="Z12" s="12">
        <v>129.34700000000001</v>
      </c>
    </row>
    <row r="13" spans="1:26" x14ac:dyDescent="0.25">
      <c r="A13" s="10">
        <v>9</v>
      </c>
      <c r="B13" s="10" t="s">
        <v>23</v>
      </c>
      <c r="C13" s="10" t="s">
        <v>8</v>
      </c>
      <c r="D13" s="23" t="s">
        <v>1261</v>
      </c>
      <c r="E13" s="2">
        <v>92.628097465627704</v>
      </c>
      <c r="F13" s="10">
        <v>123</v>
      </c>
      <c r="G13" s="13">
        <v>81.177235772357704</v>
      </c>
      <c r="H13" s="13">
        <v>209.774796747967</v>
      </c>
      <c r="I13" s="13">
        <v>298.57479674796701</v>
      </c>
      <c r="J13" s="13">
        <v>220.28130081300799</v>
      </c>
      <c r="K13" s="13">
        <v>155.26260162601599</v>
      </c>
      <c r="L13" s="13">
        <v>132.779674796748</v>
      </c>
      <c r="M13" s="13">
        <v>82.260162601626007</v>
      </c>
      <c r="N13" s="13">
        <v>198.71700000000001</v>
      </c>
      <c r="O13" s="13">
        <v>190.69300000000001</v>
      </c>
      <c r="P13" s="13">
        <v>84.941000000000003</v>
      </c>
      <c r="Q13" s="14">
        <v>6.3024170878222403</v>
      </c>
      <c r="R13" s="14">
        <v>21.936030670034899</v>
      </c>
      <c r="S13" s="14">
        <v>17.751151398794899</v>
      </c>
      <c r="T13" s="14">
        <v>33.635218538949097</v>
      </c>
      <c r="U13" s="14">
        <v>50.390972061543003</v>
      </c>
      <c r="V13" s="14">
        <v>33.302825556659698</v>
      </c>
      <c r="W13" s="14">
        <v>7.6332828148000003</v>
      </c>
      <c r="X13" s="12">
        <v>25.527999999999999</v>
      </c>
      <c r="Y13" s="12">
        <v>25.984999999999999</v>
      </c>
      <c r="Z13" s="12">
        <v>124.96</v>
      </c>
    </row>
    <row r="14" spans="1:26" x14ac:dyDescent="0.25">
      <c r="A14" s="10">
        <v>21</v>
      </c>
      <c r="B14" s="10" t="s">
        <v>27</v>
      </c>
      <c r="C14" s="10" t="s">
        <v>8</v>
      </c>
      <c r="D14" s="23" t="s">
        <v>1262</v>
      </c>
      <c r="E14" s="2">
        <v>62.061960890037803</v>
      </c>
      <c r="F14" s="10">
        <v>15</v>
      </c>
      <c r="G14" s="13">
        <v>90.033333333333303</v>
      </c>
      <c r="H14" s="13">
        <v>253.54</v>
      </c>
      <c r="I14" s="13">
        <v>262.41333333333301</v>
      </c>
      <c r="J14" s="13">
        <v>81.459999999999994</v>
      </c>
      <c r="K14" s="13">
        <v>238.15333333333299</v>
      </c>
      <c r="L14" s="13">
        <v>227.96666666666701</v>
      </c>
      <c r="M14" s="13">
        <v>91.873333333333306</v>
      </c>
      <c r="N14" s="13">
        <v>190.80699999999999</v>
      </c>
      <c r="O14" s="13">
        <v>181.453</v>
      </c>
      <c r="P14" s="13">
        <v>21.786999999999999</v>
      </c>
      <c r="Q14" s="14">
        <v>12.6961561487082</v>
      </c>
      <c r="R14" s="14">
        <v>10.226003268977699</v>
      </c>
      <c r="S14" s="14">
        <v>12.4994780843423</v>
      </c>
      <c r="T14" s="14">
        <v>11.006932880170201</v>
      </c>
      <c r="U14" s="14">
        <v>13.415655389276001</v>
      </c>
      <c r="V14" s="14">
        <v>10.620241231230301</v>
      </c>
      <c r="W14" s="14">
        <v>6.0940798750762601</v>
      </c>
      <c r="X14" s="12">
        <v>20.867000000000001</v>
      </c>
      <c r="Y14" s="12">
        <v>9.7330000000000005</v>
      </c>
      <c r="Z14" s="12">
        <v>23.036999999999999</v>
      </c>
    </row>
    <row r="15" spans="1:26" x14ac:dyDescent="0.25">
      <c r="A15" s="10">
        <v>1</v>
      </c>
      <c r="B15" s="10" t="s">
        <v>10</v>
      </c>
      <c r="C15" s="10" t="s">
        <v>11</v>
      </c>
      <c r="D15" s="23" t="s">
        <v>1263</v>
      </c>
      <c r="E15" s="2">
        <v>97.3420947470714</v>
      </c>
      <c r="F15" s="10">
        <v>343</v>
      </c>
      <c r="G15" s="13">
        <v>83.580758017492698</v>
      </c>
      <c r="H15" s="13">
        <v>218.972303206997</v>
      </c>
      <c r="I15" s="13">
        <v>286.16618075801699</v>
      </c>
      <c r="J15" s="13">
        <v>299.23556851311997</v>
      </c>
      <c r="K15" s="13">
        <v>186.66413994169099</v>
      </c>
      <c r="L15" s="13">
        <v>56.829446064139901</v>
      </c>
      <c r="M15" s="13">
        <v>142.89037900874601</v>
      </c>
      <c r="N15" s="13">
        <v>202.36699999999999</v>
      </c>
      <c r="O15" s="13">
        <v>232.244</v>
      </c>
      <c r="P15" s="13">
        <v>87.355000000000004</v>
      </c>
      <c r="Q15" s="14">
        <v>4.2958272297046696</v>
      </c>
      <c r="R15" s="14">
        <v>13.815779062813499</v>
      </c>
      <c r="S15" s="14">
        <v>11.054903875576001</v>
      </c>
      <c r="T15" s="14">
        <v>10.0850949692316</v>
      </c>
      <c r="U15" s="14">
        <v>20.452856141166102</v>
      </c>
      <c r="V15" s="14">
        <v>8.3879390917482102</v>
      </c>
      <c r="W15" s="14">
        <v>7.9856776491886396</v>
      </c>
      <c r="X15" s="12">
        <v>24.855</v>
      </c>
      <c r="Y15" s="12">
        <v>54.484999999999999</v>
      </c>
      <c r="Z15" s="12">
        <v>133.28700000000001</v>
      </c>
    </row>
    <row r="16" spans="1:26" x14ac:dyDescent="0.25">
      <c r="A16" s="10">
        <v>24</v>
      </c>
      <c r="B16" s="10" t="s">
        <v>30</v>
      </c>
      <c r="C16" s="10" t="s">
        <v>31</v>
      </c>
      <c r="D16" s="23" t="s">
        <v>1264</v>
      </c>
      <c r="E16" s="2">
        <v>96.759510774704296</v>
      </c>
      <c r="F16" s="10">
        <v>10</v>
      </c>
      <c r="G16" s="13">
        <v>142.71</v>
      </c>
      <c r="H16" s="13">
        <v>243.2</v>
      </c>
      <c r="I16" s="13">
        <v>175.52</v>
      </c>
      <c r="J16" s="13">
        <v>63.81</v>
      </c>
      <c r="K16" s="13">
        <v>221.44</v>
      </c>
      <c r="L16" s="13">
        <v>197.96</v>
      </c>
      <c r="M16" s="13">
        <v>84.77</v>
      </c>
      <c r="N16" s="13">
        <v>260.44</v>
      </c>
      <c r="O16" s="13">
        <v>193.7</v>
      </c>
      <c r="P16" s="13">
        <v>27.1</v>
      </c>
      <c r="Q16" s="14">
        <v>6.30140196041061</v>
      </c>
      <c r="R16" s="14">
        <v>12.650603850321801</v>
      </c>
      <c r="S16" s="14">
        <v>17.1707632652457</v>
      </c>
      <c r="T16" s="14">
        <v>6.3584501955184702</v>
      </c>
      <c r="U16" s="14">
        <v>9.2388310948950707</v>
      </c>
      <c r="V16" s="14">
        <v>9.7257047730914294</v>
      </c>
      <c r="W16" s="14">
        <v>6.3519113483878096</v>
      </c>
      <c r="X16" s="12">
        <v>12.141</v>
      </c>
      <c r="Y16" s="12">
        <v>4.7590000000000003</v>
      </c>
      <c r="Z16" s="12">
        <v>5.7930000000000001</v>
      </c>
    </row>
    <row r="17" spans="1:1001" x14ac:dyDescent="0.25">
      <c r="A17" s="10">
        <v>7</v>
      </c>
      <c r="B17" s="10" t="s">
        <v>1175</v>
      </c>
      <c r="C17" s="10" t="s">
        <v>1176</v>
      </c>
      <c r="D17" s="23" t="s">
        <v>1177</v>
      </c>
      <c r="E17" s="10">
        <v>52.862588013422801</v>
      </c>
      <c r="F17" s="10">
        <v>61</v>
      </c>
      <c r="G17" s="13">
        <v>144.17213114754099</v>
      </c>
      <c r="H17" s="13">
        <v>240.539344262295</v>
      </c>
      <c r="I17" s="13">
        <v>189.86721311475401</v>
      </c>
      <c r="J17" s="13">
        <v>292.09344262295099</v>
      </c>
      <c r="K17" s="13">
        <v>188.037704918033</v>
      </c>
      <c r="L17" s="13">
        <v>50.754098360655703</v>
      </c>
      <c r="M17" s="13">
        <v>143.52459016393399</v>
      </c>
      <c r="N17" s="13">
        <v>233.91200000000001</v>
      </c>
      <c r="O17" s="13">
        <v>248.18899999999999</v>
      </c>
      <c r="P17" s="13">
        <v>61.417999999999999</v>
      </c>
      <c r="Q17" s="14">
        <v>7.1522055140947201</v>
      </c>
      <c r="R17" s="14">
        <v>23.075486839851798</v>
      </c>
      <c r="S17" s="14">
        <v>53.305968150265898</v>
      </c>
      <c r="T17" s="14">
        <v>13.530199171390199</v>
      </c>
      <c r="U17" s="14">
        <v>18.730609208231201</v>
      </c>
      <c r="V17" s="14">
        <v>12.0944832295623</v>
      </c>
      <c r="W17" s="14">
        <v>9.0629769895199903</v>
      </c>
      <c r="X17" s="12">
        <v>51.079000000000001</v>
      </c>
      <c r="Y17" s="12">
        <v>44.118000000000002</v>
      </c>
      <c r="Z17" s="12">
        <v>67.738</v>
      </c>
    </row>
    <row r="18" spans="1:1001" x14ac:dyDescent="0.25">
      <c r="A18" s="10">
        <v>5</v>
      </c>
      <c r="B18" s="10" t="s">
        <v>1172</v>
      </c>
      <c r="C18" s="10" t="s">
        <v>1173</v>
      </c>
      <c r="D18" s="23" t="s">
        <v>1174</v>
      </c>
      <c r="E18" s="10">
        <v>64.235984650274403</v>
      </c>
      <c r="F18" s="10">
        <v>91</v>
      </c>
      <c r="G18" s="13">
        <v>145.34505494505501</v>
      </c>
      <c r="H18" s="13">
        <v>261.83846153846201</v>
      </c>
      <c r="I18" s="13">
        <v>286.49010989010998</v>
      </c>
      <c r="J18" s="13">
        <v>290.818681318681</v>
      </c>
      <c r="K18" s="13">
        <v>201.51428571428599</v>
      </c>
      <c r="L18" s="13">
        <v>51.415384615384603</v>
      </c>
      <c r="M18" s="13">
        <v>145.55934065934099</v>
      </c>
      <c r="N18" s="13">
        <v>194.334</v>
      </c>
      <c r="O18" s="13">
        <v>228.745</v>
      </c>
      <c r="P18" s="13">
        <v>66.521000000000001</v>
      </c>
      <c r="Q18" s="14">
        <v>6.1369421219414004</v>
      </c>
      <c r="R18" s="14">
        <v>10.9417423884739</v>
      </c>
      <c r="S18" s="14">
        <v>15.740478991335699</v>
      </c>
      <c r="T18" s="14">
        <v>11.4398709402968</v>
      </c>
      <c r="U18" s="14">
        <v>22.488982840634399</v>
      </c>
      <c r="V18" s="14">
        <v>8.4892078295121003</v>
      </c>
      <c r="W18" s="14">
        <v>5.3838024155171702</v>
      </c>
      <c r="X18" s="12">
        <v>75.197000000000003</v>
      </c>
      <c r="Y18" s="12">
        <v>42.448</v>
      </c>
      <c r="Z18" s="12">
        <v>20.399000000000001</v>
      </c>
    </row>
    <row r="19" spans="1:1001" s="21" customFormat="1" x14ac:dyDescent="0.25">
      <c r="A19" s="21">
        <v>3</v>
      </c>
      <c r="B19" s="21" t="s">
        <v>14</v>
      </c>
      <c r="C19" s="21" t="s">
        <v>13</v>
      </c>
      <c r="D19" s="25" t="s">
        <v>15</v>
      </c>
      <c r="E19" s="21">
        <v>94.237810222958004</v>
      </c>
      <c r="F19" s="21">
        <v>127</v>
      </c>
      <c r="G19" s="27">
        <v>142.96141732283499</v>
      </c>
      <c r="H19" s="27">
        <v>261.00944881889802</v>
      </c>
      <c r="I19" s="27">
        <v>290.69370078740201</v>
      </c>
      <c r="J19" s="27">
        <v>288.59212598425199</v>
      </c>
      <c r="K19" s="27">
        <v>189.533070866142</v>
      </c>
      <c r="L19" s="27">
        <v>51.021259842519697</v>
      </c>
      <c r="M19" s="27">
        <v>82.075590551181094</v>
      </c>
      <c r="N19" s="27">
        <v>220.785</v>
      </c>
      <c r="O19" s="27">
        <v>199.66900000000001</v>
      </c>
      <c r="P19" s="27">
        <v>91.644999999999996</v>
      </c>
      <c r="Q19" s="32">
        <v>9.4536215219361708</v>
      </c>
      <c r="R19" s="32">
        <v>10.5017491594531</v>
      </c>
      <c r="S19" s="32">
        <v>12.612935839097499</v>
      </c>
      <c r="T19" s="32">
        <v>15.0442131800312</v>
      </c>
      <c r="U19" s="32">
        <v>15.5420170654646</v>
      </c>
      <c r="V19" s="32">
        <v>9.5929589748035191</v>
      </c>
      <c r="W19" s="32">
        <v>3.7457429071225898</v>
      </c>
      <c r="X19" s="22">
        <v>53.026000000000003</v>
      </c>
      <c r="Y19" s="22">
        <v>24.56</v>
      </c>
      <c r="Z19" s="22">
        <v>22.844000000000001</v>
      </c>
      <c r="ALM19" s="20"/>
    </row>
    <row r="20" spans="1:1001" s="21" customFormat="1" x14ac:dyDescent="0.25">
      <c r="A20" s="21">
        <v>8</v>
      </c>
      <c r="B20" s="19" t="s">
        <v>28</v>
      </c>
      <c r="C20" s="21" t="s">
        <v>13</v>
      </c>
      <c r="D20" s="25" t="s">
        <v>15</v>
      </c>
      <c r="E20" s="19">
        <v>78.676411728795401</v>
      </c>
      <c r="F20" s="21">
        <v>87</v>
      </c>
      <c r="G20" s="27">
        <v>145.011494252874</v>
      </c>
      <c r="H20" s="27">
        <v>236.00229885057499</v>
      </c>
      <c r="I20" s="27">
        <v>130.283908045977</v>
      </c>
      <c r="J20" s="27">
        <v>285.21839080459802</v>
      </c>
      <c r="K20" s="27">
        <v>158.493103448276</v>
      </c>
      <c r="L20" s="27">
        <v>46.7206896551724</v>
      </c>
      <c r="M20" s="27">
        <v>83.1172413793103</v>
      </c>
      <c r="N20" s="27">
        <v>212.17599999999999</v>
      </c>
      <c r="O20" s="27">
        <v>196.161</v>
      </c>
      <c r="P20" s="27">
        <v>61.768000000000001</v>
      </c>
      <c r="Q20" s="32">
        <v>9.8071097286416506</v>
      </c>
      <c r="R20" s="32">
        <v>22.0894427957323</v>
      </c>
      <c r="S20" s="32">
        <v>28.684733292894101</v>
      </c>
      <c r="T20" s="32">
        <v>15.3815846458546</v>
      </c>
      <c r="U20" s="32">
        <v>17.968071120504302</v>
      </c>
      <c r="V20" s="32">
        <v>10.4790725882371</v>
      </c>
      <c r="W20" s="32">
        <v>5.17067327037452</v>
      </c>
      <c r="X20" s="22">
        <v>62.31</v>
      </c>
      <c r="Y20" s="22">
        <v>28.648</v>
      </c>
      <c r="Z20" s="22">
        <v>25.239000000000001</v>
      </c>
      <c r="ALM20" s="20"/>
    </row>
    <row r="21" spans="1:1001" s="21" customFormat="1" x14ac:dyDescent="0.25">
      <c r="A21" s="21">
        <v>18</v>
      </c>
      <c r="B21" s="21" t="s">
        <v>24</v>
      </c>
      <c r="C21" s="21" t="s">
        <v>13</v>
      </c>
      <c r="D21" s="25" t="s">
        <v>1187</v>
      </c>
      <c r="E21" s="19">
        <v>82.119431995244796</v>
      </c>
      <c r="F21" s="21">
        <v>37</v>
      </c>
      <c r="G21" s="27">
        <v>145.84324324324299</v>
      </c>
      <c r="H21" s="27">
        <v>261.43243243243199</v>
      </c>
      <c r="I21" s="27">
        <v>293.40540540540502</v>
      </c>
      <c r="J21" s="27">
        <v>295.79189189189202</v>
      </c>
      <c r="K21" s="27">
        <v>182.28918918918899</v>
      </c>
      <c r="L21" s="27">
        <v>176.99459459459499</v>
      </c>
      <c r="M21" s="27">
        <v>85.124324324324306</v>
      </c>
      <c r="N21" s="27">
        <v>243.25399999999999</v>
      </c>
      <c r="O21" s="27">
        <v>185.738</v>
      </c>
      <c r="P21" s="27">
        <v>223.73500000000001</v>
      </c>
      <c r="Q21" s="32">
        <v>5.43351433954839</v>
      </c>
      <c r="R21" s="32">
        <v>12.4537155110445</v>
      </c>
      <c r="S21" s="32">
        <v>11.115678265553701</v>
      </c>
      <c r="T21" s="32">
        <v>10.5422266881121</v>
      </c>
      <c r="U21" s="32">
        <v>33.572804667069597</v>
      </c>
      <c r="V21" s="32">
        <v>11.401363123814701</v>
      </c>
      <c r="W21" s="32">
        <v>8.68144270541754</v>
      </c>
      <c r="X21" s="22">
        <v>18.033999999999999</v>
      </c>
      <c r="Y21" s="22">
        <v>57.408000000000001</v>
      </c>
      <c r="Z21" s="22">
        <v>38.055999999999997</v>
      </c>
      <c r="ALM21" s="20"/>
    </row>
    <row r="22" spans="1:1001" s="21" customFormat="1" x14ac:dyDescent="0.25">
      <c r="A22" s="21">
        <v>11</v>
      </c>
      <c r="B22" s="21" t="s">
        <v>26</v>
      </c>
      <c r="C22" s="21" t="s">
        <v>13</v>
      </c>
      <c r="D22" s="25" t="s">
        <v>1265</v>
      </c>
      <c r="E22" s="19">
        <v>85.415981787624602</v>
      </c>
      <c r="F22" s="21">
        <v>55</v>
      </c>
      <c r="G22" s="27">
        <v>145.683636363636</v>
      </c>
      <c r="H22" s="27">
        <v>255.81818181818201</v>
      </c>
      <c r="I22" s="27">
        <v>95.510909090909095</v>
      </c>
      <c r="J22" s="27">
        <v>75.161818181818205</v>
      </c>
      <c r="K22" s="27">
        <v>168.71636363636401</v>
      </c>
      <c r="L22" s="27">
        <v>52.9181818181818</v>
      </c>
      <c r="M22" s="27">
        <v>148.816363636364</v>
      </c>
      <c r="N22" s="27">
        <v>223.869</v>
      </c>
      <c r="O22" s="27">
        <v>232.298</v>
      </c>
      <c r="P22" s="27">
        <v>226.78700000000001</v>
      </c>
      <c r="Q22" s="32">
        <v>9.2174505119037207</v>
      </c>
      <c r="R22" s="32">
        <v>18.883395517295799</v>
      </c>
      <c r="S22" s="32">
        <v>24.1913412174478</v>
      </c>
      <c r="T22" s="32">
        <v>15.289242053121001</v>
      </c>
      <c r="U22" s="32">
        <v>24.010250616770598</v>
      </c>
      <c r="V22" s="32">
        <v>12.6905927671305</v>
      </c>
      <c r="W22" s="32">
        <v>5.2233721063711496</v>
      </c>
      <c r="X22" s="22">
        <v>68.775000000000006</v>
      </c>
      <c r="Y22" s="22">
        <v>48.664999999999999</v>
      </c>
      <c r="Z22" s="22">
        <v>47.853999999999999</v>
      </c>
      <c r="ALM22" s="20"/>
    </row>
    <row r="23" spans="1:1001" s="21" customFormat="1" x14ac:dyDescent="0.25">
      <c r="A23" s="21">
        <v>4</v>
      </c>
      <c r="B23" s="21" t="s">
        <v>18</v>
      </c>
      <c r="C23" s="21" t="s">
        <v>13</v>
      </c>
      <c r="D23" s="25" t="s">
        <v>19</v>
      </c>
      <c r="E23" s="19">
        <v>97.4292921191104</v>
      </c>
      <c r="F23" s="21">
        <v>67</v>
      </c>
      <c r="G23" s="27">
        <v>146.95373134328401</v>
      </c>
      <c r="H23" s="27">
        <v>235.13582089552199</v>
      </c>
      <c r="I23" s="27">
        <v>134.131343283582</v>
      </c>
      <c r="J23" s="27">
        <v>288.96268656716398</v>
      </c>
      <c r="K23" s="27">
        <v>158.23283582089601</v>
      </c>
      <c r="L23" s="27">
        <v>45.647761194029897</v>
      </c>
      <c r="M23" s="27">
        <v>146.435820895522</v>
      </c>
      <c r="N23" s="27">
        <v>234.68700000000001</v>
      </c>
      <c r="O23" s="27">
        <v>237.15100000000001</v>
      </c>
      <c r="P23" s="27">
        <v>40.090000000000003</v>
      </c>
      <c r="Q23" s="32">
        <v>4.8408717083214396</v>
      </c>
      <c r="R23" s="32">
        <v>15.674672694785301</v>
      </c>
      <c r="S23" s="32">
        <v>21.996674741501302</v>
      </c>
      <c r="T23" s="32">
        <v>11.1156433015068</v>
      </c>
      <c r="U23" s="32">
        <v>12.273528894871401</v>
      </c>
      <c r="V23" s="32">
        <v>8.1006426645341705</v>
      </c>
      <c r="W23" s="32">
        <v>3.8295383649531001</v>
      </c>
      <c r="X23" s="22">
        <v>41.212000000000003</v>
      </c>
      <c r="Y23" s="22">
        <v>16.512</v>
      </c>
      <c r="Z23" s="22">
        <v>57.948</v>
      </c>
      <c r="ALM23" s="20"/>
    </row>
    <row r="24" spans="1:1001" s="21" customFormat="1" x14ac:dyDescent="0.25">
      <c r="A24" s="21">
        <v>14</v>
      </c>
      <c r="B24" s="21" t="s">
        <v>12</v>
      </c>
      <c r="C24" s="21" t="s">
        <v>13</v>
      </c>
      <c r="D24" s="25" t="s">
        <v>1266</v>
      </c>
      <c r="E24" s="19">
        <v>94.426512780753498</v>
      </c>
      <c r="F24" s="21">
        <v>26</v>
      </c>
      <c r="G24" s="27">
        <v>151.16538461538499</v>
      </c>
      <c r="H24" s="27">
        <v>265.657692307692</v>
      </c>
      <c r="I24" s="27">
        <v>190.288461538462</v>
      </c>
      <c r="J24" s="27">
        <v>80.169230769230793</v>
      </c>
      <c r="K24" s="27">
        <v>202.8</v>
      </c>
      <c r="L24" s="27">
        <v>67.311538461538504</v>
      </c>
      <c r="M24" s="27">
        <v>86.915384615384596</v>
      </c>
      <c r="N24" s="27">
        <v>267.29599999999999</v>
      </c>
      <c r="O24" s="27">
        <v>192.81899999999999</v>
      </c>
      <c r="P24" s="27">
        <v>253.69300000000001</v>
      </c>
      <c r="Q24" s="32">
        <v>6.9022861318663002</v>
      </c>
      <c r="R24" s="32">
        <v>14.6706011622407</v>
      </c>
      <c r="S24" s="32">
        <v>17.696560726267201</v>
      </c>
      <c r="T24" s="32">
        <v>17.5059023013558</v>
      </c>
      <c r="U24" s="32">
        <v>9.4344475195954107</v>
      </c>
      <c r="V24" s="32">
        <v>7.49342788972187</v>
      </c>
      <c r="W24" s="32">
        <v>4.4556204782447297</v>
      </c>
      <c r="X24" s="22">
        <v>52.107999999999997</v>
      </c>
      <c r="Y24" s="22">
        <v>9.7260000000000009</v>
      </c>
      <c r="Z24" s="22">
        <v>14.29</v>
      </c>
      <c r="ALM24" s="20"/>
    </row>
    <row r="25" spans="1:1001" s="21" customFormat="1" x14ac:dyDescent="0.25">
      <c r="A25" s="21">
        <v>22</v>
      </c>
      <c r="B25" s="21" t="s">
        <v>1191</v>
      </c>
      <c r="C25" s="21" t="s">
        <v>13</v>
      </c>
      <c r="D25" s="25" t="s">
        <v>1267</v>
      </c>
      <c r="E25" s="19">
        <v>96.376459293051894</v>
      </c>
      <c r="F25" s="21">
        <v>10</v>
      </c>
      <c r="G25" s="27">
        <v>141.65</v>
      </c>
      <c r="H25" s="27">
        <v>268.10000000000002</v>
      </c>
      <c r="I25" s="27">
        <v>166.84</v>
      </c>
      <c r="J25" s="27">
        <v>195.24</v>
      </c>
      <c r="K25" s="27">
        <v>176.5</v>
      </c>
      <c r="L25" s="27">
        <v>46.79</v>
      </c>
      <c r="M25" s="27">
        <v>81.72</v>
      </c>
      <c r="N25" s="27">
        <v>223.845</v>
      </c>
      <c r="O25" s="27">
        <v>190.94499999999999</v>
      </c>
      <c r="P25" s="27">
        <v>315.71800000000002</v>
      </c>
      <c r="Q25" s="32">
        <v>3.50626423546327</v>
      </c>
      <c r="R25" s="32">
        <v>2.9461839725312502</v>
      </c>
      <c r="S25" s="32">
        <v>11.79521560257</v>
      </c>
      <c r="T25" s="32">
        <v>18.221976963119101</v>
      </c>
      <c r="U25" s="32">
        <v>10.628368747000801</v>
      </c>
      <c r="V25" s="32">
        <v>11.5528207233847</v>
      </c>
      <c r="W25" s="32">
        <v>2.17040702787902</v>
      </c>
      <c r="X25" s="22">
        <v>51.554000000000002</v>
      </c>
      <c r="Y25" s="22">
        <v>4.5170000000000003</v>
      </c>
      <c r="Z25" s="22">
        <v>98.268000000000001</v>
      </c>
      <c r="ALM25" s="20"/>
    </row>
    <row r="26" spans="1:1001" s="21" customFormat="1" x14ac:dyDescent="0.25">
      <c r="A26" s="21">
        <v>20</v>
      </c>
      <c r="B26" s="21" t="s">
        <v>1190</v>
      </c>
      <c r="C26" s="21" t="s">
        <v>13</v>
      </c>
      <c r="D26" s="25" t="s">
        <v>1268</v>
      </c>
      <c r="E26" s="19">
        <v>81.867309749401997</v>
      </c>
      <c r="F26" s="21">
        <v>22</v>
      </c>
      <c r="G26" s="27">
        <v>85.0772727272727</v>
      </c>
      <c r="H26" s="27">
        <v>224.577272727273</v>
      </c>
      <c r="I26" s="27">
        <v>245.05</v>
      </c>
      <c r="J26" s="27">
        <v>68.168181818181793</v>
      </c>
      <c r="K26" s="27">
        <v>170.136363636364</v>
      </c>
      <c r="L26" s="27">
        <v>58.154545454545499</v>
      </c>
      <c r="M26" s="27">
        <v>84.636363636363697</v>
      </c>
      <c r="N26" s="27">
        <v>222.2</v>
      </c>
      <c r="O26" s="27">
        <v>200.16800000000001</v>
      </c>
      <c r="P26" s="27">
        <v>121.19499999999999</v>
      </c>
      <c r="Q26" s="32">
        <v>5.6592891879240597</v>
      </c>
      <c r="R26" s="32">
        <v>13.918433540014201</v>
      </c>
      <c r="S26" s="32">
        <v>15.0291700496386</v>
      </c>
      <c r="T26" s="32">
        <v>10.086879094652099</v>
      </c>
      <c r="U26" s="32">
        <v>21.898587592083199</v>
      </c>
      <c r="V26" s="32">
        <v>7.0269364233523204</v>
      </c>
      <c r="W26" s="32">
        <v>9.1623216778357293</v>
      </c>
      <c r="X26" s="22">
        <v>20.303000000000001</v>
      </c>
      <c r="Y26" s="22">
        <v>30.995000000000001</v>
      </c>
      <c r="Z26" s="22">
        <v>26.768999999999998</v>
      </c>
      <c r="ALM26" s="20"/>
    </row>
    <row r="27" spans="1:1001" x14ac:dyDescent="0.25">
      <c r="A27" s="10">
        <v>16</v>
      </c>
      <c r="B27" s="10" t="s">
        <v>1184</v>
      </c>
      <c r="C27" s="10" t="s">
        <v>29</v>
      </c>
      <c r="D27" s="23" t="s">
        <v>1185</v>
      </c>
      <c r="E27" s="2">
        <v>72.416825056539594</v>
      </c>
      <c r="F27" s="10">
        <v>14</v>
      </c>
      <c r="G27" s="13">
        <v>80.457142857142898</v>
      </c>
      <c r="H27" s="13">
        <v>233.328571428571</v>
      </c>
      <c r="I27" s="13">
        <v>236.69285714285701</v>
      </c>
      <c r="J27" s="13">
        <v>288.86428571428598</v>
      </c>
      <c r="K27" s="13">
        <v>201.84285714285701</v>
      </c>
      <c r="L27" s="13">
        <v>50.55</v>
      </c>
      <c r="M27" s="13">
        <v>144.15714285714299</v>
      </c>
      <c r="N27" s="13">
        <v>185.70699999999999</v>
      </c>
      <c r="O27" s="13">
        <v>272.83600000000001</v>
      </c>
      <c r="P27" s="13">
        <v>285.036</v>
      </c>
      <c r="Q27" s="14">
        <v>2.83541186418489</v>
      </c>
      <c r="R27" s="14">
        <v>17.566814367806298</v>
      </c>
      <c r="S27" s="14">
        <v>8.8955013942410908</v>
      </c>
      <c r="T27" s="14">
        <v>13.8616020354435</v>
      </c>
      <c r="U27" s="14">
        <v>17.398793693185201</v>
      </c>
      <c r="V27" s="14">
        <v>8.0339424175949095</v>
      </c>
      <c r="W27" s="14">
        <v>5.5152535733202699</v>
      </c>
      <c r="X27" s="12">
        <v>37.067999999999998</v>
      </c>
      <c r="Y27" s="12">
        <v>23.846</v>
      </c>
      <c r="Z27" s="12">
        <v>80.903000000000006</v>
      </c>
    </row>
    <row r="28" spans="1:1001" x14ac:dyDescent="0.25">
      <c r="A28" s="10">
        <v>12</v>
      </c>
      <c r="B28" s="2" t="s">
        <v>20</v>
      </c>
      <c r="C28" s="2" t="s">
        <v>21</v>
      </c>
      <c r="D28" s="23" t="s">
        <v>19</v>
      </c>
      <c r="E28" s="2">
        <v>91.824637184404395</v>
      </c>
      <c r="F28" s="10">
        <v>66</v>
      </c>
      <c r="G28" s="13">
        <v>145.52121212121199</v>
      </c>
      <c r="H28" s="13">
        <v>267.00757575757598</v>
      </c>
      <c r="I28" s="13">
        <v>82.404545454545499</v>
      </c>
      <c r="J28" s="13">
        <v>69.042424242424204</v>
      </c>
      <c r="K28" s="13">
        <v>192.20303030303</v>
      </c>
      <c r="L28" s="13">
        <v>182.707575757576</v>
      </c>
      <c r="M28" s="13">
        <v>99.871212121212096</v>
      </c>
      <c r="N28" s="13">
        <v>225.06299999999999</v>
      </c>
      <c r="O28" s="13">
        <v>165.41800000000001</v>
      </c>
      <c r="P28" s="13">
        <v>138.459</v>
      </c>
      <c r="Q28" s="14">
        <v>6.0360841904592704</v>
      </c>
      <c r="R28" s="14">
        <v>16.110859315343401</v>
      </c>
      <c r="S28" s="14">
        <v>15.2356104300033</v>
      </c>
      <c r="T28" s="14">
        <v>14.4043269204998</v>
      </c>
      <c r="U28" s="14">
        <v>14.848599723641099</v>
      </c>
      <c r="V28" s="14">
        <v>9.4457855576899892</v>
      </c>
      <c r="W28" s="14">
        <v>26.8132846818743</v>
      </c>
      <c r="X28" s="12">
        <v>52.015000000000001</v>
      </c>
      <c r="Y28" s="12">
        <v>90.733999999999995</v>
      </c>
      <c r="Z28" s="12">
        <v>155.624</v>
      </c>
      <c r="ALM28" s="2"/>
    </row>
    <row r="29" spans="1:1001" x14ac:dyDescent="0.25">
      <c r="A29" s="10">
        <v>27</v>
      </c>
      <c r="B29" s="10" t="s">
        <v>25</v>
      </c>
      <c r="C29" s="10" t="s">
        <v>21</v>
      </c>
      <c r="D29" s="23" t="s">
        <v>1258</v>
      </c>
      <c r="E29" s="2">
        <v>94.269091244334703</v>
      </c>
      <c r="F29" s="10">
        <v>11</v>
      </c>
      <c r="G29" s="13">
        <v>80.281818181818196</v>
      </c>
      <c r="H29" s="13">
        <v>205.8</v>
      </c>
      <c r="I29" s="13">
        <v>57.381818181818197</v>
      </c>
      <c r="J29" s="13">
        <v>170.309090909091</v>
      </c>
      <c r="K29" s="13">
        <v>145.58181818181799</v>
      </c>
      <c r="L29" s="13">
        <v>43.554545454545497</v>
      </c>
      <c r="M29" s="13">
        <v>139.345454545455</v>
      </c>
      <c r="N29" s="13">
        <v>207.11799999999999</v>
      </c>
      <c r="O29" s="13">
        <v>190.68199999999999</v>
      </c>
      <c r="P29" s="13">
        <v>312.22699999999998</v>
      </c>
      <c r="Q29" s="14">
        <v>2.4309743650718301</v>
      </c>
      <c r="R29" s="14">
        <v>3.3295645360917701</v>
      </c>
      <c r="S29" s="14">
        <v>9.0430988252720308</v>
      </c>
      <c r="T29" s="14">
        <v>9.0288930158081406</v>
      </c>
      <c r="U29" s="14">
        <v>13.0284932499363</v>
      </c>
      <c r="V29" s="14">
        <v>11.3364336222962</v>
      </c>
      <c r="W29" s="14">
        <v>15.1065789400753</v>
      </c>
      <c r="X29" s="12">
        <v>6.1539999999999999</v>
      </c>
      <c r="Y29" s="12">
        <v>71.819999999999993</v>
      </c>
      <c r="Z29" s="12">
        <v>9.0020000000000007</v>
      </c>
      <c r="ALM29" s="2"/>
    </row>
    <row r="30" spans="1:1001" x14ac:dyDescent="0.25">
      <c r="F30" s="10">
        <f>SUM(F2:F29,F29)</f>
        <v>5777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32"/>
  <sheetViews>
    <sheetView zoomScale="85" zoomScaleNormal="85" workbookViewId="0">
      <selection activeCell="J31" sqref="J31"/>
    </sheetView>
  </sheetViews>
  <sheetFormatPr defaultColWidth="11.5546875" defaultRowHeight="13.2" x14ac:dyDescent="0.25"/>
  <cols>
    <col min="1" max="1" width="7" style="10" customWidth="1"/>
    <col min="2" max="2" width="6" style="10" customWidth="1"/>
    <col min="3" max="3" width="6.5546875" style="10" customWidth="1"/>
    <col min="4" max="4" width="6.88671875" style="2" customWidth="1"/>
    <col min="5" max="5" width="15.88671875" style="2" customWidth="1"/>
    <col min="6" max="12" width="6" style="2" customWidth="1"/>
    <col min="13" max="13" width="16.109375" style="2" customWidth="1"/>
    <col min="14" max="14" width="11.6640625" style="2" customWidth="1"/>
    <col min="15" max="16" width="6" style="2" customWidth="1"/>
    <col min="17" max="17" width="14.44140625" style="2" customWidth="1"/>
    <col min="18" max="18" width="10" style="2" customWidth="1"/>
    <col min="19" max="19" width="6" style="2" customWidth="1"/>
    <col min="20" max="20" width="5" style="2" customWidth="1"/>
    <col min="21" max="21" width="6" style="2" customWidth="1"/>
    <col min="22" max="22" width="8.88671875" style="2" customWidth="1"/>
    <col min="23" max="23" width="4.44140625" style="2" customWidth="1"/>
    <col min="26" max="26" width="16.6640625" style="2" customWidth="1"/>
  </cols>
  <sheetData>
    <row r="1" spans="1:26" s="16" customFormat="1" ht="15" x14ac:dyDescent="0.25">
      <c r="A1" s="10" t="s">
        <v>0</v>
      </c>
      <c r="B1" s="10" t="s">
        <v>1</v>
      </c>
      <c r="C1" s="10" t="s">
        <v>48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38</v>
      </c>
      <c r="K1" s="16" t="s">
        <v>39</v>
      </c>
      <c r="L1" s="16" t="s">
        <v>40</v>
      </c>
      <c r="M1" s="17" t="s">
        <v>41</v>
      </c>
      <c r="N1" s="17" t="s">
        <v>42</v>
      </c>
      <c r="O1" s="16" t="s">
        <v>1202</v>
      </c>
      <c r="P1" s="16" t="s">
        <v>1203</v>
      </c>
      <c r="Q1" s="17" t="s">
        <v>43</v>
      </c>
      <c r="R1" s="17" t="s">
        <v>44</v>
      </c>
      <c r="S1" s="16" t="s">
        <v>45</v>
      </c>
      <c r="T1" s="16" t="s">
        <v>46</v>
      </c>
      <c r="U1" s="16" t="s">
        <v>47</v>
      </c>
      <c r="V1" s="17" t="s">
        <v>49</v>
      </c>
      <c r="W1" s="17" t="s">
        <v>50</v>
      </c>
      <c r="X1" s="16" t="s">
        <v>1204</v>
      </c>
      <c r="Y1" s="16" t="s">
        <v>1205</v>
      </c>
      <c r="Z1" s="16" t="s">
        <v>51</v>
      </c>
    </row>
    <row r="2" spans="1:26" s="20" customFormat="1" x14ac:dyDescent="0.25">
      <c r="A2" s="29">
        <v>13</v>
      </c>
      <c r="B2" s="29" t="s">
        <v>1179</v>
      </c>
      <c r="C2" s="29" t="s">
        <v>11</v>
      </c>
      <c r="D2" s="30" t="s">
        <v>692</v>
      </c>
      <c r="E2" s="30" t="s">
        <v>1219</v>
      </c>
      <c r="F2" s="27">
        <v>80.599999999999994</v>
      </c>
      <c r="G2" s="27">
        <v>244.2</v>
      </c>
      <c r="H2" s="27">
        <v>238</v>
      </c>
      <c r="I2" s="27">
        <v>58.7</v>
      </c>
      <c r="J2" s="27">
        <v>156.5</v>
      </c>
      <c r="K2" s="27">
        <v>47.3</v>
      </c>
      <c r="L2" s="27">
        <v>146.30000000000001</v>
      </c>
      <c r="M2" s="21" t="s">
        <v>52</v>
      </c>
      <c r="N2" s="21" t="s">
        <v>60</v>
      </c>
      <c r="O2" s="27">
        <v>206.6</v>
      </c>
      <c r="P2" s="27">
        <v>246.3</v>
      </c>
      <c r="Q2" s="21" t="s">
        <v>53</v>
      </c>
      <c r="R2" s="21" t="s">
        <v>53</v>
      </c>
      <c r="S2" s="27">
        <v>9.5</v>
      </c>
      <c r="T2" s="27">
        <v>8.74</v>
      </c>
      <c r="U2" s="27">
        <v>70.2</v>
      </c>
      <c r="V2" s="21" t="s">
        <v>57</v>
      </c>
      <c r="W2" s="21" t="s">
        <v>57</v>
      </c>
      <c r="X2" s="27">
        <v>31.0248814041746</v>
      </c>
      <c r="Y2" s="32">
        <v>9.0981689367316605</v>
      </c>
      <c r="Z2" s="19">
        <v>13.702405303854899</v>
      </c>
    </row>
    <row r="3" spans="1:26" s="20" customFormat="1" x14ac:dyDescent="0.25">
      <c r="A3" s="29">
        <v>26</v>
      </c>
      <c r="B3" s="29" t="s">
        <v>1253</v>
      </c>
      <c r="C3" s="29" t="s">
        <v>11</v>
      </c>
      <c r="D3" s="30" t="s">
        <v>813</v>
      </c>
      <c r="E3" s="30" t="s">
        <v>1229</v>
      </c>
      <c r="F3" s="27">
        <v>80.400000000000006</v>
      </c>
      <c r="G3" s="27">
        <v>189.5</v>
      </c>
      <c r="H3" s="27">
        <v>57.5</v>
      </c>
      <c r="I3" s="27">
        <v>76.400000000000006</v>
      </c>
      <c r="J3" s="27">
        <v>140.19999999999999</v>
      </c>
      <c r="K3" s="27">
        <v>49.5</v>
      </c>
      <c r="L3" s="27">
        <v>143.69999999999999</v>
      </c>
      <c r="M3" s="21" t="s">
        <v>52</v>
      </c>
      <c r="N3" s="21" t="s">
        <v>60</v>
      </c>
      <c r="O3" s="27">
        <v>227.5</v>
      </c>
      <c r="P3" s="27">
        <v>262.3</v>
      </c>
      <c r="Q3" s="21" t="s">
        <v>53</v>
      </c>
      <c r="R3" s="21" t="s">
        <v>53</v>
      </c>
      <c r="S3" s="27">
        <v>9.4700000000000006</v>
      </c>
      <c r="T3" s="27">
        <v>8.6</v>
      </c>
      <c r="U3" s="27">
        <v>250.1</v>
      </c>
      <c r="V3" s="21" t="s">
        <v>57</v>
      </c>
      <c r="W3" s="21" t="s">
        <v>57</v>
      </c>
      <c r="X3" s="27">
        <v>46.134500000000003</v>
      </c>
      <c r="Y3" s="32">
        <v>7.7667572006463503</v>
      </c>
      <c r="Z3" s="19">
        <v>8.6400636571729006</v>
      </c>
    </row>
    <row r="4" spans="1:26" s="20" customFormat="1" x14ac:dyDescent="0.25">
      <c r="A4" s="29">
        <v>15</v>
      </c>
      <c r="B4" s="29" t="s">
        <v>1181</v>
      </c>
      <c r="C4" s="29" t="s">
        <v>1182</v>
      </c>
      <c r="D4" s="30" t="s">
        <v>1087</v>
      </c>
      <c r="E4" s="30" t="s">
        <v>1221</v>
      </c>
      <c r="F4" s="27">
        <v>151.80000000000001</v>
      </c>
      <c r="G4" s="27">
        <v>268</v>
      </c>
      <c r="H4" s="27">
        <v>224.8</v>
      </c>
      <c r="I4" s="27">
        <v>59.2</v>
      </c>
      <c r="J4" s="27">
        <v>188.8</v>
      </c>
      <c r="K4" s="27">
        <v>41.7</v>
      </c>
      <c r="L4" s="27">
        <v>147.6</v>
      </c>
      <c r="M4" s="21" t="s">
        <v>52</v>
      </c>
      <c r="N4" s="21" t="s">
        <v>60</v>
      </c>
      <c r="O4" s="27">
        <v>224</v>
      </c>
      <c r="P4" s="27">
        <v>255.4</v>
      </c>
      <c r="Q4" s="21" t="s">
        <v>53</v>
      </c>
      <c r="R4" s="21" t="s">
        <v>53</v>
      </c>
      <c r="S4" s="27">
        <v>9.99</v>
      </c>
      <c r="T4" s="27">
        <v>8.07</v>
      </c>
      <c r="U4" s="27">
        <v>184.2</v>
      </c>
      <c r="V4" s="21" t="s">
        <v>57</v>
      </c>
      <c r="W4" s="21" t="s">
        <v>57</v>
      </c>
      <c r="X4" s="27">
        <v>51.444239130434802</v>
      </c>
      <c r="Y4" s="32">
        <v>3.1564578191669299</v>
      </c>
      <c r="Z4" s="19">
        <v>18.407342201240802</v>
      </c>
    </row>
    <row r="5" spans="1:26" s="20" customFormat="1" x14ac:dyDescent="0.25">
      <c r="A5" s="29">
        <v>23</v>
      </c>
      <c r="B5" s="29" t="s">
        <v>1192</v>
      </c>
      <c r="C5" s="29" t="s">
        <v>1182</v>
      </c>
      <c r="D5" s="30" t="s">
        <v>83</v>
      </c>
      <c r="E5" s="30" t="s">
        <v>1227</v>
      </c>
      <c r="F5" s="27">
        <v>147.30000000000001</v>
      </c>
      <c r="G5" s="27">
        <v>277.3</v>
      </c>
      <c r="H5" s="27">
        <v>143.6</v>
      </c>
      <c r="I5" s="27">
        <v>131.19999999999999</v>
      </c>
      <c r="J5" s="27">
        <v>206.7</v>
      </c>
      <c r="K5" s="27">
        <v>70.2</v>
      </c>
      <c r="L5" s="27">
        <v>144.19999999999999</v>
      </c>
      <c r="M5" s="21" t="s">
        <v>60</v>
      </c>
      <c r="N5" s="21" t="s">
        <v>60</v>
      </c>
      <c r="O5" s="27">
        <v>260.89999999999998</v>
      </c>
      <c r="P5" s="27">
        <v>254.8</v>
      </c>
      <c r="Q5" s="21" t="s">
        <v>53</v>
      </c>
      <c r="R5" s="21" t="s">
        <v>53</v>
      </c>
      <c r="S5" s="27">
        <v>6.49</v>
      </c>
      <c r="T5" s="27">
        <v>6.03</v>
      </c>
      <c r="U5" s="27">
        <v>288.39999999999998</v>
      </c>
      <c r="V5" s="21" t="s">
        <v>57</v>
      </c>
      <c r="W5" s="21" t="s">
        <v>57</v>
      </c>
      <c r="X5" s="27">
        <v>85.742045454545504</v>
      </c>
      <c r="Y5" s="32">
        <v>7.7240587389324</v>
      </c>
      <c r="Z5" s="19">
        <v>17.717981372191598</v>
      </c>
    </row>
    <row r="6" spans="1:26" s="20" customFormat="1" x14ac:dyDescent="0.25">
      <c r="A6" s="29">
        <v>17</v>
      </c>
      <c r="B6" s="29" t="s">
        <v>17</v>
      </c>
      <c r="C6" s="29" t="s">
        <v>13</v>
      </c>
      <c r="D6" s="30" t="s">
        <v>1057</v>
      </c>
      <c r="E6" s="30" t="s">
        <v>1223</v>
      </c>
      <c r="F6" s="27">
        <v>134.1</v>
      </c>
      <c r="G6" s="27">
        <v>231.5</v>
      </c>
      <c r="H6" s="27">
        <v>74.3</v>
      </c>
      <c r="I6" s="27">
        <v>54.7</v>
      </c>
      <c r="J6" s="27">
        <v>152.9</v>
      </c>
      <c r="K6" s="27">
        <v>34.1</v>
      </c>
      <c r="L6" s="27">
        <v>79</v>
      </c>
      <c r="M6" s="21" t="s">
        <v>66</v>
      </c>
      <c r="N6" s="21" t="s">
        <v>52</v>
      </c>
      <c r="O6" s="27">
        <v>236.9</v>
      </c>
      <c r="P6" s="27">
        <v>189.7</v>
      </c>
      <c r="Q6" s="21" t="s">
        <v>53</v>
      </c>
      <c r="R6" s="21" t="s">
        <v>53</v>
      </c>
      <c r="S6" s="27">
        <v>10.76</v>
      </c>
      <c r="T6" s="27">
        <v>8.98</v>
      </c>
      <c r="U6" s="27">
        <v>23.7</v>
      </c>
      <c r="V6" s="21"/>
      <c r="W6" s="21" t="s">
        <v>61</v>
      </c>
      <c r="X6" s="27">
        <v>59.609032258064502</v>
      </c>
      <c r="Y6" s="32">
        <v>8.2741372354889808</v>
      </c>
      <c r="Z6" s="19">
        <v>18.899273930551999</v>
      </c>
    </row>
    <row r="7" spans="1:26" x14ac:dyDescent="0.25">
      <c r="A7" s="29">
        <v>6</v>
      </c>
      <c r="B7" s="29" t="s">
        <v>1254</v>
      </c>
      <c r="C7" s="29" t="s">
        <v>13</v>
      </c>
      <c r="D7" s="29" t="s">
        <v>643</v>
      </c>
      <c r="E7" s="29" t="s">
        <v>1211</v>
      </c>
      <c r="F7" s="13">
        <v>81.7</v>
      </c>
      <c r="G7" s="13">
        <v>229.8</v>
      </c>
      <c r="H7" s="13">
        <v>289.3</v>
      </c>
      <c r="I7" s="13">
        <v>175.1</v>
      </c>
      <c r="J7" s="13">
        <v>161.80000000000001</v>
      </c>
      <c r="K7" s="13">
        <v>46</v>
      </c>
      <c r="L7" s="13">
        <v>82.6</v>
      </c>
      <c r="M7" s="10" t="s">
        <v>52</v>
      </c>
      <c r="N7" s="10" t="s">
        <v>52</v>
      </c>
      <c r="O7" s="13">
        <v>205.1</v>
      </c>
      <c r="P7" s="13">
        <v>197</v>
      </c>
      <c r="Q7" s="10" t="s">
        <v>53</v>
      </c>
      <c r="R7" s="10" t="s">
        <v>53</v>
      </c>
      <c r="S7" s="13">
        <v>7.53</v>
      </c>
      <c r="T7" s="13">
        <v>7.44</v>
      </c>
      <c r="U7" s="13">
        <v>213.2</v>
      </c>
      <c r="V7" s="10" t="s">
        <v>57</v>
      </c>
      <c r="W7" s="10" t="s">
        <v>57</v>
      </c>
      <c r="X7" s="13">
        <v>26.250489130434801</v>
      </c>
      <c r="Y7" s="14">
        <v>4.0745679397138597</v>
      </c>
      <c r="Z7" s="2">
        <v>21.107593897371299</v>
      </c>
    </row>
    <row r="8" spans="1:26" s="20" customFormat="1" x14ac:dyDescent="0.25">
      <c r="A8" s="29">
        <v>19</v>
      </c>
      <c r="B8" s="29" t="s">
        <v>1194</v>
      </c>
      <c r="C8" s="29" t="s">
        <v>29</v>
      </c>
      <c r="D8" s="30" t="s">
        <v>487</v>
      </c>
      <c r="E8" s="30" t="s">
        <v>1224</v>
      </c>
      <c r="F8" s="27">
        <v>83.5</v>
      </c>
      <c r="G8" s="27">
        <v>216.5</v>
      </c>
      <c r="H8" s="27">
        <v>265.39999999999998</v>
      </c>
      <c r="I8" s="27">
        <v>63.4</v>
      </c>
      <c r="J8" s="27">
        <v>185.5</v>
      </c>
      <c r="K8" s="27">
        <v>273.39999999999998</v>
      </c>
      <c r="L8" s="27">
        <v>76.099999999999994</v>
      </c>
      <c r="M8" s="21" t="s">
        <v>52</v>
      </c>
      <c r="N8" s="21" t="s">
        <v>52</v>
      </c>
      <c r="O8" s="27">
        <v>221.7</v>
      </c>
      <c r="P8" s="27">
        <v>233.9</v>
      </c>
      <c r="Q8" s="21" t="s">
        <v>53</v>
      </c>
      <c r="R8" s="21" t="s">
        <v>53</v>
      </c>
      <c r="S8" s="27">
        <v>7.22</v>
      </c>
      <c r="T8" s="27">
        <v>6.98</v>
      </c>
      <c r="U8" s="27">
        <v>351.1</v>
      </c>
      <c r="V8" s="21" t="s">
        <v>57</v>
      </c>
      <c r="W8" s="21" t="s">
        <v>57</v>
      </c>
      <c r="X8" s="27">
        <v>48.993363636363597</v>
      </c>
      <c r="Y8" s="32">
        <v>5.5810550007284299</v>
      </c>
      <c r="Z8" s="19">
        <v>24.349418833534099</v>
      </c>
    </row>
    <row r="9" spans="1:26" x14ac:dyDescent="0.25">
      <c r="A9" s="29">
        <v>25</v>
      </c>
      <c r="B9" s="29" t="s">
        <v>1188</v>
      </c>
      <c r="C9" s="29" t="s">
        <v>29</v>
      </c>
      <c r="D9" s="29" t="s">
        <v>1081</v>
      </c>
      <c r="E9" s="29" t="s">
        <v>1228</v>
      </c>
      <c r="F9" s="13">
        <v>146.30000000000001</v>
      </c>
      <c r="G9" s="13">
        <v>253.7</v>
      </c>
      <c r="H9" s="13">
        <v>281.39999999999998</v>
      </c>
      <c r="I9" s="13">
        <v>193.3</v>
      </c>
      <c r="J9" s="13">
        <v>149.5</v>
      </c>
      <c r="K9" s="13">
        <v>50.9</v>
      </c>
      <c r="L9" s="13">
        <v>150.6</v>
      </c>
      <c r="M9" s="10" t="s">
        <v>60</v>
      </c>
      <c r="N9" s="10" t="s">
        <v>60</v>
      </c>
      <c r="O9" s="13">
        <v>229</v>
      </c>
      <c r="P9" s="13">
        <v>256.60000000000002</v>
      </c>
      <c r="Q9" s="10" t="s">
        <v>53</v>
      </c>
      <c r="R9" s="10" t="s">
        <v>53</v>
      </c>
      <c r="S9" s="13">
        <v>6.71</v>
      </c>
      <c r="T9" s="13">
        <v>6.57</v>
      </c>
      <c r="U9" s="13">
        <v>289.39999999999998</v>
      </c>
      <c r="V9" s="10" t="s">
        <v>57</v>
      </c>
      <c r="W9" s="10" t="s">
        <v>57</v>
      </c>
      <c r="X9" s="13">
        <v>39.528636363636402</v>
      </c>
      <c r="Y9" s="14">
        <v>7.0493736041550497</v>
      </c>
      <c r="Z9" s="2">
        <v>6.8530431196658599</v>
      </c>
    </row>
    <row r="10" spans="1:26" x14ac:dyDescent="0.25">
      <c r="A10" s="29">
        <v>0</v>
      </c>
      <c r="B10" s="29" t="s">
        <v>6</v>
      </c>
      <c r="C10" s="29" t="s">
        <v>7</v>
      </c>
      <c r="D10" s="29" t="s">
        <v>996</v>
      </c>
      <c r="E10" s="29" t="s">
        <v>1206</v>
      </c>
      <c r="F10" s="13">
        <v>79.2</v>
      </c>
      <c r="G10" s="13">
        <v>214.8</v>
      </c>
      <c r="H10" s="13">
        <v>288.8</v>
      </c>
      <c r="I10" s="13">
        <v>296.5</v>
      </c>
      <c r="J10" s="13">
        <v>170.5</v>
      </c>
      <c r="K10" s="13">
        <v>54</v>
      </c>
      <c r="L10" s="13">
        <v>80.900000000000006</v>
      </c>
      <c r="M10" s="10" t="s">
        <v>52</v>
      </c>
      <c r="N10" s="10" t="s">
        <v>52</v>
      </c>
      <c r="O10" s="13">
        <v>191.3</v>
      </c>
      <c r="P10" s="13">
        <v>206.5</v>
      </c>
      <c r="Q10" s="10" t="s">
        <v>53</v>
      </c>
      <c r="R10" s="10" t="s">
        <v>53</v>
      </c>
      <c r="S10" s="13">
        <v>4.53</v>
      </c>
      <c r="T10" s="13">
        <v>5.35</v>
      </c>
      <c r="U10" s="13">
        <v>24.7</v>
      </c>
      <c r="V10" s="10" t="s">
        <v>61</v>
      </c>
      <c r="W10" s="10" t="s">
        <v>61</v>
      </c>
      <c r="X10" s="13">
        <v>55.746054347826103</v>
      </c>
      <c r="Y10" s="14">
        <v>4.4251286605104001</v>
      </c>
      <c r="Z10" s="2">
        <v>2.8317633988781501</v>
      </c>
    </row>
    <row r="11" spans="1:26" x14ac:dyDescent="0.25">
      <c r="A11" s="29">
        <v>2</v>
      </c>
      <c r="B11" s="29" t="s">
        <v>55</v>
      </c>
      <c r="C11" s="29" t="s">
        <v>8</v>
      </c>
      <c r="D11" s="29" t="s">
        <v>1162</v>
      </c>
      <c r="E11" s="29" t="s">
        <v>1208</v>
      </c>
      <c r="F11" s="13">
        <v>82.8</v>
      </c>
      <c r="G11" s="13">
        <v>201.7</v>
      </c>
      <c r="H11" s="13">
        <v>286.8</v>
      </c>
      <c r="I11" s="13">
        <v>143.19999999999999</v>
      </c>
      <c r="J11" s="13">
        <v>198.7</v>
      </c>
      <c r="K11" s="13">
        <v>186.7</v>
      </c>
      <c r="L11" s="13">
        <v>84.6</v>
      </c>
      <c r="M11" s="10" t="s">
        <v>52</v>
      </c>
      <c r="N11" s="10" t="s">
        <v>52</v>
      </c>
      <c r="O11" s="13">
        <v>201.7</v>
      </c>
      <c r="P11" s="13">
        <v>187.5</v>
      </c>
      <c r="Q11" s="10" t="s">
        <v>53</v>
      </c>
      <c r="R11" s="10" t="s">
        <v>53</v>
      </c>
      <c r="S11" s="13">
        <v>4.62</v>
      </c>
      <c r="T11" s="13">
        <v>5.09</v>
      </c>
      <c r="U11" s="13">
        <v>14.9</v>
      </c>
      <c r="V11" s="10" t="s">
        <v>54</v>
      </c>
      <c r="W11" s="10" t="s">
        <v>54</v>
      </c>
      <c r="X11" s="13">
        <v>34.339347826087</v>
      </c>
      <c r="Y11" s="14">
        <v>8.4417201295699993</v>
      </c>
      <c r="Z11" s="2">
        <v>7.5699214706825497</v>
      </c>
    </row>
    <row r="12" spans="1:26" x14ac:dyDescent="0.25">
      <c r="A12" s="29">
        <v>10</v>
      </c>
      <c r="B12" s="29" t="s">
        <v>1178</v>
      </c>
      <c r="C12" s="29" t="s">
        <v>9</v>
      </c>
      <c r="D12" s="29" t="s">
        <v>855</v>
      </c>
      <c r="E12" s="29" t="s">
        <v>1216</v>
      </c>
      <c r="F12" s="13">
        <v>80.8</v>
      </c>
      <c r="G12" s="13">
        <v>201.4</v>
      </c>
      <c r="H12" s="13">
        <v>216</v>
      </c>
      <c r="I12" s="13">
        <v>311.2</v>
      </c>
      <c r="J12" s="13">
        <v>145.69999999999999</v>
      </c>
      <c r="K12" s="13">
        <v>54.9</v>
      </c>
      <c r="L12" s="13">
        <v>86</v>
      </c>
      <c r="M12" s="10" t="s">
        <v>52</v>
      </c>
      <c r="N12" s="10" t="s">
        <v>52</v>
      </c>
      <c r="O12" s="13">
        <v>170.9</v>
      </c>
      <c r="P12" s="13">
        <v>219.1</v>
      </c>
      <c r="Q12" s="10" t="s">
        <v>53</v>
      </c>
      <c r="R12" s="10" t="s">
        <v>53</v>
      </c>
      <c r="S12" s="13">
        <v>6.86</v>
      </c>
      <c r="T12" s="13">
        <v>6.54</v>
      </c>
      <c r="U12" s="13">
        <v>356.9</v>
      </c>
      <c r="V12" s="10" t="s">
        <v>57</v>
      </c>
      <c r="W12" s="10" t="s">
        <v>57</v>
      </c>
      <c r="X12" s="13">
        <v>34.991027667984199</v>
      </c>
      <c r="Y12" s="14">
        <v>6.4982382569903701</v>
      </c>
      <c r="Z12" s="2">
        <v>24.7301550040116</v>
      </c>
    </row>
    <row r="13" spans="1:26" x14ac:dyDescent="0.25">
      <c r="A13" s="29">
        <v>9</v>
      </c>
      <c r="B13" s="29" t="s">
        <v>23</v>
      </c>
      <c r="C13" s="29" t="s">
        <v>8</v>
      </c>
      <c r="D13" s="29" t="s">
        <v>996</v>
      </c>
      <c r="E13" s="29" t="s">
        <v>1215</v>
      </c>
      <c r="F13" s="13">
        <v>80.8</v>
      </c>
      <c r="G13" s="13">
        <v>204.4</v>
      </c>
      <c r="H13" s="13">
        <v>310</v>
      </c>
      <c r="I13" s="13">
        <v>228.3</v>
      </c>
      <c r="J13" s="13">
        <v>149.4</v>
      </c>
      <c r="K13" s="13">
        <v>132</v>
      </c>
      <c r="L13" s="13">
        <v>80.7</v>
      </c>
      <c r="M13" s="10" t="s">
        <v>52</v>
      </c>
      <c r="N13" s="10" t="s">
        <v>52</v>
      </c>
      <c r="O13" s="13">
        <v>202.6</v>
      </c>
      <c r="P13" s="13">
        <v>174.5</v>
      </c>
      <c r="Q13" s="10" t="s">
        <v>53</v>
      </c>
      <c r="R13" s="10" t="s">
        <v>53</v>
      </c>
      <c r="S13" s="13">
        <v>4.6399999999999997</v>
      </c>
      <c r="T13" s="13">
        <v>5.08</v>
      </c>
      <c r="U13" s="13">
        <v>12.4</v>
      </c>
      <c r="V13" s="10" t="s">
        <v>61</v>
      </c>
      <c r="W13" s="10" t="s">
        <v>61</v>
      </c>
      <c r="X13" s="13">
        <v>58.418727272727303</v>
      </c>
      <c r="Y13" s="14">
        <v>7.9044573335666897</v>
      </c>
      <c r="Z13" s="2">
        <v>16.1640852159716</v>
      </c>
    </row>
    <row r="14" spans="1:26" x14ac:dyDescent="0.25">
      <c r="A14" s="29">
        <v>21</v>
      </c>
      <c r="B14" s="29" t="s">
        <v>27</v>
      </c>
      <c r="C14" s="29" t="s">
        <v>8</v>
      </c>
      <c r="D14" s="29" t="s">
        <v>79</v>
      </c>
      <c r="E14" s="29" t="s">
        <v>80</v>
      </c>
      <c r="F14" s="13">
        <v>86.6</v>
      </c>
      <c r="G14" s="13">
        <v>252.3</v>
      </c>
      <c r="H14" s="13">
        <v>264.39999999999998</v>
      </c>
      <c r="I14" s="13">
        <v>89.4</v>
      </c>
      <c r="J14" s="13">
        <v>224.5</v>
      </c>
      <c r="K14" s="13">
        <v>227</v>
      </c>
      <c r="L14" s="13">
        <v>86.2</v>
      </c>
      <c r="M14" s="10" t="s">
        <v>52</v>
      </c>
      <c r="N14" s="10" t="s">
        <v>52</v>
      </c>
      <c r="O14" s="13">
        <v>180</v>
      </c>
      <c r="P14" s="13">
        <v>184.9</v>
      </c>
      <c r="Q14" s="10" t="s">
        <v>53</v>
      </c>
      <c r="R14" s="10" t="s">
        <v>53</v>
      </c>
      <c r="S14" s="13">
        <v>4.92</v>
      </c>
      <c r="T14" s="13">
        <v>5.49</v>
      </c>
      <c r="U14" s="13">
        <v>12.3</v>
      </c>
      <c r="V14" s="10" t="s">
        <v>61</v>
      </c>
      <c r="W14" s="10" t="s">
        <v>61</v>
      </c>
      <c r="X14" s="13">
        <v>75.891793478260894</v>
      </c>
      <c r="Y14" s="14">
        <v>13.867998932201999</v>
      </c>
      <c r="Z14" s="2">
        <v>17.316191523798999</v>
      </c>
    </row>
    <row r="15" spans="1:26" x14ac:dyDescent="0.25">
      <c r="A15" s="29">
        <v>1</v>
      </c>
      <c r="B15" s="29" t="s">
        <v>10</v>
      </c>
      <c r="C15" s="29" t="s">
        <v>11</v>
      </c>
      <c r="D15" s="29" t="s">
        <v>508</v>
      </c>
      <c r="E15" s="29" t="s">
        <v>1207</v>
      </c>
      <c r="F15" s="13">
        <v>84.5</v>
      </c>
      <c r="G15" s="13">
        <v>221.7</v>
      </c>
      <c r="H15" s="13">
        <v>285.3</v>
      </c>
      <c r="I15" s="13">
        <v>306.39999999999998</v>
      </c>
      <c r="J15" s="13">
        <v>186.2</v>
      </c>
      <c r="K15" s="13">
        <v>49.6</v>
      </c>
      <c r="L15" s="13">
        <v>144.9</v>
      </c>
      <c r="M15" s="10" t="s">
        <v>52</v>
      </c>
      <c r="N15" s="10" t="s">
        <v>60</v>
      </c>
      <c r="O15" s="13">
        <v>191.9</v>
      </c>
      <c r="P15" s="13">
        <v>230.4</v>
      </c>
      <c r="Q15" s="10" t="s">
        <v>53</v>
      </c>
      <c r="R15" s="10" t="s">
        <v>53</v>
      </c>
      <c r="S15" s="13">
        <v>5.27</v>
      </c>
      <c r="T15" s="13">
        <v>6.17</v>
      </c>
      <c r="U15" s="13">
        <v>7.9</v>
      </c>
      <c r="V15" s="10" t="s">
        <v>63</v>
      </c>
      <c r="W15" s="10" t="s">
        <v>63</v>
      </c>
      <c r="X15" s="13">
        <v>31.234999999999999</v>
      </c>
      <c r="Y15" s="14">
        <v>4.2967629430813004</v>
      </c>
      <c r="Z15" s="2">
        <v>10.841489608516101</v>
      </c>
    </row>
    <row r="16" spans="1:26" x14ac:dyDescent="0.25">
      <c r="A16" s="29">
        <v>24</v>
      </c>
      <c r="B16" s="29" t="s">
        <v>30</v>
      </c>
      <c r="C16" s="29" t="s">
        <v>31</v>
      </c>
      <c r="D16" s="29" t="s">
        <v>83</v>
      </c>
      <c r="E16" s="29" t="s">
        <v>84</v>
      </c>
      <c r="F16" s="13">
        <v>146</v>
      </c>
      <c r="G16" s="13">
        <v>248.7</v>
      </c>
      <c r="H16" s="13">
        <v>170</v>
      </c>
      <c r="I16" s="13">
        <v>65.7</v>
      </c>
      <c r="J16" s="13">
        <v>231.3</v>
      </c>
      <c r="K16" s="13">
        <v>191.2</v>
      </c>
      <c r="L16" s="13">
        <v>81.7</v>
      </c>
      <c r="M16" s="10" t="s">
        <v>60</v>
      </c>
      <c r="N16" s="10" t="s">
        <v>52</v>
      </c>
      <c r="O16" s="13">
        <v>264.5</v>
      </c>
      <c r="P16" s="13">
        <v>188.7</v>
      </c>
      <c r="Q16" s="10" t="s">
        <v>53</v>
      </c>
      <c r="R16" s="10" t="s">
        <v>53</v>
      </c>
      <c r="S16" s="13">
        <v>4.6500000000000004</v>
      </c>
      <c r="T16" s="13">
        <v>4.84</v>
      </c>
      <c r="U16" s="13">
        <v>35.299999999999997</v>
      </c>
      <c r="V16" s="10" t="s">
        <v>61</v>
      </c>
      <c r="W16" s="10" t="s">
        <v>61</v>
      </c>
      <c r="X16" s="13">
        <v>84.736750000000001</v>
      </c>
      <c r="Y16" s="14">
        <v>10.0836617065374</v>
      </c>
      <c r="Z16" s="2">
        <v>15.081733985188899</v>
      </c>
    </row>
    <row r="17" spans="1:32" x14ac:dyDescent="0.25">
      <c r="A17" s="29">
        <v>7</v>
      </c>
      <c r="B17" s="29" t="s">
        <v>1175</v>
      </c>
      <c r="C17" s="29" t="s">
        <v>1176</v>
      </c>
      <c r="D17" s="29" t="s">
        <v>532</v>
      </c>
      <c r="E17" s="29" t="s">
        <v>1212</v>
      </c>
      <c r="F17" s="13">
        <v>135.9</v>
      </c>
      <c r="G17" s="13">
        <v>243.2</v>
      </c>
      <c r="H17" s="13">
        <v>210.6</v>
      </c>
      <c r="I17" s="13">
        <v>292.3</v>
      </c>
      <c r="J17" s="13">
        <v>179.7</v>
      </c>
      <c r="K17" s="13">
        <v>55.5</v>
      </c>
      <c r="L17" s="13">
        <v>147.80000000000001</v>
      </c>
      <c r="M17" s="10" t="s">
        <v>60</v>
      </c>
      <c r="N17" s="10" t="s">
        <v>60</v>
      </c>
      <c r="O17" s="13">
        <v>244.7</v>
      </c>
      <c r="P17" s="13">
        <v>282</v>
      </c>
      <c r="Q17" s="10" t="s">
        <v>53</v>
      </c>
      <c r="R17" s="10" t="s">
        <v>53</v>
      </c>
      <c r="S17" s="13">
        <v>7.53</v>
      </c>
      <c r="T17" s="13">
        <v>7.28</v>
      </c>
      <c r="U17" s="13">
        <v>45.4</v>
      </c>
      <c r="V17" s="10" t="s">
        <v>57</v>
      </c>
      <c r="W17" s="10" t="s">
        <v>106</v>
      </c>
      <c r="X17" s="13">
        <v>93.1223913043479</v>
      </c>
      <c r="Y17" s="14">
        <v>10.8154898993247</v>
      </c>
      <c r="Z17" s="2">
        <v>20.034279779857801</v>
      </c>
    </row>
    <row r="18" spans="1:32" x14ac:dyDescent="0.25">
      <c r="A18" s="29">
        <v>5</v>
      </c>
      <c r="B18" s="29" t="s">
        <v>1172</v>
      </c>
      <c r="C18" s="29" t="s">
        <v>1173</v>
      </c>
      <c r="D18" s="29" t="s">
        <v>71</v>
      </c>
      <c r="E18" s="29" t="s">
        <v>72</v>
      </c>
      <c r="F18" s="13">
        <v>140.6</v>
      </c>
      <c r="G18" s="13">
        <v>267.3</v>
      </c>
      <c r="H18" s="13">
        <v>294.60000000000002</v>
      </c>
      <c r="I18" s="13">
        <v>295.60000000000002</v>
      </c>
      <c r="J18" s="13">
        <v>201.5</v>
      </c>
      <c r="K18" s="13">
        <v>53.4</v>
      </c>
      <c r="L18" s="13">
        <v>149.80000000000001</v>
      </c>
      <c r="M18" s="10" t="s">
        <v>60</v>
      </c>
      <c r="N18" s="10" t="s">
        <v>60</v>
      </c>
      <c r="O18" s="13">
        <v>64</v>
      </c>
      <c r="P18" s="13">
        <v>239.5</v>
      </c>
      <c r="Q18" s="10" t="s">
        <v>70</v>
      </c>
      <c r="R18" s="10" t="s">
        <v>53</v>
      </c>
      <c r="S18" s="13">
        <v>9.09</v>
      </c>
      <c r="T18" s="13">
        <v>8.1199999999999992</v>
      </c>
      <c r="U18" s="13">
        <v>78.5</v>
      </c>
      <c r="V18" s="10" t="s">
        <v>57</v>
      </c>
      <c r="W18" s="10" t="s">
        <v>57</v>
      </c>
      <c r="X18" s="13">
        <v>41.478978260869603</v>
      </c>
      <c r="Y18" s="14">
        <v>5.2879434991681196</v>
      </c>
      <c r="Z18" s="2">
        <v>12.907569107490801</v>
      </c>
    </row>
    <row r="19" spans="1:32" x14ac:dyDescent="0.25">
      <c r="A19" s="30">
        <v>3</v>
      </c>
      <c r="B19" s="30" t="s">
        <v>14</v>
      </c>
      <c r="C19" s="30" t="s">
        <v>13</v>
      </c>
      <c r="D19" s="29" t="s">
        <v>988</v>
      </c>
      <c r="E19" s="29" t="s">
        <v>1209</v>
      </c>
      <c r="F19" s="13">
        <v>142.69999999999999</v>
      </c>
      <c r="G19" s="13">
        <v>259.8</v>
      </c>
      <c r="H19" s="13">
        <v>295.5</v>
      </c>
      <c r="I19" s="13">
        <v>294.60000000000002</v>
      </c>
      <c r="J19" s="13">
        <v>186.4</v>
      </c>
      <c r="K19" s="13">
        <v>45.6</v>
      </c>
      <c r="L19" s="13">
        <v>87.8</v>
      </c>
      <c r="M19" s="10" t="s">
        <v>60</v>
      </c>
      <c r="N19" s="10" t="s">
        <v>52</v>
      </c>
      <c r="O19" s="13">
        <v>228.5</v>
      </c>
      <c r="P19" s="13">
        <v>246.8</v>
      </c>
      <c r="Q19" s="10" t="s">
        <v>53</v>
      </c>
      <c r="R19" s="10" t="s">
        <v>53</v>
      </c>
      <c r="S19" s="13">
        <v>8.32</v>
      </c>
      <c r="T19" s="13">
        <v>7.58</v>
      </c>
      <c r="U19" s="13">
        <v>101.7</v>
      </c>
      <c r="V19" s="10" t="s">
        <v>57</v>
      </c>
      <c r="W19" s="10" t="s">
        <v>57</v>
      </c>
      <c r="X19" s="13">
        <v>49.351818181818203</v>
      </c>
      <c r="Y19" s="14">
        <v>6.5119339328641699</v>
      </c>
      <c r="Z19" s="2">
        <v>11.519601670302899</v>
      </c>
    </row>
    <row r="20" spans="1:32" x14ac:dyDescent="0.25">
      <c r="A20" s="30">
        <v>8</v>
      </c>
      <c r="B20" s="30" t="s">
        <v>28</v>
      </c>
      <c r="C20" s="30" t="s">
        <v>13</v>
      </c>
      <c r="D20" s="29" t="s">
        <v>1012</v>
      </c>
      <c r="E20" s="29" t="s">
        <v>1213</v>
      </c>
      <c r="F20" s="13">
        <v>152.19999999999999</v>
      </c>
      <c r="G20" s="13">
        <v>239.3</v>
      </c>
      <c r="H20" s="13">
        <v>135.9</v>
      </c>
      <c r="I20" s="13">
        <v>291.5</v>
      </c>
      <c r="J20" s="13">
        <v>156.1</v>
      </c>
      <c r="K20" s="13">
        <v>41</v>
      </c>
      <c r="L20" s="13">
        <v>71.900000000000006</v>
      </c>
      <c r="M20" s="10" t="s">
        <v>60</v>
      </c>
      <c r="N20" s="10" t="s">
        <v>52</v>
      </c>
      <c r="O20" s="13">
        <v>232.8</v>
      </c>
      <c r="P20" s="13">
        <v>206</v>
      </c>
      <c r="Q20" s="10" t="s">
        <v>53</v>
      </c>
      <c r="R20" s="10" t="s">
        <v>53</v>
      </c>
      <c r="S20" s="13">
        <v>7.08</v>
      </c>
      <c r="T20" s="13">
        <v>6.32</v>
      </c>
      <c r="U20" s="13">
        <v>39.6</v>
      </c>
      <c r="V20" s="10" t="s">
        <v>57</v>
      </c>
      <c r="W20" s="10" t="s">
        <v>1214</v>
      </c>
      <c r="X20" s="13">
        <v>50.489840909090901</v>
      </c>
      <c r="Y20" s="14">
        <v>10.2779681268002</v>
      </c>
      <c r="Z20" s="2">
        <v>17.2577023115435</v>
      </c>
    </row>
    <row r="21" spans="1:32" x14ac:dyDescent="0.25">
      <c r="A21" s="30">
        <v>18</v>
      </c>
      <c r="B21" s="30" t="s">
        <v>24</v>
      </c>
      <c r="C21" s="30" t="s">
        <v>13</v>
      </c>
      <c r="D21" s="29" t="s">
        <v>74</v>
      </c>
      <c r="E21" s="29" t="s">
        <v>75</v>
      </c>
      <c r="F21" s="13">
        <v>143.1</v>
      </c>
      <c r="G21" s="13">
        <v>261.39999999999998</v>
      </c>
      <c r="H21" s="13">
        <v>296.10000000000002</v>
      </c>
      <c r="I21" s="13">
        <v>299.10000000000002</v>
      </c>
      <c r="J21" s="13">
        <v>189</v>
      </c>
      <c r="K21" s="13">
        <v>182.6</v>
      </c>
      <c r="L21" s="13">
        <v>77.099999999999994</v>
      </c>
      <c r="M21" s="10" t="s">
        <v>60</v>
      </c>
      <c r="N21" s="10" t="s">
        <v>52</v>
      </c>
      <c r="O21" s="13">
        <v>250</v>
      </c>
      <c r="P21" s="13">
        <v>204.5</v>
      </c>
      <c r="Q21" s="10" t="s">
        <v>53</v>
      </c>
      <c r="R21" s="10" t="s">
        <v>53</v>
      </c>
      <c r="S21" s="13">
        <v>10.58</v>
      </c>
      <c r="T21" s="13">
        <v>8.76</v>
      </c>
      <c r="U21" s="13">
        <v>259</v>
      </c>
      <c r="V21" s="10" t="s">
        <v>57</v>
      </c>
      <c r="W21" s="10" t="s">
        <v>57</v>
      </c>
      <c r="X21" s="13">
        <v>26.263999999999999</v>
      </c>
      <c r="Y21" s="14">
        <v>2.9797378026250398</v>
      </c>
      <c r="Z21" s="2">
        <v>12.9064397491256</v>
      </c>
    </row>
    <row r="22" spans="1:32" x14ac:dyDescent="0.25">
      <c r="A22" s="30">
        <v>11</v>
      </c>
      <c r="B22" s="30" t="s">
        <v>26</v>
      </c>
      <c r="C22" s="30" t="s">
        <v>13</v>
      </c>
      <c r="D22" s="29" t="s">
        <v>1108</v>
      </c>
      <c r="E22" s="29" t="s">
        <v>1217</v>
      </c>
      <c r="F22" s="13">
        <v>154.69999999999999</v>
      </c>
      <c r="G22" s="13">
        <v>265</v>
      </c>
      <c r="H22" s="13">
        <v>92.1</v>
      </c>
      <c r="I22" s="13">
        <v>76.900000000000006</v>
      </c>
      <c r="J22" s="13">
        <v>161.9</v>
      </c>
      <c r="K22" s="13">
        <v>59.9</v>
      </c>
      <c r="L22" s="13">
        <v>150</v>
      </c>
      <c r="M22" s="10" t="s">
        <v>60</v>
      </c>
      <c r="N22" s="10" t="s">
        <v>60</v>
      </c>
      <c r="O22" s="13">
        <v>240.4</v>
      </c>
      <c r="P22" s="13">
        <v>254.7</v>
      </c>
      <c r="Q22" s="10" t="s">
        <v>53</v>
      </c>
      <c r="R22" s="10" t="s">
        <v>53</v>
      </c>
      <c r="S22" s="13">
        <v>10.14</v>
      </c>
      <c r="T22" s="13">
        <v>8.07</v>
      </c>
      <c r="U22" s="13">
        <v>211.8</v>
      </c>
      <c r="V22" s="10" t="s">
        <v>57</v>
      </c>
      <c r="W22" s="10" t="s">
        <v>57</v>
      </c>
      <c r="X22" s="13">
        <v>37.406470588235301</v>
      </c>
      <c r="Y22" s="14">
        <v>3.68540938160693</v>
      </c>
      <c r="Z22" s="2">
        <v>16.639283896701802</v>
      </c>
    </row>
    <row r="23" spans="1:32" x14ac:dyDescent="0.25">
      <c r="A23" s="30">
        <v>4</v>
      </c>
      <c r="B23" s="30" t="s">
        <v>18</v>
      </c>
      <c r="C23" s="30" t="s">
        <v>13</v>
      </c>
      <c r="D23" s="29" t="s">
        <v>870</v>
      </c>
      <c r="E23" s="29" t="s">
        <v>1210</v>
      </c>
      <c r="F23" s="13">
        <v>142.5</v>
      </c>
      <c r="G23" s="13">
        <v>230.8</v>
      </c>
      <c r="H23" s="13">
        <v>138.1</v>
      </c>
      <c r="I23" s="13">
        <v>294.3</v>
      </c>
      <c r="J23" s="13">
        <v>165.4</v>
      </c>
      <c r="K23" s="13">
        <v>41.8</v>
      </c>
      <c r="L23" s="13">
        <v>149.4</v>
      </c>
      <c r="M23" s="10" t="s">
        <v>60</v>
      </c>
      <c r="N23" s="10" t="s">
        <v>60</v>
      </c>
      <c r="O23" s="13">
        <v>251.1</v>
      </c>
      <c r="P23" s="13">
        <v>231.6</v>
      </c>
      <c r="Q23" s="10" t="s">
        <v>53</v>
      </c>
      <c r="R23" s="10" t="s">
        <v>53</v>
      </c>
      <c r="S23" s="13">
        <v>6.95</v>
      </c>
      <c r="T23" s="13">
        <v>6.59</v>
      </c>
      <c r="U23" s="13">
        <v>16.399999999999999</v>
      </c>
      <c r="V23" s="10" t="s">
        <v>57</v>
      </c>
      <c r="W23" s="10" t="s">
        <v>57</v>
      </c>
      <c r="X23" s="13">
        <v>15.248141304347801</v>
      </c>
      <c r="Y23" s="14">
        <v>4.6265043121826004</v>
      </c>
      <c r="Z23" s="2">
        <v>12.4383873420665</v>
      </c>
    </row>
    <row r="24" spans="1:32" x14ac:dyDescent="0.25">
      <c r="A24" s="30">
        <v>14</v>
      </c>
      <c r="B24" s="30" t="s">
        <v>12</v>
      </c>
      <c r="C24" s="30" t="s">
        <v>13</v>
      </c>
      <c r="D24" s="29" t="s">
        <v>418</v>
      </c>
      <c r="E24" s="29" t="s">
        <v>1220</v>
      </c>
      <c r="F24" s="13">
        <v>149.30000000000001</v>
      </c>
      <c r="G24" s="13">
        <v>265.5</v>
      </c>
      <c r="H24" s="13">
        <v>214.8</v>
      </c>
      <c r="I24" s="13">
        <v>77</v>
      </c>
      <c r="J24" s="13">
        <v>191</v>
      </c>
      <c r="K24" s="13">
        <v>56.6</v>
      </c>
      <c r="L24" s="13">
        <v>84.2</v>
      </c>
      <c r="M24" s="10" t="s">
        <v>60</v>
      </c>
      <c r="N24" s="10" t="s">
        <v>52</v>
      </c>
      <c r="O24" s="13">
        <v>248.3</v>
      </c>
      <c r="P24" s="13">
        <v>210.5</v>
      </c>
      <c r="Q24" s="10" t="s">
        <v>53</v>
      </c>
      <c r="R24" s="10" t="s">
        <v>53</v>
      </c>
      <c r="S24" s="13">
        <v>9.32</v>
      </c>
      <c r="T24" s="13">
        <v>8.16</v>
      </c>
      <c r="U24" s="13">
        <v>239</v>
      </c>
      <c r="V24" s="10" t="s">
        <v>57</v>
      </c>
      <c r="W24" s="10" t="s">
        <v>57</v>
      </c>
      <c r="X24" s="13">
        <v>49.7693774703557</v>
      </c>
      <c r="Y24" s="14">
        <v>4.02837194712348</v>
      </c>
      <c r="Z24" s="2">
        <v>28.033829994181399</v>
      </c>
    </row>
    <row r="25" spans="1:32" x14ac:dyDescent="0.25">
      <c r="A25" s="30">
        <v>22</v>
      </c>
      <c r="B25" s="30" t="s">
        <v>1191</v>
      </c>
      <c r="C25" s="30" t="s">
        <v>13</v>
      </c>
      <c r="D25" s="29" t="s">
        <v>71</v>
      </c>
      <c r="E25" s="29" t="s">
        <v>1226</v>
      </c>
      <c r="F25" s="13">
        <v>145</v>
      </c>
      <c r="G25" s="13">
        <v>267.89999999999998</v>
      </c>
      <c r="H25" s="13">
        <v>165.9</v>
      </c>
      <c r="I25" s="13">
        <v>191.7</v>
      </c>
      <c r="J25" s="13">
        <v>169.4</v>
      </c>
      <c r="K25" s="13">
        <v>40.5</v>
      </c>
      <c r="L25" s="13">
        <v>78.599999999999994</v>
      </c>
      <c r="M25" s="10" t="s">
        <v>60</v>
      </c>
      <c r="N25" s="10" t="s">
        <v>52</v>
      </c>
      <c r="O25" s="13">
        <v>237.9</v>
      </c>
      <c r="P25" s="13">
        <v>192.4</v>
      </c>
      <c r="Q25" s="10" t="s">
        <v>53</v>
      </c>
      <c r="R25" s="10" t="s">
        <v>53</v>
      </c>
      <c r="S25" s="13">
        <v>7.25</v>
      </c>
      <c r="T25" s="13">
        <v>7.19</v>
      </c>
      <c r="U25" s="13">
        <v>342.2</v>
      </c>
      <c r="V25" s="10" t="s">
        <v>57</v>
      </c>
      <c r="W25" s="10" t="s">
        <v>61</v>
      </c>
      <c r="X25" s="13">
        <v>49.537999999999997</v>
      </c>
      <c r="Y25" s="14">
        <v>3.8768463403431301</v>
      </c>
      <c r="Z25" s="2">
        <v>11.6530952153998</v>
      </c>
    </row>
    <row r="26" spans="1:32" x14ac:dyDescent="0.25">
      <c r="A26" s="30">
        <v>20</v>
      </c>
      <c r="B26" s="30" t="s">
        <v>1190</v>
      </c>
      <c r="C26" s="30" t="s">
        <v>13</v>
      </c>
      <c r="D26" s="29" t="s">
        <v>1097</v>
      </c>
      <c r="E26" s="29" t="s">
        <v>1225</v>
      </c>
      <c r="F26" s="13">
        <v>81.7</v>
      </c>
      <c r="G26" s="13">
        <v>211.9</v>
      </c>
      <c r="H26" s="13">
        <v>248.7</v>
      </c>
      <c r="I26" s="13">
        <v>71</v>
      </c>
      <c r="J26" s="13">
        <v>161.19999999999999</v>
      </c>
      <c r="K26" s="13">
        <v>56.1</v>
      </c>
      <c r="L26" s="13">
        <v>77.2</v>
      </c>
      <c r="M26" s="10" t="s">
        <v>52</v>
      </c>
      <c r="N26" s="10" t="s">
        <v>52</v>
      </c>
      <c r="O26" s="13">
        <v>253.5</v>
      </c>
      <c r="P26" s="13">
        <v>195.7</v>
      </c>
      <c r="Q26" s="10" t="s">
        <v>53</v>
      </c>
      <c r="R26" s="10" t="s">
        <v>53</v>
      </c>
      <c r="S26" s="13">
        <v>10.039999999999999</v>
      </c>
      <c r="T26" s="13">
        <v>8.64</v>
      </c>
      <c r="U26" s="13">
        <v>122.1</v>
      </c>
      <c r="V26" s="10" t="s">
        <v>57</v>
      </c>
      <c r="W26" s="10" t="s">
        <v>57</v>
      </c>
      <c r="X26" s="13">
        <v>35.421360215053802</v>
      </c>
      <c r="Y26" s="14">
        <v>4.7042127123737396</v>
      </c>
      <c r="Z26" s="2">
        <v>18.2439076211555</v>
      </c>
    </row>
    <row r="27" spans="1:32" x14ac:dyDescent="0.25">
      <c r="A27" s="29">
        <v>16</v>
      </c>
      <c r="B27" s="29" t="s">
        <v>1184</v>
      </c>
      <c r="C27" s="29" t="s">
        <v>29</v>
      </c>
      <c r="D27" s="29" t="s">
        <v>89</v>
      </c>
      <c r="E27" s="29" t="s">
        <v>1222</v>
      </c>
      <c r="F27" s="13">
        <v>80.7</v>
      </c>
      <c r="G27" s="13">
        <v>219.7</v>
      </c>
      <c r="H27" s="13">
        <v>237.1</v>
      </c>
      <c r="I27" s="13">
        <v>284.3</v>
      </c>
      <c r="J27" s="13">
        <v>209.2</v>
      </c>
      <c r="K27" s="13">
        <v>55.1</v>
      </c>
      <c r="L27" s="13">
        <v>142.5</v>
      </c>
      <c r="M27" s="10" t="s">
        <v>52</v>
      </c>
      <c r="N27" s="10" t="s">
        <v>60</v>
      </c>
      <c r="O27" s="13">
        <v>200</v>
      </c>
      <c r="P27" s="13">
        <v>280.8</v>
      </c>
      <c r="Q27" s="10" t="s">
        <v>53</v>
      </c>
      <c r="R27" s="10" t="s">
        <v>53</v>
      </c>
      <c r="S27" s="13">
        <v>8.2899999999999991</v>
      </c>
      <c r="T27" s="13">
        <v>8.33</v>
      </c>
      <c r="U27" s="13">
        <v>310</v>
      </c>
      <c r="V27" s="10" t="s">
        <v>57</v>
      </c>
      <c r="W27" s="10" t="s">
        <v>57</v>
      </c>
      <c r="X27" s="13">
        <v>53.222749999999998</v>
      </c>
      <c r="Y27" s="14">
        <v>6.7681669158705704</v>
      </c>
      <c r="Z27" s="2">
        <v>16.863320599237099</v>
      </c>
    </row>
    <row r="28" spans="1:32" x14ac:dyDescent="0.25">
      <c r="A28" s="29">
        <v>12</v>
      </c>
      <c r="B28" s="29" t="s">
        <v>20</v>
      </c>
      <c r="C28" s="29" t="s">
        <v>21</v>
      </c>
      <c r="D28" s="29" t="s">
        <v>108</v>
      </c>
      <c r="E28" s="29" t="s">
        <v>1218</v>
      </c>
      <c r="F28" s="13">
        <v>147.9</v>
      </c>
      <c r="G28" s="13">
        <v>261.10000000000002</v>
      </c>
      <c r="H28" s="13">
        <v>77.8</v>
      </c>
      <c r="I28" s="13">
        <v>63.4</v>
      </c>
      <c r="J28" s="13">
        <v>190</v>
      </c>
      <c r="K28" s="13">
        <v>180.7</v>
      </c>
      <c r="L28" s="13">
        <v>99.9</v>
      </c>
      <c r="M28" s="10" t="s">
        <v>60</v>
      </c>
      <c r="N28" s="10" t="s">
        <v>52</v>
      </c>
      <c r="O28" s="13">
        <v>217.9</v>
      </c>
      <c r="P28" s="13">
        <v>61.4</v>
      </c>
      <c r="Q28" s="10" t="s">
        <v>53</v>
      </c>
      <c r="R28" s="10" t="s">
        <v>70</v>
      </c>
      <c r="S28" s="13">
        <v>6.31</v>
      </c>
      <c r="T28" s="13">
        <v>6.19</v>
      </c>
      <c r="U28" s="13">
        <v>351.8</v>
      </c>
      <c r="V28" s="10" t="s">
        <v>54</v>
      </c>
      <c r="W28" s="10" t="s">
        <v>54</v>
      </c>
      <c r="X28" s="13">
        <v>15.9180760869565</v>
      </c>
      <c r="Y28" s="14">
        <v>1.3376249033824099</v>
      </c>
      <c r="Z28" s="2">
        <v>10.3089247498598</v>
      </c>
    </row>
    <row r="29" spans="1:32" x14ac:dyDescent="0.25">
      <c r="A29" s="29">
        <v>27</v>
      </c>
      <c r="B29" s="29" t="s">
        <v>25</v>
      </c>
      <c r="C29" s="29" t="s">
        <v>21</v>
      </c>
      <c r="D29" s="29" t="s">
        <v>76</v>
      </c>
      <c r="E29" s="29" t="s">
        <v>77</v>
      </c>
      <c r="F29" s="13">
        <v>76.2</v>
      </c>
      <c r="G29" s="13">
        <v>205.3</v>
      </c>
      <c r="H29" s="13">
        <v>55.7</v>
      </c>
      <c r="I29" s="13">
        <v>164.9</v>
      </c>
      <c r="J29" s="13">
        <v>153.19999999999999</v>
      </c>
      <c r="K29" s="13">
        <v>44.9</v>
      </c>
      <c r="L29" s="13">
        <v>143.9</v>
      </c>
      <c r="M29" s="10" t="s">
        <v>52</v>
      </c>
      <c r="N29" s="10" t="s">
        <v>60</v>
      </c>
      <c r="O29" s="13">
        <v>201.7</v>
      </c>
      <c r="P29" s="13">
        <v>221.4</v>
      </c>
      <c r="Q29" s="10" t="s">
        <v>53</v>
      </c>
      <c r="R29" s="10" t="s">
        <v>53</v>
      </c>
      <c r="S29" s="13">
        <v>4.54</v>
      </c>
      <c r="T29" s="13">
        <v>5.95</v>
      </c>
      <c r="U29" s="13">
        <v>313.10000000000002</v>
      </c>
      <c r="V29" s="10" t="s">
        <v>61</v>
      </c>
      <c r="W29" s="10" t="s">
        <v>57</v>
      </c>
      <c r="X29" s="13">
        <v>31.425750000000001</v>
      </c>
      <c r="Y29" s="14">
        <v>2.6257915463319499</v>
      </c>
      <c r="Z29" s="2">
        <v>11.3837095436947</v>
      </c>
    </row>
    <row r="30" spans="1:32" x14ac:dyDescent="0.25">
      <c r="X30" s="26"/>
      <c r="Y30" s="26"/>
    </row>
    <row r="32" spans="1:32" x14ac:dyDescent="0.25">
      <c r="AF32" s="18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9"/>
  <sheetViews>
    <sheetView zoomScale="85" zoomScaleNormal="85" workbookViewId="0">
      <selection activeCell="J5" sqref="J5"/>
    </sheetView>
  </sheetViews>
  <sheetFormatPr defaultColWidth="11.5546875" defaultRowHeight="13.2" x14ac:dyDescent="0.25"/>
  <cols>
    <col min="1" max="1" width="7" style="10" customWidth="1"/>
    <col min="2" max="2" width="6" style="10" customWidth="1"/>
    <col min="3" max="3" width="6.5546875" style="10" customWidth="1"/>
    <col min="4" max="4" width="6.88671875" style="2" customWidth="1"/>
    <col min="5" max="5" width="15.33203125" style="2" customWidth="1"/>
    <col min="6" max="12" width="6" style="2" customWidth="1"/>
    <col min="13" max="13" width="13.33203125" style="2" customWidth="1"/>
    <col min="14" max="14" width="11.6640625" style="2" customWidth="1"/>
    <col min="15" max="16" width="6" style="2" customWidth="1"/>
    <col min="17" max="17" width="10.44140625" style="29" customWidth="1"/>
    <col min="18" max="18" width="5.6640625" style="2" customWidth="1"/>
    <col min="19" max="19" width="6" style="2" customWidth="1"/>
    <col min="20" max="20" width="5" style="2" customWidth="1"/>
    <col min="21" max="21" width="6" style="2" customWidth="1"/>
    <col min="22" max="22" width="8.88671875" style="10" customWidth="1"/>
    <col min="23" max="23" width="6.5546875" style="10" customWidth="1"/>
    <col min="24" max="25" width="11.5546875" style="26"/>
    <col min="26" max="26" width="16.6640625" style="2" customWidth="1"/>
    <col min="27" max="27" width="6" style="2" customWidth="1"/>
    <col min="28" max="28" width="6.5546875" style="2" customWidth="1"/>
  </cols>
  <sheetData>
    <row r="1" spans="1:28" ht="15.6" x14ac:dyDescent="0.3">
      <c r="A1" s="10" t="s">
        <v>0</v>
      </c>
      <c r="B1" s="10" t="s">
        <v>1</v>
      </c>
      <c r="C1" s="10" t="s">
        <v>48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  <c r="K1" s="2" t="s">
        <v>39</v>
      </c>
      <c r="L1" s="2" t="s">
        <v>40</v>
      </c>
      <c r="M1" s="1" t="s">
        <v>41</v>
      </c>
      <c r="N1" s="1" t="s">
        <v>42</v>
      </c>
      <c r="O1" s="2" t="s">
        <v>1202</v>
      </c>
      <c r="P1" s="2" t="s">
        <v>1203</v>
      </c>
      <c r="Q1" s="31" t="s">
        <v>43</v>
      </c>
      <c r="R1" s="1" t="s">
        <v>44</v>
      </c>
      <c r="S1" s="2" t="s">
        <v>45</v>
      </c>
      <c r="T1" s="2" t="s">
        <v>46</v>
      </c>
      <c r="U1" s="2" t="s">
        <v>47</v>
      </c>
      <c r="V1" s="1" t="s">
        <v>49</v>
      </c>
      <c r="W1" s="1" t="s">
        <v>50</v>
      </c>
      <c r="X1" s="17" t="s">
        <v>1204</v>
      </c>
      <c r="Y1" s="17" t="s">
        <v>1205</v>
      </c>
      <c r="Z1" s="2" t="s">
        <v>51</v>
      </c>
      <c r="AA1" s="2" t="s">
        <v>1</v>
      </c>
      <c r="AB1" s="2" t="s">
        <v>48</v>
      </c>
    </row>
    <row r="2" spans="1:28" x14ac:dyDescent="0.25">
      <c r="A2" s="10">
        <v>13</v>
      </c>
      <c r="B2" s="10" t="s">
        <v>1179</v>
      </c>
      <c r="C2" s="10" t="s">
        <v>11</v>
      </c>
      <c r="D2" s="2" t="s">
        <v>988</v>
      </c>
      <c r="E2" s="2" t="s">
        <v>1241</v>
      </c>
      <c r="F2" s="13">
        <v>78.2</v>
      </c>
      <c r="G2" s="13">
        <v>246.5</v>
      </c>
      <c r="H2" s="13">
        <v>241.3</v>
      </c>
      <c r="I2" s="13">
        <v>62.4</v>
      </c>
      <c r="J2" s="13">
        <v>173</v>
      </c>
      <c r="K2" s="13">
        <v>56.8</v>
      </c>
      <c r="L2" s="13">
        <v>148.30000000000001</v>
      </c>
      <c r="M2" s="2" t="s">
        <v>52</v>
      </c>
      <c r="N2" s="2" t="s">
        <v>60</v>
      </c>
      <c r="O2" s="28">
        <v>195.9</v>
      </c>
      <c r="P2" s="28">
        <v>233.4</v>
      </c>
      <c r="Q2" s="29" t="s">
        <v>53</v>
      </c>
      <c r="R2" s="2" t="s">
        <v>53</v>
      </c>
      <c r="S2" s="13">
        <v>10.06</v>
      </c>
      <c r="T2" s="13">
        <v>8.92</v>
      </c>
      <c r="U2" s="13">
        <v>90.2</v>
      </c>
      <c r="V2" s="10" t="s">
        <v>57</v>
      </c>
      <c r="W2" s="10" t="s">
        <v>57</v>
      </c>
      <c r="X2" s="13">
        <v>47.414095796676399</v>
      </c>
      <c r="Y2" s="14">
        <v>6.5126611856712602</v>
      </c>
      <c r="Z2" s="2">
        <v>16.8593963250303</v>
      </c>
      <c r="AA2" s="2" t="s">
        <v>64</v>
      </c>
      <c r="AB2" s="2" t="s">
        <v>65</v>
      </c>
    </row>
    <row r="3" spans="1:28" x14ac:dyDescent="0.25">
      <c r="A3" s="10">
        <v>26</v>
      </c>
      <c r="B3" s="10" t="s">
        <v>1253</v>
      </c>
      <c r="C3" s="10" t="s">
        <v>11</v>
      </c>
      <c r="D3" s="2" t="s">
        <v>1033</v>
      </c>
      <c r="E3" s="2" t="s">
        <v>1252</v>
      </c>
      <c r="F3" s="13">
        <v>80.8</v>
      </c>
      <c r="G3" s="13">
        <v>208.6</v>
      </c>
      <c r="H3" s="13">
        <v>66.900000000000006</v>
      </c>
      <c r="I3" s="13">
        <v>75.099999999999994</v>
      </c>
      <c r="J3" s="13">
        <v>146.30000000000001</v>
      </c>
      <c r="K3" s="13">
        <v>51.1</v>
      </c>
      <c r="L3" s="13">
        <v>149.6</v>
      </c>
      <c r="M3" s="2" t="s">
        <v>52</v>
      </c>
      <c r="N3" s="2" t="s">
        <v>60</v>
      </c>
      <c r="O3" s="28">
        <v>207.4</v>
      </c>
      <c r="P3" s="28">
        <v>259.39999999999998</v>
      </c>
      <c r="Q3" s="29" t="s">
        <v>53</v>
      </c>
      <c r="R3" s="2" t="s">
        <v>53</v>
      </c>
      <c r="S3" s="13">
        <v>9.3699999999999992</v>
      </c>
      <c r="T3" s="13">
        <v>8.76</v>
      </c>
      <c r="U3" s="13">
        <v>270.8</v>
      </c>
      <c r="V3" s="10" t="s">
        <v>57</v>
      </c>
      <c r="W3" s="10" t="s">
        <v>57</v>
      </c>
      <c r="X3" s="13">
        <v>40.133956521739101</v>
      </c>
      <c r="Y3" s="14">
        <v>1.6928505685445101</v>
      </c>
      <c r="Z3" s="2">
        <v>17.677519622390498</v>
      </c>
      <c r="AA3" s="2" t="s">
        <v>64</v>
      </c>
      <c r="AB3" s="2" t="s">
        <v>65</v>
      </c>
    </row>
    <row r="4" spans="1:28" x14ac:dyDescent="0.25">
      <c r="A4" s="10">
        <v>15</v>
      </c>
      <c r="B4" s="10" t="s">
        <v>1181</v>
      </c>
      <c r="C4" s="10" t="s">
        <v>1182</v>
      </c>
      <c r="D4" s="2" t="s">
        <v>898</v>
      </c>
      <c r="E4" s="2" t="s">
        <v>1243</v>
      </c>
      <c r="F4" s="13">
        <v>146.5</v>
      </c>
      <c r="G4" s="13">
        <v>271.2</v>
      </c>
      <c r="H4" s="13">
        <v>242.3</v>
      </c>
      <c r="I4" s="13">
        <v>69.7</v>
      </c>
      <c r="J4" s="13">
        <v>197</v>
      </c>
      <c r="K4" s="13">
        <v>53.8</v>
      </c>
      <c r="L4" s="13">
        <v>144.4</v>
      </c>
      <c r="M4" s="2" t="s">
        <v>60</v>
      </c>
      <c r="N4" s="2" t="s">
        <v>60</v>
      </c>
      <c r="O4" s="28">
        <v>231.8</v>
      </c>
      <c r="P4" s="28">
        <v>233.4</v>
      </c>
      <c r="Q4" s="29" t="s">
        <v>53</v>
      </c>
      <c r="R4" s="2" t="s">
        <v>53</v>
      </c>
      <c r="S4" s="13">
        <v>10.029999999999999</v>
      </c>
      <c r="T4" s="13">
        <v>8.09</v>
      </c>
      <c r="U4" s="13">
        <v>205.6</v>
      </c>
      <c r="V4" s="10" t="s">
        <v>57</v>
      </c>
      <c r="W4" s="10" t="s">
        <v>57</v>
      </c>
      <c r="X4" s="13">
        <v>34.951386363636402</v>
      </c>
      <c r="Y4" s="14">
        <v>5.4762149592449401</v>
      </c>
      <c r="Z4" s="2">
        <v>24.301845431119499</v>
      </c>
      <c r="AA4" s="2" t="s">
        <v>64</v>
      </c>
      <c r="AB4" s="2" t="s">
        <v>65</v>
      </c>
    </row>
    <row r="5" spans="1:28" x14ac:dyDescent="0.25">
      <c r="A5" s="10">
        <v>23</v>
      </c>
      <c r="B5" s="10" t="s">
        <v>1192</v>
      </c>
      <c r="C5" s="10" t="s">
        <v>1182</v>
      </c>
      <c r="D5" s="2" t="s">
        <v>1114</v>
      </c>
      <c r="E5" s="2" t="s">
        <v>1250</v>
      </c>
      <c r="F5" s="13">
        <v>146.1</v>
      </c>
      <c r="G5" s="13">
        <v>265.5</v>
      </c>
      <c r="H5" s="13">
        <v>162.1</v>
      </c>
      <c r="I5" s="13">
        <v>139.9</v>
      </c>
      <c r="J5" s="13">
        <v>224.7</v>
      </c>
      <c r="K5" s="13">
        <v>57.4</v>
      </c>
      <c r="L5" s="13">
        <v>155.80000000000001</v>
      </c>
      <c r="M5" s="2" t="s">
        <v>60</v>
      </c>
      <c r="N5" s="2" t="s">
        <v>112</v>
      </c>
      <c r="O5" s="28">
        <v>273.5</v>
      </c>
      <c r="P5" s="28">
        <v>186.8</v>
      </c>
      <c r="Q5" s="29" t="s">
        <v>53</v>
      </c>
      <c r="R5" s="2" t="s">
        <v>53</v>
      </c>
      <c r="S5" s="13">
        <v>6.57</v>
      </c>
      <c r="T5" s="13">
        <v>6.05</v>
      </c>
      <c r="U5" s="13">
        <v>269.7</v>
      </c>
      <c r="V5" s="10" t="s">
        <v>57</v>
      </c>
      <c r="W5" s="10" t="s">
        <v>57</v>
      </c>
      <c r="X5" s="13">
        <v>30.559090909090902</v>
      </c>
      <c r="Y5" s="14">
        <v>3.8450598397619302</v>
      </c>
      <c r="Z5" s="2">
        <v>20.811700168542799</v>
      </c>
      <c r="AA5" s="2" t="s">
        <v>64</v>
      </c>
      <c r="AB5" s="2" t="s">
        <v>65</v>
      </c>
    </row>
    <row r="6" spans="1:28" x14ac:dyDescent="0.25">
      <c r="A6" s="10">
        <v>17</v>
      </c>
      <c r="B6" s="10" t="s">
        <v>17</v>
      </c>
      <c r="C6" s="10" t="s">
        <v>13</v>
      </c>
      <c r="D6" s="2" t="s">
        <v>1036</v>
      </c>
      <c r="E6" s="2" t="s">
        <v>1245</v>
      </c>
      <c r="F6" s="13">
        <v>145.1</v>
      </c>
      <c r="G6" s="13">
        <v>218.7</v>
      </c>
      <c r="H6" s="13">
        <v>75.5</v>
      </c>
      <c r="I6" s="13">
        <v>55.7</v>
      </c>
      <c r="J6" s="13">
        <v>163.1</v>
      </c>
      <c r="K6" s="13">
        <v>38.4</v>
      </c>
      <c r="L6" s="13">
        <v>82.8</v>
      </c>
      <c r="M6" s="2" t="s">
        <v>60</v>
      </c>
      <c r="N6" s="2" t="s">
        <v>52</v>
      </c>
      <c r="O6" s="28">
        <v>219.9</v>
      </c>
      <c r="P6" s="28">
        <v>183.7</v>
      </c>
      <c r="Q6" s="29" t="s">
        <v>53</v>
      </c>
      <c r="R6" s="2" t="s">
        <v>53</v>
      </c>
      <c r="S6" s="13">
        <v>10.57</v>
      </c>
      <c r="T6" s="13">
        <v>9.09</v>
      </c>
      <c r="U6" s="13">
        <v>304.3</v>
      </c>
      <c r="V6" s="10" t="s">
        <v>57</v>
      </c>
      <c r="W6" s="10" t="s">
        <v>61</v>
      </c>
      <c r="X6" s="13">
        <v>32.361499999999999</v>
      </c>
      <c r="Y6" s="14">
        <v>4.9273419946869197</v>
      </c>
      <c r="Z6" s="2">
        <v>10.3698452802216</v>
      </c>
      <c r="AA6" s="2" t="s">
        <v>64</v>
      </c>
      <c r="AB6" s="2" t="s">
        <v>65</v>
      </c>
    </row>
    <row r="7" spans="1:28" x14ac:dyDescent="0.25">
      <c r="A7" s="10">
        <v>6</v>
      </c>
      <c r="B7" s="10" t="s">
        <v>1254</v>
      </c>
      <c r="C7" s="10" t="s">
        <v>13</v>
      </c>
      <c r="D7" s="2" t="s">
        <v>981</v>
      </c>
      <c r="E7" s="2" t="s">
        <v>1235</v>
      </c>
      <c r="F7" s="13">
        <v>84.3</v>
      </c>
      <c r="G7" s="13">
        <v>228.4</v>
      </c>
      <c r="H7" s="13">
        <v>281</v>
      </c>
      <c r="I7" s="13">
        <v>171</v>
      </c>
      <c r="J7" s="13">
        <v>165.9</v>
      </c>
      <c r="K7" s="13">
        <v>50.9</v>
      </c>
      <c r="L7" s="13">
        <v>86.4</v>
      </c>
      <c r="M7" s="2" t="s">
        <v>52</v>
      </c>
      <c r="N7" s="2" t="s">
        <v>52</v>
      </c>
      <c r="O7" s="28">
        <v>198.6</v>
      </c>
      <c r="P7" s="28">
        <v>203.1</v>
      </c>
      <c r="Q7" s="29" t="s">
        <v>53</v>
      </c>
      <c r="R7" s="2" t="s">
        <v>53</v>
      </c>
      <c r="S7" s="13">
        <v>7.46</v>
      </c>
      <c r="T7" s="13">
        <v>7.33</v>
      </c>
      <c r="U7" s="13">
        <v>205</v>
      </c>
      <c r="V7" s="10" t="s">
        <v>57</v>
      </c>
      <c r="W7" s="10" t="s">
        <v>57</v>
      </c>
      <c r="X7" s="13">
        <v>41.077893109540597</v>
      </c>
      <c r="Y7" s="14">
        <v>18.666235203032802</v>
      </c>
      <c r="Z7" s="2">
        <v>18.876659475270898</v>
      </c>
      <c r="AA7" s="2" t="s">
        <v>16</v>
      </c>
      <c r="AB7" s="2" t="s">
        <v>13</v>
      </c>
    </row>
    <row r="8" spans="1:28" x14ac:dyDescent="0.25">
      <c r="A8" s="10">
        <v>19</v>
      </c>
      <c r="B8" s="10" t="s">
        <v>1194</v>
      </c>
      <c r="C8" s="10" t="s">
        <v>29</v>
      </c>
      <c r="D8" s="2" t="s">
        <v>56</v>
      </c>
      <c r="E8" s="2" t="s">
        <v>107</v>
      </c>
      <c r="F8" s="13">
        <v>82.5</v>
      </c>
      <c r="G8" s="13">
        <v>221.5</v>
      </c>
      <c r="H8" s="13">
        <v>271.8</v>
      </c>
      <c r="I8" s="13">
        <v>51.4</v>
      </c>
      <c r="J8" s="13">
        <v>195.7</v>
      </c>
      <c r="K8" s="13">
        <v>291.5</v>
      </c>
      <c r="L8" s="13">
        <v>101.8</v>
      </c>
      <c r="M8" s="2" t="s">
        <v>52</v>
      </c>
      <c r="N8" s="2" t="s">
        <v>93</v>
      </c>
      <c r="O8" s="28">
        <v>186.1</v>
      </c>
      <c r="P8" s="28">
        <v>223.1</v>
      </c>
      <c r="Q8" s="29" t="s">
        <v>53</v>
      </c>
      <c r="R8" s="2" t="s">
        <v>53</v>
      </c>
      <c r="S8" s="13">
        <v>5.52</v>
      </c>
      <c r="T8" s="13">
        <v>6.1</v>
      </c>
      <c r="U8" s="13">
        <v>12.9</v>
      </c>
      <c r="V8" s="10" t="s">
        <v>57</v>
      </c>
      <c r="W8" s="10" t="s">
        <v>57</v>
      </c>
      <c r="X8" s="13">
        <v>66.038250000000005</v>
      </c>
      <c r="Y8" s="14">
        <v>1.8354750076395201</v>
      </c>
      <c r="Z8" s="2">
        <v>16.3273566806537</v>
      </c>
      <c r="AA8" s="2" t="s">
        <v>64</v>
      </c>
      <c r="AB8" s="2" t="s">
        <v>65</v>
      </c>
    </row>
    <row r="9" spans="1:28" x14ac:dyDescent="0.25">
      <c r="A9" s="10">
        <v>25</v>
      </c>
      <c r="B9" s="10" t="s">
        <v>1188</v>
      </c>
      <c r="C9" s="10" t="s">
        <v>29</v>
      </c>
      <c r="D9" s="2" t="s">
        <v>961</v>
      </c>
      <c r="E9" s="2" t="s">
        <v>1251</v>
      </c>
      <c r="F9" s="13">
        <v>147.9</v>
      </c>
      <c r="G9" s="13">
        <v>258.8</v>
      </c>
      <c r="H9" s="13">
        <v>285.10000000000002</v>
      </c>
      <c r="I9" s="13">
        <v>201.8</v>
      </c>
      <c r="J9" s="13">
        <v>138.4</v>
      </c>
      <c r="K9" s="13">
        <v>49.7</v>
      </c>
      <c r="L9" s="13">
        <v>133.6</v>
      </c>
      <c r="M9" s="2" t="s">
        <v>60</v>
      </c>
      <c r="N9" s="2" t="s">
        <v>66</v>
      </c>
      <c r="O9" s="28">
        <v>240.9</v>
      </c>
      <c r="P9" s="28">
        <v>254.7</v>
      </c>
      <c r="Q9" s="29" t="s">
        <v>53</v>
      </c>
      <c r="R9" s="2" t="s">
        <v>53</v>
      </c>
      <c r="S9" s="13">
        <v>6.87</v>
      </c>
      <c r="T9" s="13">
        <v>6.53</v>
      </c>
      <c r="U9" s="13">
        <v>295.39999999999998</v>
      </c>
      <c r="V9" s="10" t="s">
        <v>57</v>
      </c>
      <c r="W9" s="10" t="s">
        <v>57</v>
      </c>
      <c r="X9" s="13">
        <v>24.577727272727302</v>
      </c>
      <c r="Y9" s="14">
        <v>2.03904571058239</v>
      </c>
      <c r="Z9" s="2">
        <v>21.2371890795369</v>
      </c>
      <c r="AA9" s="2" t="s">
        <v>64</v>
      </c>
      <c r="AB9" s="2" t="s">
        <v>65</v>
      </c>
    </row>
    <row r="10" spans="1:28" x14ac:dyDescent="0.25">
      <c r="A10" s="10">
        <v>0</v>
      </c>
      <c r="B10" s="10" t="s">
        <v>6</v>
      </c>
      <c r="C10" s="10" t="s">
        <v>7</v>
      </c>
      <c r="D10" s="2" t="s">
        <v>952</v>
      </c>
      <c r="E10" s="2" t="s">
        <v>1230</v>
      </c>
      <c r="F10" s="13">
        <v>82.3</v>
      </c>
      <c r="G10" s="13">
        <v>213.4</v>
      </c>
      <c r="H10" s="13">
        <v>287.10000000000002</v>
      </c>
      <c r="I10" s="13">
        <v>295.5</v>
      </c>
      <c r="J10" s="13">
        <v>171.2</v>
      </c>
      <c r="K10" s="13">
        <v>55.1</v>
      </c>
      <c r="L10" s="13">
        <v>79.900000000000006</v>
      </c>
      <c r="M10" s="2" t="s">
        <v>52</v>
      </c>
      <c r="N10" s="2" t="s">
        <v>52</v>
      </c>
      <c r="O10" s="28">
        <v>197.5</v>
      </c>
      <c r="P10" s="28">
        <v>199.1</v>
      </c>
      <c r="Q10" s="29" t="s">
        <v>53</v>
      </c>
      <c r="R10" s="2" t="s">
        <v>53</v>
      </c>
      <c r="S10" s="13">
        <v>4.6900000000000004</v>
      </c>
      <c r="T10" s="13">
        <v>5.41</v>
      </c>
      <c r="U10" s="13">
        <v>18.2</v>
      </c>
      <c r="V10" s="10" t="s">
        <v>54</v>
      </c>
      <c r="W10" s="10" t="s">
        <v>54</v>
      </c>
      <c r="X10" s="13">
        <v>38.779717391304303</v>
      </c>
      <c r="Y10" s="14">
        <v>4.8310387627827698</v>
      </c>
      <c r="Z10" s="2">
        <v>1.80735523965797</v>
      </c>
      <c r="AA10" s="2" t="s">
        <v>6</v>
      </c>
      <c r="AB10" s="2" t="s">
        <v>7</v>
      </c>
    </row>
    <row r="11" spans="1:28" x14ac:dyDescent="0.25">
      <c r="A11" s="10">
        <v>2</v>
      </c>
      <c r="B11" s="10" t="s">
        <v>55</v>
      </c>
      <c r="C11" s="10" t="s">
        <v>8</v>
      </c>
      <c r="D11" s="2" t="s">
        <v>113</v>
      </c>
      <c r="E11" s="2" t="s">
        <v>1231</v>
      </c>
      <c r="F11" s="13">
        <v>82.6</v>
      </c>
      <c r="G11" s="13">
        <v>199.8</v>
      </c>
      <c r="H11" s="13">
        <v>282.39999999999998</v>
      </c>
      <c r="I11" s="13">
        <v>141.5</v>
      </c>
      <c r="J11" s="13">
        <v>200.5</v>
      </c>
      <c r="K11" s="13">
        <v>177.7</v>
      </c>
      <c r="L11" s="13">
        <v>83.3</v>
      </c>
      <c r="M11" s="2" t="s">
        <v>52</v>
      </c>
      <c r="N11" s="2" t="s">
        <v>52</v>
      </c>
      <c r="O11" s="28">
        <v>213.1</v>
      </c>
      <c r="P11" s="28">
        <v>186.9</v>
      </c>
      <c r="Q11" s="29" t="s">
        <v>53</v>
      </c>
      <c r="R11" s="2" t="s">
        <v>53</v>
      </c>
      <c r="S11" s="13">
        <v>4.3600000000000003</v>
      </c>
      <c r="T11" s="13">
        <v>4.99</v>
      </c>
      <c r="U11" s="13">
        <v>15</v>
      </c>
      <c r="V11" s="10" t="s">
        <v>61</v>
      </c>
      <c r="W11" s="10" t="s">
        <v>61</v>
      </c>
      <c r="X11" s="13">
        <v>17.182243083004</v>
      </c>
      <c r="Y11" s="14">
        <v>6.9615246332235499</v>
      </c>
      <c r="Z11" s="2">
        <v>9.4292705054506296</v>
      </c>
      <c r="AA11" s="2" t="s">
        <v>55</v>
      </c>
      <c r="AB11" s="2" t="s">
        <v>8</v>
      </c>
    </row>
    <row r="12" spans="1:28" x14ac:dyDescent="0.25">
      <c r="A12" s="10">
        <v>10</v>
      </c>
      <c r="B12" s="10" t="s">
        <v>1178</v>
      </c>
      <c r="C12" s="10" t="s">
        <v>9</v>
      </c>
      <c r="D12" s="2" t="s">
        <v>1156</v>
      </c>
      <c r="E12" s="2" t="s">
        <v>1238</v>
      </c>
      <c r="F12" s="13">
        <v>80.2</v>
      </c>
      <c r="G12" s="13">
        <v>213.7</v>
      </c>
      <c r="H12" s="13">
        <v>206.5</v>
      </c>
      <c r="I12" s="13">
        <v>312.60000000000002</v>
      </c>
      <c r="J12" s="13">
        <v>165.9</v>
      </c>
      <c r="K12" s="13">
        <v>52.1</v>
      </c>
      <c r="L12" s="13">
        <v>76.900000000000006</v>
      </c>
      <c r="M12" s="2" t="s">
        <v>52</v>
      </c>
      <c r="N12" s="2" t="s">
        <v>52</v>
      </c>
      <c r="O12" s="28">
        <v>204.5</v>
      </c>
      <c r="P12" s="28">
        <v>188.3</v>
      </c>
      <c r="Q12" s="29" t="s">
        <v>53</v>
      </c>
      <c r="R12" s="2" t="s">
        <v>53</v>
      </c>
      <c r="S12" s="13">
        <v>8.7799999999999994</v>
      </c>
      <c r="T12" s="13">
        <v>8.09</v>
      </c>
      <c r="U12" s="13">
        <v>325.2</v>
      </c>
      <c r="V12" s="10" t="s">
        <v>57</v>
      </c>
      <c r="W12" s="10" t="s">
        <v>57</v>
      </c>
      <c r="X12" s="13"/>
      <c r="Y12" s="14"/>
      <c r="Z12" s="2">
        <v>21.467663275783998</v>
      </c>
      <c r="AA12" s="2" t="s">
        <v>1239</v>
      </c>
      <c r="AB12" s="2" t="s">
        <v>13</v>
      </c>
    </row>
    <row r="13" spans="1:28" x14ac:dyDescent="0.25">
      <c r="A13" s="10">
        <v>9</v>
      </c>
      <c r="B13" s="10" t="s">
        <v>23</v>
      </c>
      <c r="C13" s="10" t="s">
        <v>8</v>
      </c>
      <c r="D13" s="2" t="s">
        <v>884</v>
      </c>
      <c r="E13" s="2" t="s">
        <v>1237</v>
      </c>
      <c r="F13" s="13">
        <v>73.900000000000006</v>
      </c>
      <c r="G13" s="13">
        <v>198.2</v>
      </c>
      <c r="H13" s="13">
        <v>296.2</v>
      </c>
      <c r="I13" s="13">
        <v>205.8</v>
      </c>
      <c r="J13" s="13">
        <v>171</v>
      </c>
      <c r="K13" s="13">
        <v>137.5</v>
      </c>
      <c r="L13" s="13">
        <v>89</v>
      </c>
      <c r="M13" s="2" t="s">
        <v>52</v>
      </c>
      <c r="N13" s="2" t="s">
        <v>93</v>
      </c>
      <c r="O13" s="28">
        <v>189.3</v>
      </c>
      <c r="P13" s="28">
        <v>182.1</v>
      </c>
      <c r="Q13" s="29" t="s">
        <v>53</v>
      </c>
      <c r="R13" s="2" t="s">
        <v>53</v>
      </c>
      <c r="S13" s="13">
        <v>4.99</v>
      </c>
      <c r="T13" s="13">
        <v>5.69</v>
      </c>
      <c r="U13" s="13">
        <v>19.7</v>
      </c>
      <c r="V13" s="10" t="s">
        <v>54</v>
      </c>
      <c r="W13" s="10" t="s">
        <v>57</v>
      </c>
      <c r="X13" s="13">
        <v>60.9195158102767</v>
      </c>
      <c r="Y13" s="14">
        <v>3.4320036404095999</v>
      </c>
      <c r="Z13" s="2">
        <v>26.7890723773085</v>
      </c>
      <c r="AA13" s="2" t="s">
        <v>23</v>
      </c>
      <c r="AB13" s="2" t="s">
        <v>8</v>
      </c>
    </row>
    <row r="14" spans="1:28" x14ac:dyDescent="0.25">
      <c r="A14" s="10">
        <v>21</v>
      </c>
      <c r="B14" s="10" t="s">
        <v>27</v>
      </c>
      <c r="C14" s="10" t="s">
        <v>8</v>
      </c>
      <c r="D14" s="2" t="s">
        <v>1141</v>
      </c>
      <c r="E14" s="2" t="s">
        <v>1248</v>
      </c>
      <c r="F14" s="13">
        <v>100.4</v>
      </c>
      <c r="G14" s="13">
        <v>260.5</v>
      </c>
      <c r="H14" s="13">
        <v>264.7</v>
      </c>
      <c r="I14" s="13">
        <v>84.7</v>
      </c>
      <c r="J14" s="13">
        <v>225.3</v>
      </c>
      <c r="K14" s="13">
        <v>222.7</v>
      </c>
      <c r="L14" s="13">
        <v>87.6</v>
      </c>
      <c r="M14" s="2" t="s">
        <v>93</v>
      </c>
      <c r="N14" s="2" t="s">
        <v>93</v>
      </c>
      <c r="O14" s="28">
        <v>180.3</v>
      </c>
      <c r="P14" s="28">
        <v>180.8</v>
      </c>
      <c r="Q14" s="29" t="s">
        <v>53</v>
      </c>
      <c r="R14" s="2" t="s">
        <v>53</v>
      </c>
      <c r="S14" s="13">
        <v>4.72</v>
      </c>
      <c r="T14" s="13">
        <v>5.31</v>
      </c>
      <c r="U14" s="13">
        <v>14.9</v>
      </c>
      <c r="V14" s="10" t="s">
        <v>61</v>
      </c>
      <c r="W14" s="10" t="s">
        <v>61</v>
      </c>
      <c r="X14" s="13">
        <v>65.334782608695704</v>
      </c>
      <c r="Y14" s="14">
        <v>11.1065715932929</v>
      </c>
      <c r="Z14" s="2">
        <v>19.566378192081299</v>
      </c>
      <c r="AA14" s="2" t="s">
        <v>64</v>
      </c>
      <c r="AB14" s="2" t="s">
        <v>65</v>
      </c>
    </row>
    <row r="15" spans="1:28" x14ac:dyDescent="0.25">
      <c r="A15" s="10">
        <v>1</v>
      </c>
      <c r="B15" s="10" t="s">
        <v>10</v>
      </c>
      <c r="C15" s="10" t="s">
        <v>11</v>
      </c>
      <c r="D15" s="2" t="s">
        <v>58</v>
      </c>
      <c r="E15" s="2" t="s">
        <v>59</v>
      </c>
      <c r="F15" s="13">
        <v>85.9</v>
      </c>
      <c r="G15" s="13">
        <v>219.8</v>
      </c>
      <c r="H15" s="13">
        <v>289.3</v>
      </c>
      <c r="I15" s="13">
        <v>305.3</v>
      </c>
      <c r="J15" s="13">
        <v>181.9</v>
      </c>
      <c r="K15" s="13">
        <v>58.7</v>
      </c>
      <c r="L15" s="13">
        <v>142.19999999999999</v>
      </c>
      <c r="M15" s="2" t="s">
        <v>52</v>
      </c>
      <c r="N15" s="2" t="s">
        <v>60</v>
      </c>
      <c r="O15" s="28">
        <v>190.9</v>
      </c>
      <c r="P15" s="28">
        <v>231.8</v>
      </c>
      <c r="Q15" s="29" t="s">
        <v>53</v>
      </c>
      <c r="R15" s="2" t="s">
        <v>53</v>
      </c>
      <c r="S15" s="13">
        <v>4.8499999999999996</v>
      </c>
      <c r="T15" s="13">
        <v>5.76</v>
      </c>
      <c r="U15" s="13">
        <v>12.2</v>
      </c>
      <c r="V15" s="10" t="s">
        <v>61</v>
      </c>
      <c r="W15" s="10" t="s">
        <v>61</v>
      </c>
      <c r="X15" s="13">
        <v>30.585869565217401</v>
      </c>
      <c r="Y15" s="14">
        <v>6.46553174184029</v>
      </c>
      <c r="Z15" s="2">
        <v>8.9254202599441097</v>
      </c>
      <c r="AA15" s="2" t="s">
        <v>10</v>
      </c>
      <c r="AB15" s="2" t="s">
        <v>11</v>
      </c>
    </row>
    <row r="16" spans="1:28" x14ac:dyDescent="0.25">
      <c r="A16" s="10">
        <v>24</v>
      </c>
      <c r="B16" s="10" t="s">
        <v>30</v>
      </c>
      <c r="C16" s="10" t="s">
        <v>31</v>
      </c>
      <c r="D16" s="2" t="s">
        <v>76</v>
      </c>
      <c r="E16" s="2" t="s">
        <v>116</v>
      </c>
      <c r="F16" s="13">
        <v>140.4</v>
      </c>
      <c r="G16" s="13">
        <v>257.7</v>
      </c>
      <c r="H16" s="13">
        <v>161.5</v>
      </c>
      <c r="I16" s="13">
        <v>61.2</v>
      </c>
      <c r="J16" s="13">
        <v>210</v>
      </c>
      <c r="K16" s="13">
        <v>199.4</v>
      </c>
      <c r="L16" s="13">
        <v>96.9</v>
      </c>
      <c r="M16" s="2" t="s">
        <v>60</v>
      </c>
      <c r="N16" s="2" t="s">
        <v>52</v>
      </c>
      <c r="O16" s="28">
        <v>267.89999999999998</v>
      </c>
      <c r="P16" s="28">
        <v>194.2</v>
      </c>
      <c r="Q16" s="29" t="s">
        <v>53</v>
      </c>
      <c r="R16" s="2" t="s">
        <v>53</v>
      </c>
      <c r="S16" s="13">
        <v>6.03</v>
      </c>
      <c r="T16" s="13">
        <v>5.87</v>
      </c>
      <c r="U16" s="13">
        <v>23.5</v>
      </c>
      <c r="V16" s="10" t="s">
        <v>57</v>
      </c>
      <c r="W16" s="10" t="s">
        <v>57</v>
      </c>
      <c r="X16" s="13">
        <v>47.556386363636399</v>
      </c>
      <c r="Y16" s="14">
        <v>9.9622511329575598</v>
      </c>
      <c r="Z16" s="2">
        <v>26.439415651636502</v>
      </c>
      <c r="AA16" s="2" t="s">
        <v>64</v>
      </c>
      <c r="AB16" s="2" t="s">
        <v>65</v>
      </c>
    </row>
    <row r="17" spans="1:28" x14ac:dyDescent="0.25">
      <c r="A17" s="10">
        <v>7</v>
      </c>
      <c r="B17" s="10" t="s">
        <v>1175</v>
      </c>
      <c r="C17" s="10" t="s">
        <v>1176</v>
      </c>
      <c r="D17" s="2" t="s">
        <v>623</v>
      </c>
      <c r="E17" s="2" t="s">
        <v>1236</v>
      </c>
      <c r="F17" s="13">
        <v>148.1</v>
      </c>
      <c r="G17" s="13">
        <v>223.6</v>
      </c>
      <c r="H17" s="13">
        <v>210.5</v>
      </c>
      <c r="I17" s="13">
        <v>287.8</v>
      </c>
      <c r="J17" s="13">
        <v>176.6</v>
      </c>
      <c r="K17" s="13">
        <v>56.1</v>
      </c>
      <c r="L17" s="13">
        <v>146.1</v>
      </c>
      <c r="M17" s="2" t="s">
        <v>60</v>
      </c>
      <c r="N17" s="2" t="s">
        <v>60</v>
      </c>
      <c r="O17" s="28">
        <v>286.10000000000002</v>
      </c>
      <c r="P17" s="28">
        <v>254.2</v>
      </c>
      <c r="Q17" s="29" t="s">
        <v>53</v>
      </c>
      <c r="R17" s="2" t="s">
        <v>53</v>
      </c>
      <c r="S17" s="13">
        <v>6.55</v>
      </c>
      <c r="T17" s="13">
        <v>6.59</v>
      </c>
      <c r="U17" s="13">
        <v>29.1</v>
      </c>
      <c r="V17" s="10" t="s">
        <v>57</v>
      </c>
      <c r="W17" s="10" t="s">
        <v>57</v>
      </c>
      <c r="X17" s="13">
        <v>42.123003952569199</v>
      </c>
      <c r="Y17" s="14">
        <v>18.135529772379002</v>
      </c>
      <c r="Z17" s="2">
        <v>19.6213968822988</v>
      </c>
      <c r="AA17" s="2" t="s">
        <v>64</v>
      </c>
      <c r="AB17" s="2" t="s">
        <v>65</v>
      </c>
    </row>
    <row r="18" spans="1:28" x14ac:dyDescent="0.25">
      <c r="A18" s="10">
        <v>5</v>
      </c>
      <c r="B18" s="10" t="s">
        <v>1172</v>
      </c>
      <c r="C18" s="10" t="s">
        <v>1173</v>
      </c>
      <c r="D18" s="2" t="s">
        <v>1002</v>
      </c>
      <c r="E18" s="2" t="s">
        <v>1234</v>
      </c>
      <c r="F18" s="13">
        <v>148.80000000000001</v>
      </c>
      <c r="G18" s="13">
        <v>255.9</v>
      </c>
      <c r="H18" s="13">
        <v>278.89999999999998</v>
      </c>
      <c r="I18" s="13">
        <v>289.2</v>
      </c>
      <c r="J18" s="13">
        <v>201.9</v>
      </c>
      <c r="K18" s="13">
        <v>51.5</v>
      </c>
      <c r="L18" s="13">
        <v>148.1</v>
      </c>
      <c r="M18" s="2" t="s">
        <v>60</v>
      </c>
      <c r="N18" s="2" t="s">
        <v>60</v>
      </c>
      <c r="O18" s="28">
        <v>228.6</v>
      </c>
      <c r="P18" s="28">
        <v>238.4</v>
      </c>
      <c r="Q18" s="29" t="s">
        <v>53</v>
      </c>
      <c r="R18" s="2" t="s">
        <v>53</v>
      </c>
      <c r="S18" s="13">
        <v>8.7200000000000006</v>
      </c>
      <c r="T18" s="13">
        <v>7.91</v>
      </c>
      <c r="U18" s="13">
        <v>60.8</v>
      </c>
      <c r="V18" s="10" t="s">
        <v>57</v>
      </c>
      <c r="W18" s="10" t="s">
        <v>57</v>
      </c>
      <c r="X18" s="13">
        <v>55.441749999999999</v>
      </c>
      <c r="Y18" s="14">
        <v>6.47107350209125</v>
      </c>
      <c r="Z18" s="2">
        <v>10.4928916437396</v>
      </c>
      <c r="AA18" s="2" t="s">
        <v>22</v>
      </c>
      <c r="AB18" s="2" t="s">
        <v>13</v>
      </c>
    </row>
    <row r="19" spans="1:28" x14ac:dyDescent="0.25">
      <c r="A19" s="21">
        <v>3</v>
      </c>
      <c r="B19" s="21" t="s">
        <v>14</v>
      </c>
      <c r="C19" s="21" t="s">
        <v>13</v>
      </c>
      <c r="D19" s="2" t="s">
        <v>988</v>
      </c>
      <c r="E19" s="2" t="s">
        <v>1232</v>
      </c>
      <c r="F19" s="13">
        <v>148.30000000000001</v>
      </c>
      <c r="G19" s="13">
        <v>258</v>
      </c>
      <c r="H19" s="13">
        <v>294.39999999999998</v>
      </c>
      <c r="I19" s="13">
        <v>292</v>
      </c>
      <c r="J19" s="13">
        <v>193.8</v>
      </c>
      <c r="K19" s="13">
        <v>44.7</v>
      </c>
      <c r="L19" s="13">
        <v>87.6</v>
      </c>
      <c r="M19" s="2" t="s">
        <v>60</v>
      </c>
      <c r="N19" s="2" t="s">
        <v>52</v>
      </c>
      <c r="O19" s="28">
        <v>233.4</v>
      </c>
      <c r="P19" s="28">
        <v>253.9</v>
      </c>
      <c r="Q19" s="29" t="s">
        <v>53</v>
      </c>
      <c r="R19" s="2" t="s">
        <v>53</v>
      </c>
      <c r="S19" s="13">
        <v>8.5</v>
      </c>
      <c r="T19" s="13">
        <v>7.73</v>
      </c>
      <c r="U19" s="13">
        <v>97.3</v>
      </c>
      <c r="V19" s="10" t="s">
        <v>57</v>
      </c>
      <c r="W19" s="10" t="s">
        <v>57</v>
      </c>
      <c r="X19" s="13">
        <v>43.106212121212103</v>
      </c>
      <c r="Y19" s="14">
        <v>4.5421984732418901</v>
      </c>
      <c r="Z19" s="2">
        <v>12.312254722155201</v>
      </c>
      <c r="AA19" s="2" t="s">
        <v>64</v>
      </c>
      <c r="AB19" s="2" t="s">
        <v>65</v>
      </c>
    </row>
    <row r="20" spans="1:28" x14ac:dyDescent="0.25">
      <c r="A20" s="21">
        <v>8</v>
      </c>
      <c r="B20" s="19" t="s">
        <v>28</v>
      </c>
      <c r="C20" s="21" t="s">
        <v>13</v>
      </c>
      <c r="D20" s="2" t="s">
        <v>1012</v>
      </c>
      <c r="E20" s="2" t="s">
        <v>1213</v>
      </c>
      <c r="F20" s="13">
        <v>152.19999999999999</v>
      </c>
      <c r="G20" s="13">
        <v>239.3</v>
      </c>
      <c r="H20" s="13">
        <v>135.9</v>
      </c>
      <c r="I20" s="13">
        <v>291.5</v>
      </c>
      <c r="J20" s="13">
        <v>156.1</v>
      </c>
      <c r="K20" s="13">
        <v>41</v>
      </c>
      <c r="L20" s="13">
        <v>71.900000000000006</v>
      </c>
      <c r="M20" s="2" t="s">
        <v>60</v>
      </c>
      <c r="N20" s="2" t="s">
        <v>52</v>
      </c>
      <c r="O20" s="28">
        <v>232.8</v>
      </c>
      <c r="P20" s="28">
        <v>206</v>
      </c>
      <c r="Q20" s="29" t="s">
        <v>53</v>
      </c>
      <c r="R20" s="2" t="s">
        <v>53</v>
      </c>
      <c r="S20" s="13">
        <v>7.08</v>
      </c>
      <c r="T20" s="13">
        <v>6.32</v>
      </c>
      <c r="U20" s="13">
        <v>39.6</v>
      </c>
      <c r="V20" s="10" t="s">
        <v>57</v>
      </c>
      <c r="W20" s="10" t="s">
        <v>61</v>
      </c>
      <c r="X20" s="13">
        <v>50.489840909090901</v>
      </c>
      <c r="Y20" s="14">
        <v>10.2779681268002</v>
      </c>
      <c r="Z20" s="2">
        <v>17.2577023115435</v>
      </c>
      <c r="AA20" s="2" t="s">
        <v>64</v>
      </c>
      <c r="AB20" s="2" t="s">
        <v>65</v>
      </c>
    </row>
    <row r="21" spans="1:28" x14ac:dyDescent="0.25">
      <c r="A21" s="21">
        <v>18</v>
      </c>
      <c r="B21" s="21" t="s">
        <v>24</v>
      </c>
      <c r="C21" s="21" t="s">
        <v>13</v>
      </c>
      <c r="D21" s="2" t="s">
        <v>97</v>
      </c>
      <c r="E21" s="2" t="s">
        <v>1246</v>
      </c>
      <c r="F21" s="13">
        <v>142.69999999999999</v>
      </c>
      <c r="G21" s="13">
        <v>274.39999999999998</v>
      </c>
      <c r="H21" s="13">
        <v>300.39999999999998</v>
      </c>
      <c r="I21" s="13">
        <v>289.7</v>
      </c>
      <c r="J21" s="13">
        <v>170.4</v>
      </c>
      <c r="K21" s="13">
        <v>181</v>
      </c>
      <c r="L21" s="13">
        <v>89.8</v>
      </c>
      <c r="M21" s="2" t="s">
        <v>60</v>
      </c>
      <c r="N21" s="2" t="s">
        <v>98</v>
      </c>
      <c r="O21" s="28">
        <v>245.2</v>
      </c>
      <c r="P21" s="28">
        <v>211</v>
      </c>
      <c r="Q21" s="29" t="s">
        <v>53</v>
      </c>
      <c r="R21" s="2" t="s">
        <v>53</v>
      </c>
      <c r="S21" s="13">
        <v>11.53</v>
      </c>
      <c r="T21" s="13">
        <v>9</v>
      </c>
      <c r="U21" s="13">
        <v>202.8</v>
      </c>
      <c r="V21" s="10" t="s">
        <v>57</v>
      </c>
      <c r="W21" s="10" t="s">
        <v>57</v>
      </c>
      <c r="X21" s="13"/>
      <c r="Y21" s="14"/>
      <c r="Z21" s="2">
        <v>21.0554345035419</v>
      </c>
      <c r="AA21" s="2" t="s">
        <v>64</v>
      </c>
      <c r="AB21" s="2" t="s">
        <v>65</v>
      </c>
    </row>
    <row r="22" spans="1:28" x14ac:dyDescent="0.25">
      <c r="A22" s="21">
        <v>11</v>
      </c>
      <c r="B22" s="21" t="s">
        <v>26</v>
      </c>
      <c r="C22" s="21" t="s">
        <v>13</v>
      </c>
      <c r="D22" s="2" t="s">
        <v>1097</v>
      </c>
      <c r="E22" s="2" t="s">
        <v>1217</v>
      </c>
      <c r="F22" s="13">
        <v>155.5</v>
      </c>
      <c r="G22" s="13">
        <v>266.10000000000002</v>
      </c>
      <c r="H22" s="13">
        <v>95.7</v>
      </c>
      <c r="I22" s="13">
        <v>76.7</v>
      </c>
      <c r="J22" s="13">
        <v>157.30000000000001</v>
      </c>
      <c r="K22" s="13">
        <v>63.5</v>
      </c>
      <c r="L22" s="13">
        <v>152.6</v>
      </c>
      <c r="M22" s="2" t="s">
        <v>60</v>
      </c>
      <c r="N22" s="2" t="s">
        <v>60</v>
      </c>
      <c r="O22" s="28">
        <v>238.6</v>
      </c>
      <c r="P22" s="28">
        <v>254.2</v>
      </c>
      <c r="Q22" s="29" t="s">
        <v>53</v>
      </c>
      <c r="R22" s="2" t="s">
        <v>53</v>
      </c>
      <c r="S22" s="13">
        <v>10.06</v>
      </c>
      <c r="T22" s="13">
        <v>8.02</v>
      </c>
      <c r="U22" s="13">
        <v>213.1</v>
      </c>
      <c r="V22" s="10" t="s">
        <v>57</v>
      </c>
      <c r="W22" s="10" t="s">
        <v>57</v>
      </c>
      <c r="X22" s="13">
        <v>36.648970588235301</v>
      </c>
      <c r="Y22" s="14">
        <v>4.6841641757226604</v>
      </c>
      <c r="Z22" s="2">
        <v>21.473301508756201</v>
      </c>
      <c r="AA22" s="2" t="s">
        <v>26</v>
      </c>
      <c r="AB22" s="2" t="s">
        <v>13</v>
      </c>
    </row>
    <row r="23" spans="1:28" x14ac:dyDescent="0.25">
      <c r="A23" s="21">
        <v>4</v>
      </c>
      <c r="B23" s="21" t="s">
        <v>18</v>
      </c>
      <c r="C23" s="21" t="s">
        <v>13</v>
      </c>
      <c r="D23" s="2" t="s">
        <v>1036</v>
      </c>
      <c r="E23" s="2" t="s">
        <v>1233</v>
      </c>
      <c r="F23" s="13">
        <v>149.5</v>
      </c>
      <c r="G23" s="13">
        <v>228.3</v>
      </c>
      <c r="H23" s="13">
        <v>135.5</v>
      </c>
      <c r="I23" s="13">
        <v>284.60000000000002</v>
      </c>
      <c r="J23" s="13">
        <v>159.80000000000001</v>
      </c>
      <c r="K23" s="13">
        <v>48.3</v>
      </c>
      <c r="L23" s="13">
        <v>151.19999999999999</v>
      </c>
      <c r="M23" s="2" t="s">
        <v>60</v>
      </c>
      <c r="N23" s="2" t="s">
        <v>60</v>
      </c>
      <c r="O23" s="28">
        <v>250.5</v>
      </c>
      <c r="P23" s="28">
        <v>227.9</v>
      </c>
      <c r="Q23" s="29" t="s">
        <v>53</v>
      </c>
      <c r="R23" s="2" t="s">
        <v>53</v>
      </c>
      <c r="S23" s="13">
        <v>6.9</v>
      </c>
      <c r="T23" s="13">
        <v>6.57</v>
      </c>
      <c r="U23" s="13">
        <v>17.100000000000001</v>
      </c>
      <c r="V23" s="10" t="s">
        <v>57</v>
      </c>
      <c r="W23" s="10" t="s">
        <v>57</v>
      </c>
      <c r="X23" s="13">
        <v>37.747141304347799</v>
      </c>
      <c r="Y23" s="14">
        <v>4.4342141276121501</v>
      </c>
      <c r="Z23" s="2">
        <v>10.1770767628031</v>
      </c>
      <c r="AA23" s="2" t="s">
        <v>18</v>
      </c>
      <c r="AB23" s="2" t="s">
        <v>13</v>
      </c>
    </row>
    <row r="24" spans="1:28" x14ac:dyDescent="0.25">
      <c r="A24" s="21">
        <v>14</v>
      </c>
      <c r="B24" s="21" t="s">
        <v>12</v>
      </c>
      <c r="C24" s="21" t="s">
        <v>13</v>
      </c>
      <c r="D24" s="2" t="s">
        <v>1033</v>
      </c>
      <c r="E24" s="2" t="s">
        <v>1242</v>
      </c>
      <c r="F24" s="13">
        <v>152.69999999999999</v>
      </c>
      <c r="G24" s="13">
        <v>264.8</v>
      </c>
      <c r="H24" s="13">
        <v>184.9</v>
      </c>
      <c r="I24" s="13">
        <v>85.1</v>
      </c>
      <c r="J24" s="13">
        <v>200.9</v>
      </c>
      <c r="K24" s="13">
        <v>67.3</v>
      </c>
      <c r="L24" s="13">
        <v>85.7</v>
      </c>
      <c r="M24" s="2" t="s">
        <v>60</v>
      </c>
      <c r="N24" s="2" t="s">
        <v>52</v>
      </c>
      <c r="O24" s="28">
        <v>284.5</v>
      </c>
      <c r="P24" s="28">
        <v>195.9</v>
      </c>
      <c r="Q24" s="29" t="s">
        <v>53</v>
      </c>
      <c r="R24" s="2" t="s">
        <v>53</v>
      </c>
      <c r="S24" s="13">
        <v>8.5399999999999991</v>
      </c>
      <c r="T24" s="13">
        <v>7.49</v>
      </c>
      <c r="U24" s="13">
        <v>262</v>
      </c>
      <c r="V24" s="10" t="s">
        <v>57</v>
      </c>
      <c r="W24" s="10" t="s">
        <v>57</v>
      </c>
      <c r="X24" s="13">
        <v>38.436113636363601</v>
      </c>
      <c r="Y24" s="14">
        <v>1.8107298938127001</v>
      </c>
      <c r="Z24" s="2">
        <v>8.6149780246314496</v>
      </c>
      <c r="AA24" s="2" t="s">
        <v>12</v>
      </c>
      <c r="AB24" s="2" t="s">
        <v>13</v>
      </c>
    </row>
    <row r="25" spans="1:28" x14ac:dyDescent="0.25">
      <c r="A25" s="21">
        <v>22</v>
      </c>
      <c r="B25" s="21" t="s">
        <v>1191</v>
      </c>
      <c r="C25" s="21" t="s">
        <v>13</v>
      </c>
      <c r="D25" s="2" t="s">
        <v>1114</v>
      </c>
      <c r="E25" s="2" t="s">
        <v>1249</v>
      </c>
      <c r="F25" s="13">
        <v>140.1</v>
      </c>
      <c r="G25" s="13">
        <v>268.60000000000002</v>
      </c>
      <c r="H25" s="13">
        <v>174</v>
      </c>
      <c r="I25" s="13">
        <v>203.6</v>
      </c>
      <c r="J25" s="13">
        <v>177.4</v>
      </c>
      <c r="K25" s="13">
        <v>41.1</v>
      </c>
      <c r="L25" s="13">
        <v>83.5</v>
      </c>
      <c r="M25" s="2" t="s">
        <v>60</v>
      </c>
      <c r="N25" s="2" t="s">
        <v>52</v>
      </c>
      <c r="O25" s="28">
        <v>239.1</v>
      </c>
      <c r="P25" s="28">
        <v>192</v>
      </c>
      <c r="Q25" s="29" t="s">
        <v>53</v>
      </c>
      <c r="R25" s="2" t="s">
        <v>53</v>
      </c>
      <c r="S25" s="13">
        <v>7.5</v>
      </c>
      <c r="T25" s="13">
        <v>7.48</v>
      </c>
      <c r="U25" s="13">
        <v>353.3</v>
      </c>
      <c r="V25" s="10" t="s">
        <v>57</v>
      </c>
      <c r="W25" s="10" t="s">
        <v>106</v>
      </c>
      <c r="X25" s="13">
        <v>44.706000000000003</v>
      </c>
      <c r="Y25" s="14">
        <v>3.54210231888954</v>
      </c>
      <c r="Z25" s="2">
        <v>14.960465807924701</v>
      </c>
      <c r="AA25" s="2" t="s">
        <v>1191</v>
      </c>
      <c r="AB25" s="2" t="s">
        <v>13</v>
      </c>
    </row>
    <row r="26" spans="1:28" x14ac:dyDescent="0.25">
      <c r="A26" s="21">
        <v>20</v>
      </c>
      <c r="B26" s="21" t="s">
        <v>1190</v>
      </c>
      <c r="C26" s="21" t="s">
        <v>13</v>
      </c>
      <c r="D26" s="2" t="s">
        <v>1012</v>
      </c>
      <c r="E26" s="2" t="s">
        <v>1247</v>
      </c>
      <c r="F26" s="13">
        <v>88.8</v>
      </c>
      <c r="G26" s="13">
        <v>218.5</v>
      </c>
      <c r="H26" s="13">
        <v>233.4</v>
      </c>
      <c r="I26" s="13">
        <v>64.900000000000006</v>
      </c>
      <c r="J26" s="13">
        <v>185.5</v>
      </c>
      <c r="K26" s="13">
        <v>58.4</v>
      </c>
      <c r="L26" s="13">
        <v>85.5</v>
      </c>
      <c r="M26" s="2" t="s">
        <v>52</v>
      </c>
      <c r="N26" s="2" t="s">
        <v>52</v>
      </c>
      <c r="O26" s="28">
        <v>234.1</v>
      </c>
      <c r="P26" s="28">
        <v>180.8</v>
      </c>
      <c r="Q26" s="29" t="s">
        <v>53</v>
      </c>
      <c r="R26" s="2" t="s">
        <v>53</v>
      </c>
      <c r="S26" s="13">
        <v>10.09</v>
      </c>
      <c r="T26" s="13">
        <v>8.6199999999999992</v>
      </c>
      <c r="U26" s="13">
        <v>105.4</v>
      </c>
      <c r="V26" s="10" t="s">
        <v>57</v>
      </c>
      <c r="W26" s="10" t="s">
        <v>57</v>
      </c>
      <c r="X26" s="13">
        <v>42.103557312253002</v>
      </c>
      <c r="Y26" s="14">
        <v>5.0379245663412497</v>
      </c>
      <c r="Z26" s="2">
        <v>20.833696084996198</v>
      </c>
      <c r="AA26" s="2" t="s">
        <v>64</v>
      </c>
      <c r="AB26" s="2" t="s">
        <v>65</v>
      </c>
    </row>
    <row r="27" spans="1:28" x14ac:dyDescent="0.25">
      <c r="A27" s="10">
        <v>16</v>
      </c>
      <c r="B27" s="10" t="s">
        <v>1184</v>
      </c>
      <c r="C27" s="10" t="s">
        <v>29</v>
      </c>
      <c r="D27" s="2" t="s">
        <v>1033</v>
      </c>
      <c r="E27" s="2" t="s">
        <v>1244</v>
      </c>
      <c r="F27" s="13">
        <v>76.599999999999994</v>
      </c>
      <c r="G27" s="13">
        <v>229.5</v>
      </c>
      <c r="H27" s="13">
        <v>238.1</v>
      </c>
      <c r="I27" s="13">
        <v>289.60000000000002</v>
      </c>
      <c r="J27" s="13">
        <v>204.3</v>
      </c>
      <c r="K27" s="13">
        <v>56.7</v>
      </c>
      <c r="L27" s="13">
        <v>139.5</v>
      </c>
      <c r="M27" s="2" t="s">
        <v>52</v>
      </c>
      <c r="N27" s="2" t="s">
        <v>66</v>
      </c>
      <c r="O27" s="28">
        <v>188.6</v>
      </c>
      <c r="P27" s="28">
        <v>285.39999999999998</v>
      </c>
      <c r="Q27" s="29" t="s">
        <v>53</v>
      </c>
      <c r="R27" s="2" t="s">
        <v>53</v>
      </c>
      <c r="S27" s="13">
        <v>8.1999999999999993</v>
      </c>
      <c r="T27" s="13">
        <v>8.2200000000000006</v>
      </c>
      <c r="U27" s="13">
        <v>311.39999999999998</v>
      </c>
      <c r="V27" s="10" t="s">
        <v>57</v>
      </c>
      <c r="W27" s="10" t="s">
        <v>57</v>
      </c>
      <c r="X27" s="13">
        <v>45.4508409090909</v>
      </c>
      <c r="Y27" s="14">
        <v>2.5927756352243199</v>
      </c>
      <c r="Z27" s="2">
        <v>9.8795681761369902</v>
      </c>
      <c r="AA27" s="2" t="s">
        <v>64</v>
      </c>
      <c r="AB27" s="2" t="s">
        <v>65</v>
      </c>
    </row>
    <row r="28" spans="1:28" x14ac:dyDescent="0.25">
      <c r="A28" s="10">
        <v>12</v>
      </c>
      <c r="B28" s="2" t="s">
        <v>20</v>
      </c>
      <c r="C28" s="2" t="s">
        <v>21</v>
      </c>
      <c r="D28" s="2" t="s">
        <v>108</v>
      </c>
      <c r="E28" s="2" t="s">
        <v>1240</v>
      </c>
      <c r="F28" s="13">
        <v>148.30000000000001</v>
      </c>
      <c r="G28" s="13">
        <v>262.3</v>
      </c>
      <c r="H28" s="13">
        <v>79.2</v>
      </c>
      <c r="I28" s="13">
        <v>56</v>
      </c>
      <c r="J28" s="13">
        <v>195.4</v>
      </c>
      <c r="K28" s="13">
        <v>181.5</v>
      </c>
      <c r="L28" s="13">
        <v>92</v>
      </c>
      <c r="M28" s="2" t="s">
        <v>60</v>
      </c>
      <c r="N28" s="2" t="s">
        <v>52</v>
      </c>
      <c r="O28" s="28">
        <v>219</v>
      </c>
      <c r="P28" s="28">
        <v>59.3</v>
      </c>
      <c r="Q28" s="29" t="s">
        <v>53</v>
      </c>
      <c r="R28" s="2" t="s">
        <v>70</v>
      </c>
      <c r="S28" s="13">
        <v>6.26</v>
      </c>
      <c r="T28" s="13">
        <v>6.13</v>
      </c>
      <c r="U28" s="13">
        <v>350.9</v>
      </c>
      <c r="V28" s="10" t="s">
        <v>54</v>
      </c>
      <c r="W28" s="10" t="s">
        <v>54</v>
      </c>
      <c r="X28" s="13">
        <v>14.634</v>
      </c>
      <c r="Y28" s="14">
        <v>1.5820665098661799</v>
      </c>
      <c r="Z28" s="2">
        <v>16.771556456359701</v>
      </c>
      <c r="AA28" s="2" t="s">
        <v>20</v>
      </c>
      <c r="AB28" s="2" t="s">
        <v>21</v>
      </c>
    </row>
    <row r="29" spans="1:28" x14ac:dyDescent="0.25">
      <c r="A29" s="10">
        <v>27</v>
      </c>
      <c r="B29" s="10" t="s">
        <v>25</v>
      </c>
      <c r="C29" s="10" t="s">
        <v>21</v>
      </c>
      <c r="D29" s="2" t="s">
        <v>110</v>
      </c>
      <c r="E29" s="2" t="s">
        <v>111</v>
      </c>
      <c r="F29" s="13">
        <v>78.400000000000006</v>
      </c>
      <c r="G29" s="13">
        <v>209.6</v>
      </c>
      <c r="H29" s="13">
        <v>48.4</v>
      </c>
      <c r="I29" s="13">
        <v>176</v>
      </c>
      <c r="J29" s="13">
        <v>160.4</v>
      </c>
      <c r="K29" s="13">
        <v>28.8</v>
      </c>
      <c r="L29" s="13">
        <v>148</v>
      </c>
      <c r="M29" s="2" t="s">
        <v>52</v>
      </c>
      <c r="N29" s="2" t="s">
        <v>112</v>
      </c>
      <c r="O29" s="28">
        <v>194.4</v>
      </c>
      <c r="P29" s="28">
        <v>242.6</v>
      </c>
      <c r="Q29" s="29" t="s">
        <v>53</v>
      </c>
      <c r="R29" s="2" t="s">
        <v>53</v>
      </c>
      <c r="S29" s="13">
        <v>4.8099999999999996</v>
      </c>
      <c r="T29" s="13">
        <v>6.17</v>
      </c>
      <c r="U29" s="13">
        <v>301.5</v>
      </c>
      <c r="V29" s="10" t="s">
        <v>57</v>
      </c>
      <c r="W29" s="10" t="s">
        <v>57</v>
      </c>
      <c r="X29" s="13">
        <v>47.390409090909102</v>
      </c>
      <c r="Y29" s="14">
        <v>2.26274033522609</v>
      </c>
      <c r="Z29" s="2">
        <v>25.361723616374899</v>
      </c>
      <c r="AA29" s="2" t="s">
        <v>25</v>
      </c>
      <c r="AB29" s="2" t="s">
        <v>21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1"/>
  <sheetViews>
    <sheetView zoomScaleNormal="100" workbookViewId="0">
      <selection activeCell="H16" sqref="H16"/>
    </sheetView>
  </sheetViews>
  <sheetFormatPr defaultColWidth="11.5546875" defaultRowHeight="13.2" x14ac:dyDescent="0.25"/>
  <sheetData>
    <row r="1" spans="1:7" x14ac:dyDescent="0.25">
      <c r="A1" t="s">
        <v>0</v>
      </c>
      <c r="B1" t="s">
        <v>1171</v>
      </c>
      <c r="C1" t="s">
        <v>1197</v>
      </c>
      <c r="D1" t="s">
        <v>1198</v>
      </c>
      <c r="E1" t="s">
        <v>1199</v>
      </c>
      <c r="F1" t="s">
        <v>1200</v>
      </c>
      <c r="G1" t="s">
        <v>1201</v>
      </c>
    </row>
    <row r="2" spans="1:7" x14ac:dyDescent="0.25">
      <c r="A2">
        <v>-1</v>
      </c>
      <c r="B2">
        <v>974</v>
      </c>
      <c r="C2">
        <v>683</v>
      </c>
      <c r="D2">
        <v>291</v>
      </c>
      <c r="E2">
        <v>70</v>
      </c>
      <c r="F2">
        <v>30</v>
      </c>
      <c r="G2">
        <v>100</v>
      </c>
    </row>
    <row r="3" spans="1:7" x14ac:dyDescent="0.25">
      <c r="A3">
        <v>0</v>
      </c>
      <c r="B3">
        <v>3857</v>
      </c>
      <c r="C3">
        <v>2285</v>
      </c>
      <c r="D3">
        <v>1572</v>
      </c>
      <c r="E3">
        <v>59</v>
      </c>
      <c r="F3">
        <v>41</v>
      </c>
      <c r="G3">
        <v>100</v>
      </c>
    </row>
    <row r="4" spans="1:7" x14ac:dyDescent="0.25">
      <c r="A4">
        <v>1</v>
      </c>
      <c r="B4">
        <v>343</v>
      </c>
      <c r="C4">
        <v>244</v>
      </c>
      <c r="D4">
        <v>99</v>
      </c>
      <c r="E4">
        <v>71</v>
      </c>
      <c r="F4">
        <v>29</v>
      </c>
      <c r="G4">
        <v>100</v>
      </c>
    </row>
    <row r="5" spans="1:7" x14ac:dyDescent="0.25">
      <c r="A5">
        <v>2</v>
      </c>
      <c r="B5">
        <v>433</v>
      </c>
      <c r="C5">
        <v>225</v>
      </c>
      <c r="D5">
        <v>208</v>
      </c>
      <c r="E5">
        <v>52</v>
      </c>
      <c r="F5">
        <v>48</v>
      </c>
      <c r="G5">
        <v>100</v>
      </c>
    </row>
    <row r="6" spans="1:7" x14ac:dyDescent="0.25">
      <c r="A6">
        <v>3</v>
      </c>
      <c r="B6">
        <v>127</v>
      </c>
      <c r="C6">
        <v>69</v>
      </c>
      <c r="D6">
        <v>58</v>
      </c>
      <c r="E6">
        <v>54</v>
      </c>
      <c r="F6">
        <v>46</v>
      </c>
      <c r="G6">
        <v>100</v>
      </c>
    </row>
    <row r="7" spans="1:7" x14ac:dyDescent="0.25">
      <c r="A7">
        <v>4</v>
      </c>
      <c r="B7">
        <v>67</v>
      </c>
      <c r="C7">
        <v>61</v>
      </c>
      <c r="D7">
        <v>6</v>
      </c>
      <c r="E7">
        <v>91</v>
      </c>
      <c r="F7">
        <v>9</v>
      </c>
      <c r="G7">
        <v>100</v>
      </c>
    </row>
    <row r="8" spans="1:7" x14ac:dyDescent="0.25">
      <c r="A8">
        <v>5</v>
      </c>
      <c r="B8">
        <v>91</v>
      </c>
      <c r="C8">
        <v>85</v>
      </c>
      <c r="D8">
        <v>6</v>
      </c>
      <c r="E8">
        <v>93</v>
      </c>
      <c r="F8">
        <v>7</v>
      </c>
      <c r="G8">
        <v>100</v>
      </c>
    </row>
    <row r="9" spans="1:7" x14ac:dyDescent="0.25">
      <c r="A9">
        <v>6</v>
      </c>
      <c r="B9">
        <v>88</v>
      </c>
      <c r="C9">
        <v>51</v>
      </c>
      <c r="D9">
        <v>37</v>
      </c>
      <c r="E9">
        <v>58</v>
      </c>
      <c r="F9">
        <v>42</v>
      </c>
      <c r="G9">
        <v>100</v>
      </c>
    </row>
    <row r="10" spans="1:7" x14ac:dyDescent="0.25">
      <c r="A10">
        <v>7</v>
      </c>
      <c r="B10">
        <v>61</v>
      </c>
      <c r="C10">
        <v>49</v>
      </c>
      <c r="D10">
        <v>12</v>
      </c>
      <c r="E10">
        <v>80</v>
      </c>
      <c r="F10">
        <v>20</v>
      </c>
      <c r="G10">
        <v>100</v>
      </c>
    </row>
    <row r="11" spans="1:7" x14ac:dyDescent="0.25">
      <c r="A11">
        <v>8</v>
      </c>
      <c r="B11">
        <v>87</v>
      </c>
      <c r="C11">
        <v>78</v>
      </c>
      <c r="D11">
        <v>9</v>
      </c>
      <c r="E11">
        <v>90</v>
      </c>
      <c r="F11">
        <v>10</v>
      </c>
      <c r="G11">
        <v>100</v>
      </c>
    </row>
    <row r="12" spans="1:7" x14ac:dyDescent="0.25">
      <c r="A12">
        <v>9</v>
      </c>
      <c r="B12">
        <v>123</v>
      </c>
      <c r="C12">
        <v>71</v>
      </c>
      <c r="D12">
        <v>52</v>
      </c>
      <c r="E12">
        <v>58</v>
      </c>
      <c r="F12">
        <v>42</v>
      </c>
      <c r="G12">
        <v>100</v>
      </c>
    </row>
    <row r="13" spans="1:7" x14ac:dyDescent="0.25">
      <c r="A13">
        <v>10</v>
      </c>
      <c r="B13">
        <v>86</v>
      </c>
      <c r="C13">
        <v>59</v>
      </c>
      <c r="D13">
        <v>27</v>
      </c>
      <c r="E13">
        <v>69</v>
      </c>
      <c r="F13">
        <v>31</v>
      </c>
      <c r="G13">
        <v>100</v>
      </c>
    </row>
    <row r="14" spans="1:7" x14ac:dyDescent="0.25">
      <c r="A14">
        <v>11</v>
      </c>
      <c r="B14">
        <v>55</v>
      </c>
      <c r="C14">
        <v>44</v>
      </c>
      <c r="D14">
        <v>11</v>
      </c>
      <c r="E14">
        <v>80</v>
      </c>
      <c r="F14">
        <v>20</v>
      </c>
      <c r="G14">
        <v>100</v>
      </c>
    </row>
    <row r="15" spans="1:7" x14ac:dyDescent="0.25">
      <c r="A15">
        <v>12</v>
      </c>
      <c r="B15">
        <v>66</v>
      </c>
      <c r="C15">
        <v>61</v>
      </c>
      <c r="D15">
        <v>5</v>
      </c>
      <c r="E15">
        <v>92</v>
      </c>
      <c r="F15">
        <v>8</v>
      </c>
      <c r="G15">
        <v>100</v>
      </c>
    </row>
    <row r="16" spans="1:7" s="15" customFormat="1" x14ac:dyDescent="0.25">
      <c r="A16" s="15">
        <v>13</v>
      </c>
      <c r="B16" s="15">
        <v>15</v>
      </c>
      <c r="C16" s="15">
        <v>15</v>
      </c>
      <c r="D16" s="15">
        <v>0</v>
      </c>
      <c r="E16" s="15">
        <v>100</v>
      </c>
      <c r="F16" s="15">
        <v>0</v>
      </c>
      <c r="G16" s="15">
        <v>0</v>
      </c>
    </row>
    <row r="17" spans="1:7" x14ac:dyDescent="0.25">
      <c r="A17">
        <v>14</v>
      </c>
      <c r="B17">
        <v>26</v>
      </c>
      <c r="C17">
        <v>9</v>
      </c>
      <c r="D17">
        <v>17</v>
      </c>
      <c r="E17">
        <v>35</v>
      </c>
      <c r="F17">
        <v>65</v>
      </c>
      <c r="G17">
        <v>100</v>
      </c>
    </row>
    <row r="18" spans="1:7" x14ac:dyDescent="0.25">
      <c r="A18">
        <v>15</v>
      </c>
      <c r="B18">
        <v>36</v>
      </c>
      <c r="C18">
        <v>33</v>
      </c>
      <c r="D18">
        <v>3</v>
      </c>
      <c r="E18">
        <v>92</v>
      </c>
      <c r="F18">
        <v>8</v>
      </c>
      <c r="G18">
        <v>100</v>
      </c>
    </row>
    <row r="19" spans="1:7" x14ac:dyDescent="0.25">
      <c r="A19">
        <v>16</v>
      </c>
      <c r="B19">
        <v>14</v>
      </c>
      <c r="C19">
        <v>3</v>
      </c>
      <c r="D19">
        <v>11</v>
      </c>
      <c r="E19">
        <v>21</v>
      </c>
      <c r="F19">
        <v>79</v>
      </c>
      <c r="G19">
        <v>100</v>
      </c>
    </row>
    <row r="20" spans="1:7" x14ac:dyDescent="0.25">
      <c r="A20">
        <v>17</v>
      </c>
      <c r="B20">
        <v>35</v>
      </c>
      <c r="C20">
        <v>14</v>
      </c>
      <c r="D20">
        <v>21</v>
      </c>
      <c r="E20">
        <v>40</v>
      </c>
      <c r="F20">
        <v>60</v>
      </c>
      <c r="G20">
        <v>100</v>
      </c>
    </row>
    <row r="21" spans="1:7" x14ac:dyDescent="0.25">
      <c r="A21">
        <v>18</v>
      </c>
      <c r="B21">
        <v>37</v>
      </c>
      <c r="C21">
        <v>36</v>
      </c>
      <c r="D21">
        <v>1</v>
      </c>
      <c r="E21">
        <v>97</v>
      </c>
      <c r="F21">
        <v>3</v>
      </c>
      <c r="G21">
        <v>100</v>
      </c>
    </row>
    <row r="22" spans="1:7" x14ac:dyDescent="0.25">
      <c r="A22">
        <v>19</v>
      </c>
      <c r="B22">
        <v>18</v>
      </c>
      <c r="C22">
        <v>8</v>
      </c>
      <c r="D22">
        <v>10</v>
      </c>
      <c r="E22">
        <v>44</v>
      </c>
      <c r="F22">
        <v>56</v>
      </c>
      <c r="G22">
        <v>100</v>
      </c>
    </row>
    <row r="23" spans="1:7" x14ac:dyDescent="0.25">
      <c r="A23">
        <v>20</v>
      </c>
      <c r="B23">
        <v>22</v>
      </c>
      <c r="C23">
        <v>17</v>
      </c>
      <c r="D23">
        <v>5</v>
      </c>
      <c r="E23">
        <v>77</v>
      </c>
      <c r="F23">
        <v>23</v>
      </c>
      <c r="G23">
        <v>100</v>
      </c>
    </row>
    <row r="24" spans="1:7" x14ac:dyDescent="0.25">
      <c r="A24">
        <v>21</v>
      </c>
      <c r="B24">
        <v>15</v>
      </c>
      <c r="C24">
        <v>9</v>
      </c>
      <c r="D24">
        <v>6</v>
      </c>
      <c r="E24">
        <v>60</v>
      </c>
      <c r="F24">
        <v>40</v>
      </c>
      <c r="G24">
        <v>100</v>
      </c>
    </row>
    <row r="25" spans="1:7" x14ac:dyDescent="0.25">
      <c r="A25">
        <v>22</v>
      </c>
      <c r="B25">
        <v>10</v>
      </c>
      <c r="C25">
        <v>9</v>
      </c>
      <c r="D25">
        <v>1</v>
      </c>
      <c r="E25">
        <v>90</v>
      </c>
      <c r="F25">
        <v>10</v>
      </c>
      <c r="G25">
        <v>100</v>
      </c>
    </row>
    <row r="26" spans="1:7" s="15" customFormat="1" x14ac:dyDescent="0.25">
      <c r="A26" s="15">
        <v>23</v>
      </c>
      <c r="B26" s="15">
        <v>13</v>
      </c>
      <c r="C26" s="15">
        <v>13</v>
      </c>
      <c r="D26" s="15">
        <v>0</v>
      </c>
      <c r="E26" s="15">
        <v>100</v>
      </c>
      <c r="F26" s="15">
        <v>0</v>
      </c>
      <c r="G26" s="15">
        <v>0</v>
      </c>
    </row>
    <row r="27" spans="1:7" x14ac:dyDescent="0.25">
      <c r="A27">
        <v>24</v>
      </c>
      <c r="B27">
        <v>10</v>
      </c>
      <c r="C27">
        <v>9</v>
      </c>
      <c r="D27">
        <v>1</v>
      </c>
      <c r="E27">
        <v>90</v>
      </c>
      <c r="F27">
        <v>10</v>
      </c>
      <c r="G27">
        <v>100</v>
      </c>
    </row>
    <row r="28" spans="1:7" s="15" customFormat="1" x14ac:dyDescent="0.25">
      <c r="A28" s="15">
        <v>25</v>
      </c>
      <c r="B28" s="15">
        <v>10</v>
      </c>
      <c r="C28" s="15">
        <v>10</v>
      </c>
      <c r="D28" s="15">
        <v>0</v>
      </c>
      <c r="E28" s="15">
        <v>100</v>
      </c>
      <c r="F28" s="15">
        <v>0</v>
      </c>
      <c r="G28" s="15">
        <v>0</v>
      </c>
    </row>
    <row r="29" spans="1:7" x14ac:dyDescent="0.25">
      <c r="A29">
        <v>26</v>
      </c>
      <c r="B29">
        <v>10</v>
      </c>
      <c r="C29">
        <v>8</v>
      </c>
      <c r="D29">
        <v>2</v>
      </c>
      <c r="E29">
        <v>80</v>
      </c>
      <c r="F29">
        <v>20</v>
      </c>
      <c r="G29">
        <v>100</v>
      </c>
    </row>
    <row r="30" spans="1:7" x14ac:dyDescent="0.25">
      <c r="A30">
        <v>27</v>
      </c>
      <c r="B30">
        <v>11</v>
      </c>
      <c r="C30">
        <v>8</v>
      </c>
      <c r="D30">
        <v>3</v>
      </c>
      <c r="E30">
        <v>73</v>
      </c>
      <c r="F30">
        <v>27</v>
      </c>
      <c r="G30">
        <v>100</v>
      </c>
    </row>
    <row r="31" spans="1:7" x14ac:dyDescent="0.25">
      <c r="B31" s="10">
        <f>SUM(B3:B30,B30)</f>
        <v>5777</v>
      </c>
      <c r="C31" s="10">
        <f>SUM(C3:C30,C30)</f>
        <v>3591</v>
      </c>
      <c r="D31" s="10">
        <f>SUM(D3:D30,D30)</f>
        <v>2186</v>
      </c>
      <c r="E31" s="10"/>
      <c r="F31" s="10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36532-7530-46EE-94E9-4DEF62FCB6BF}">
  <dimension ref="A1:I146"/>
  <sheetViews>
    <sheetView tabSelected="1" zoomScaleNormal="100" workbookViewId="0"/>
  </sheetViews>
  <sheetFormatPr defaultColWidth="11.5546875" defaultRowHeight="13.2" x14ac:dyDescent="0.25"/>
  <cols>
    <col min="1" max="1" width="8.109375" customWidth="1"/>
    <col min="2" max="2" width="15.33203125" customWidth="1"/>
    <col min="3" max="3" width="32.33203125" customWidth="1"/>
    <col min="4" max="4" width="7" customWidth="1"/>
    <col min="5" max="5" width="24.21875" customWidth="1"/>
    <col min="6" max="6" width="13.77734375" customWidth="1"/>
    <col min="7" max="7" width="19.6640625" customWidth="1"/>
    <col min="8" max="8" width="70.33203125" customWidth="1"/>
    <col min="9" max="9" width="295.88671875" customWidth="1"/>
  </cols>
  <sheetData>
    <row r="1" spans="1:9" x14ac:dyDescent="0.25">
      <c r="A1" t="s">
        <v>877</v>
      </c>
      <c r="B1" t="s">
        <v>1280</v>
      </c>
      <c r="C1" t="s">
        <v>1281</v>
      </c>
      <c r="D1" t="s">
        <v>1282</v>
      </c>
      <c r="E1" t="s">
        <v>1283</v>
      </c>
      <c r="F1" t="s">
        <v>122</v>
      </c>
      <c r="G1" t="s">
        <v>1284</v>
      </c>
      <c r="H1" t="s">
        <v>1285</v>
      </c>
      <c r="I1" t="s">
        <v>1286</v>
      </c>
    </row>
    <row r="2" spans="1:9" x14ac:dyDescent="0.25">
      <c r="A2" t="s">
        <v>1287</v>
      </c>
      <c r="B2" t="s">
        <v>144</v>
      </c>
      <c r="C2" t="s">
        <v>1288</v>
      </c>
      <c r="D2">
        <v>45</v>
      </c>
      <c r="E2" t="s">
        <v>1289</v>
      </c>
      <c r="F2">
        <v>2.7</v>
      </c>
      <c r="G2" t="s">
        <v>1290</v>
      </c>
      <c r="H2" t="s">
        <v>1291</v>
      </c>
      <c r="I2" t="s">
        <v>1292</v>
      </c>
    </row>
    <row r="3" spans="1:9" x14ac:dyDescent="0.25">
      <c r="A3" t="s">
        <v>1293</v>
      </c>
      <c r="B3" t="s">
        <v>144</v>
      </c>
      <c r="C3" t="s">
        <v>1294</v>
      </c>
      <c r="D3">
        <v>76</v>
      </c>
      <c r="E3" t="s">
        <v>1289</v>
      </c>
      <c r="F3">
        <v>1.93</v>
      </c>
      <c r="G3" t="s">
        <v>1295</v>
      </c>
      <c r="H3" t="s">
        <v>1296</v>
      </c>
      <c r="I3" t="s">
        <v>1297</v>
      </c>
    </row>
    <row r="4" spans="1:9" x14ac:dyDescent="0.25">
      <c r="A4" t="s">
        <v>1298</v>
      </c>
      <c r="B4" t="s">
        <v>144</v>
      </c>
      <c r="C4" t="s">
        <v>1299</v>
      </c>
      <c r="D4">
        <v>35</v>
      </c>
      <c r="E4" t="s">
        <v>1289</v>
      </c>
      <c r="F4">
        <v>2.2999999999999998</v>
      </c>
      <c r="G4" t="s">
        <v>1300</v>
      </c>
      <c r="H4" t="s">
        <v>1301</v>
      </c>
      <c r="I4" t="s">
        <v>1302</v>
      </c>
    </row>
    <row r="5" spans="1:9" x14ac:dyDescent="0.25">
      <c r="A5" t="s">
        <v>1303</v>
      </c>
      <c r="B5" t="s">
        <v>144</v>
      </c>
      <c r="C5" t="s">
        <v>1304</v>
      </c>
      <c r="D5">
        <v>38</v>
      </c>
      <c r="E5" t="s">
        <v>1289</v>
      </c>
      <c r="F5">
        <v>2.8</v>
      </c>
      <c r="G5" t="s">
        <v>1305</v>
      </c>
      <c r="H5" t="s">
        <v>1306</v>
      </c>
      <c r="I5" t="s">
        <v>1307</v>
      </c>
    </row>
    <row r="6" spans="1:9" x14ac:dyDescent="0.25">
      <c r="A6" t="s">
        <v>1308</v>
      </c>
      <c r="B6" t="s">
        <v>144</v>
      </c>
      <c r="C6" t="s">
        <v>1309</v>
      </c>
      <c r="D6">
        <v>53</v>
      </c>
      <c r="E6" t="s">
        <v>1289</v>
      </c>
      <c r="F6">
        <v>2.9</v>
      </c>
      <c r="G6" t="s">
        <v>1310</v>
      </c>
      <c r="H6" t="s">
        <v>1311</v>
      </c>
      <c r="I6" t="s">
        <v>1312</v>
      </c>
    </row>
    <row r="7" spans="1:9" x14ac:dyDescent="0.25">
      <c r="A7" t="s">
        <v>1313</v>
      </c>
      <c r="B7" t="s">
        <v>144</v>
      </c>
      <c r="C7" t="s">
        <v>1314</v>
      </c>
      <c r="D7">
        <v>70</v>
      </c>
      <c r="E7" t="s">
        <v>1289</v>
      </c>
      <c r="F7">
        <v>3</v>
      </c>
      <c r="G7" t="s">
        <v>1315</v>
      </c>
      <c r="H7" t="s">
        <v>1316</v>
      </c>
      <c r="I7" t="s">
        <v>1317</v>
      </c>
    </row>
    <row r="8" spans="1:9" x14ac:dyDescent="0.25">
      <c r="A8" t="s">
        <v>1318</v>
      </c>
      <c r="B8" t="s">
        <v>144</v>
      </c>
      <c r="C8" t="s">
        <v>1155</v>
      </c>
      <c r="D8">
        <v>28</v>
      </c>
      <c r="E8" t="s">
        <v>1289</v>
      </c>
      <c r="F8">
        <v>1.25</v>
      </c>
      <c r="G8" t="s">
        <v>1315</v>
      </c>
      <c r="H8" t="s">
        <v>1319</v>
      </c>
      <c r="I8" t="s">
        <v>1320</v>
      </c>
    </row>
    <row r="9" spans="1:9" x14ac:dyDescent="0.25">
      <c r="A9" t="s">
        <v>1321</v>
      </c>
      <c r="B9" t="s">
        <v>144</v>
      </c>
      <c r="C9" t="s">
        <v>1322</v>
      </c>
      <c r="D9">
        <v>161</v>
      </c>
      <c r="E9" t="s">
        <v>1289</v>
      </c>
      <c r="F9">
        <v>2.9</v>
      </c>
      <c r="G9" t="s">
        <v>1323</v>
      </c>
      <c r="H9" t="s">
        <v>1324</v>
      </c>
      <c r="I9" t="s">
        <v>1325</v>
      </c>
    </row>
    <row r="10" spans="1:9" x14ac:dyDescent="0.25">
      <c r="A10" t="s">
        <v>1326</v>
      </c>
      <c r="B10" t="s">
        <v>144</v>
      </c>
      <c r="C10" t="s">
        <v>1327</v>
      </c>
      <c r="D10">
        <v>47</v>
      </c>
      <c r="E10" t="s">
        <v>1289</v>
      </c>
      <c r="F10">
        <v>2.7</v>
      </c>
      <c r="G10" t="s">
        <v>1328</v>
      </c>
      <c r="H10" t="s">
        <v>1329</v>
      </c>
      <c r="I10" t="s">
        <v>1330</v>
      </c>
    </row>
    <row r="11" spans="1:9" x14ac:dyDescent="0.25">
      <c r="A11" t="s">
        <v>1331</v>
      </c>
      <c r="B11" t="s">
        <v>144</v>
      </c>
      <c r="C11" t="s">
        <v>1332</v>
      </c>
      <c r="D11">
        <v>75</v>
      </c>
      <c r="E11" t="s">
        <v>1289</v>
      </c>
      <c r="F11">
        <v>3</v>
      </c>
      <c r="G11" t="s">
        <v>1333</v>
      </c>
      <c r="H11" t="s">
        <v>1332</v>
      </c>
      <c r="I11" t="s">
        <v>1334</v>
      </c>
    </row>
    <row r="12" spans="1:9" x14ac:dyDescent="0.25">
      <c r="A12" t="s">
        <v>1335</v>
      </c>
      <c r="B12" t="s">
        <v>144</v>
      </c>
      <c r="C12" t="s">
        <v>1336</v>
      </c>
      <c r="D12">
        <v>101</v>
      </c>
      <c r="E12" t="s">
        <v>1289</v>
      </c>
      <c r="F12">
        <v>2.6</v>
      </c>
      <c r="G12" t="s">
        <v>1337</v>
      </c>
      <c r="H12" t="s">
        <v>1338</v>
      </c>
      <c r="I12" t="s">
        <v>1339</v>
      </c>
    </row>
    <row r="13" spans="1:9" x14ac:dyDescent="0.25">
      <c r="A13" t="s">
        <v>1340</v>
      </c>
      <c r="B13" t="s">
        <v>144</v>
      </c>
      <c r="C13" t="s">
        <v>1341</v>
      </c>
      <c r="D13">
        <v>67</v>
      </c>
      <c r="E13" t="s">
        <v>1289</v>
      </c>
      <c r="F13">
        <v>2.25</v>
      </c>
      <c r="G13" t="s">
        <v>1342</v>
      </c>
      <c r="H13" t="s">
        <v>1343</v>
      </c>
      <c r="I13" t="s">
        <v>1344</v>
      </c>
    </row>
    <row r="14" spans="1:9" x14ac:dyDescent="0.25">
      <c r="A14" t="s">
        <v>1345</v>
      </c>
      <c r="B14" t="s">
        <v>1346</v>
      </c>
      <c r="C14" t="s">
        <v>1347</v>
      </c>
      <c r="D14">
        <v>71</v>
      </c>
      <c r="E14" t="s">
        <v>1289</v>
      </c>
      <c r="F14">
        <v>2.6</v>
      </c>
      <c r="G14" t="s">
        <v>1348</v>
      </c>
      <c r="H14" t="s">
        <v>1349</v>
      </c>
      <c r="I14" t="s">
        <v>1350</v>
      </c>
    </row>
    <row r="15" spans="1:9" x14ac:dyDescent="0.25">
      <c r="A15" t="s">
        <v>1351</v>
      </c>
      <c r="B15" t="s">
        <v>1352</v>
      </c>
      <c r="C15" t="s">
        <v>1353</v>
      </c>
      <c r="D15">
        <v>161</v>
      </c>
      <c r="E15" t="s">
        <v>1289</v>
      </c>
      <c r="F15">
        <v>2.6</v>
      </c>
      <c r="G15" t="s">
        <v>1354</v>
      </c>
      <c r="H15" t="s">
        <v>1355</v>
      </c>
      <c r="I15" t="s">
        <v>1356</v>
      </c>
    </row>
    <row r="16" spans="1:9" x14ac:dyDescent="0.25">
      <c r="A16" t="s">
        <v>1357</v>
      </c>
      <c r="B16" t="s">
        <v>144</v>
      </c>
      <c r="C16" t="s">
        <v>1358</v>
      </c>
      <c r="D16">
        <v>52</v>
      </c>
      <c r="E16" t="s">
        <v>1289</v>
      </c>
      <c r="F16">
        <v>2.8</v>
      </c>
      <c r="G16" t="s">
        <v>1359</v>
      </c>
      <c r="H16" t="s">
        <v>1360</v>
      </c>
      <c r="I16" t="s">
        <v>1361</v>
      </c>
    </row>
    <row r="17" spans="1:9" x14ac:dyDescent="0.25">
      <c r="A17" t="s">
        <v>1362</v>
      </c>
      <c r="B17" t="s">
        <v>144</v>
      </c>
      <c r="C17" t="s">
        <v>1363</v>
      </c>
      <c r="D17">
        <v>39</v>
      </c>
      <c r="E17" t="s">
        <v>1289</v>
      </c>
      <c r="F17">
        <v>1.75</v>
      </c>
      <c r="G17" t="s">
        <v>1364</v>
      </c>
      <c r="H17" t="s">
        <v>1365</v>
      </c>
      <c r="I17" t="s">
        <v>1366</v>
      </c>
    </row>
    <row r="18" spans="1:9" x14ac:dyDescent="0.25">
      <c r="A18" t="s">
        <v>1367</v>
      </c>
      <c r="B18" t="s">
        <v>144</v>
      </c>
      <c r="C18" t="s">
        <v>1368</v>
      </c>
      <c r="D18">
        <v>161</v>
      </c>
      <c r="E18" t="s">
        <v>1289</v>
      </c>
      <c r="F18">
        <v>2.95</v>
      </c>
      <c r="G18" t="s">
        <v>1369</v>
      </c>
      <c r="H18" t="s">
        <v>1370</v>
      </c>
      <c r="I18" t="s">
        <v>1371</v>
      </c>
    </row>
    <row r="19" spans="1:9" x14ac:dyDescent="0.25">
      <c r="A19" t="s">
        <v>1372</v>
      </c>
      <c r="B19" t="s">
        <v>144</v>
      </c>
      <c r="C19" t="s">
        <v>1373</v>
      </c>
      <c r="D19">
        <v>77</v>
      </c>
      <c r="E19" t="s">
        <v>1289</v>
      </c>
      <c r="F19">
        <v>2</v>
      </c>
      <c r="G19" t="s">
        <v>1369</v>
      </c>
      <c r="H19" t="s">
        <v>1374</v>
      </c>
      <c r="I19" t="s">
        <v>1375</v>
      </c>
    </row>
    <row r="20" spans="1:9" x14ac:dyDescent="0.25">
      <c r="A20" t="s">
        <v>1376</v>
      </c>
      <c r="B20" t="s">
        <v>144</v>
      </c>
      <c r="C20" t="s">
        <v>1377</v>
      </c>
      <c r="D20">
        <v>53</v>
      </c>
      <c r="E20" t="s">
        <v>1289</v>
      </c>
      <c r="F20">
        <v>2.25</v>
      </c>
      <c r="G20" t="s">
        <v>1378</v>
      </c>
      <c r="H20" t="s">
        <v>1379</v>
      </c>
      <c r="I20" t="s">
        <v>1380</v>
      </c>
    </row>
    <row r="21" spans="1:9" x14ac:dyDescent="0.25">
      <c r="A21" t="s">
        <v>1381</v>
      </c>
      <c r="B21" t="s">
        <v>144</v>
      </c>
      <c r="C21" t="s">
        <v>1382</v>
      </c>
      <c r="D21">
        <v>34</v>
      </c>
      <c r="E21" t="s">
        <v>1289</v>
      </c>
      <c r="F21">
        <v>2.85</v>
      </c>
      <c r="G21" t="s">
        <v>1383</v>
      </c>
      <c r="H21" t="s">
        <v>1384</v>
      </c>
      <c r="I21" t="s">
        <v>1385</v>
      </c>
    </row>
    <row r="22" spans="1:9" x14ac:dyDescent="0.25">
      <c r="A22" t="s">
        <v>1386</v>
      </c>
      <c r="B22" t="s">
        <v>144</v>
      </c>
      <c r="C22" t="s">
        <v>1341</v>
      </c>
      <c r="D22">
        <v>67</v>
      </c>
      <c r="E22" t="s">
        <v>1289</v>
      </c>
      <c r="F22">
        <v>2.1</v>
      </c>
      <c r="G22" t="s">
        <v>1387</v>
      </c>
      <c r="H22" t="s">
        <v>1388</v>
      </c>
      <c r="I22" t="s">
        <v>1389</v>
      </c>
    </row>
    <row r="23" spans="1:9" x14ac:dyDescent="0.25">
      <c r="A23" t="s">
        <v>1390</v>
      </c>
      <c r="B23" t="s">
        <v>144</v>
      </c>
      <c r="C23" t="s">
        <v>1382</v>
      </c>
      <c r="D23">
        <v>34</v>
      </c>
      <c r="E23" t="s">
        <v>1289</v>
      </c>
      <c r="F23">
        <v>2.2000000000000002</v>
      </c>
      <c r="G23" t="s">
        <v>1391</v>
      </c>
      <c r="H23" t="s">
        <v>1392</v>
      </c>
      <c r="I23" t="s">
        <v>1393</v>
      </c>
    </row>
    <row r="24" spans="1:9" x14ac:dyDescent="0.25">
      <c r="A24" t="s">
        <v>1394</v>
      </c>
      <c r="B24" t="s">
        <v>144</v>
      </c>
      <c r="C24" t="s">
        <v>1395</v>
      </c>
      <c r="D24">
        <v>76</v>
      </c>
      <c r="E24" t="s">
        <v>1289</v>
      </c>
      <c r="F24">
        <v>3</v>
      </c>
      <c r="G24" t="s">
        <v>1396</v>
      </c>
      <c r="H24" t="s">
        <v>1397</v>
      </c>
      <c r="I24" t="s">
        <v>1398</v>
      </c>
    </row>
    <row r="25" spans="1:9" x14ac:dyDescent="0.25">
      <c r="A25" t="s">
        <v>1399</v>
      </c>
      <c r="B25" t="s">
        <v>144</v>
      </c>
      <c r="C25" t="s">
        <v>1400</v>
      </c>
      <c r="D25">
        <v>71</v>
      </c>
      <c r="E25" t="s">
        <v>1289</v>
      </c>
      <c r="F25">
        <v>1.7</v>
      </c>
      <c r="G25" t="s">
        <v>1401</v>
      </c>
      <c r="H25" t="s">
        <v>1402</v>
      </c>
      <c r="I25" t="s">
        <v>1403</v>
      </c>
    </row>
    <row r="26" spans="1:9" x14ac:dyDescent="0.25">
      <c r="A26" t="s">
        <v>1404</v>
      </c>
      <c r="B26" t="s">
        <v>144</v>
      </c>
      <c r="C26" t="s">
        <v>1405</v>
      </c>
      <c r="D26">
        <v>54</v>
      </c>
      <c r="E26" t="s">
        <v>1289</v>
      </c>
      <c r="F26">
        <v>2.7919999999999998</v>
      </c>
      <c r="G26" t="s">
        <v>1406</v>
      </c>
      <c r="H26" t="s">
        <v>1407</v>
      </c>
      <c r="I26" t="s">
        <v>1408</v>
      </c>
    </row>
    <row r="27" spans="1:9" x14ac:dyDescent="0.25">
      <c r="A27" t="s">
        <v>1409</v>
      </c>
      <c r="B27" t="s">
        <v>144</v>
      </c>
      <c r="C27" t="s">
        <v>1405</v>
      </c>
      <c r="D27">
        <v>54</v>
      </c>
      <c r="E27" t="s">
        <v>1289</v>
      </c>
      <c r="F27">
        <v>2.1814</v>
      </c>
      <c r="G27" t="s">
        <v>1406</v>
      </c>
      <c r="H27" t="s">
        <v>1410</v>
      </c>
      <c r="I27" t="s">
        <v>1411</v>
      </c>
    </row>
    <row r="28" spans="1:9" x14ac:dyDescent="0.25">
      <c r="A28" t="s">
        <v>1412</v>
      </c>
      <c r="B28" t="s">
        <v>1413</v>
      </c>
      <c r="C28" t="s">
        <v>1414</v>
      </c>
      <c r="D28">
        <v>75</v>
      </c>
      <c r="E28" t="s">
        <v>1289</v>
      </c>
      <c r="F28">
        <v>2.5099999999999998</v>
      </c>
      <c r="G28" t="s">
        <v>1415</v>
      </c>
      <c r="H28" t="s">
        <v>1416</v>
      </c>
      <c r="I28" t="s">
        <v>1417</v>
      </c>
    </row>
    <row r="29" spans="1:9" x14ac:dyDescent="0.25">
      <c r="A29" t="s">
        <v>1418</v>
      </c>
      <c r="B29" t="s">
        <v>144</v>
      </c>
      <c r="C29" t="s">
        <v>1419</v>
      </c>
      <c r="D29">
        <v>86</v>
      </c>
      <c r="E29" t="s">
        <v>1289</v>
      </c>
      <c r="F29">
        <v>2</v>
      </c>
      <c r="G29" t="s">
        <v>1420</v>
      </c>
      <c r="H29" t="s">
        <v>1421</v>
      </c>
      <c r="I29" t="s">
        <v>1422</v>
      </c>
    </row>
    <row r="30" spans="1:9" x14ac:dyDescent="0.25">
      <c r="A30" t="s">
        <v>1423</v>
      </c>
      <c r="B30" t="s">
        <v>144</v>
      </c>
      <c r="C30" t="s">
        <v>1341</v>
      </c>
      <c r="D30">
        <v>67</v>
      </c>
      <c r="E30" t="s">
        <v>1289</v>
      </c>
      <c r="F30">
        <v>2.5</v>
      </c>
      <c r="G30" t="s">
        <v>1424</v>
      </c>
      <c r="H30" t="s">
        <v>1425</v>
      </c>
      <c r="I30" t="s">
        <v>1426</v>
      </c>
    </row>
    <row r="31" spans="1:9" x14ac:dyDescent="0.25">
      <c r="A31" t="s">
        <v>1427</v>
      </c>
      <c r="B31" t="s">
        <v>144</v>
      </c>
      <c r="C31" t="s">
        <v>1428</v>
      </c>
      <c r="D31">
        <v>68</v>
      </c>
      <c r="E31" t="s">
        <v>1289</v>
      </c>
      <c r="F31">
        <v>2.605</v>
      </c>
      <c r="G31" t="s">
        <v>1424</v>
      </c>
      <c r="H31" t="s">
        <v>1429</v>
      </c>
      <c r="I31" t="s">
        <v>1430</v>
      </c>
    </row>
    <row r="32" spans="1:9" x14ac:dyDescent="0.25">
      <c r="A32" t="s">
        <v>1431</v>
      </c>
      <c r="B32" t="s">
        <v>1352</v>
      </c>
      <c r="C32" t="s">
        <v>1432</v>
      </c>
      <c r="D32">
        <v>101</v>
      </c>
      <c r="E32" t="s">
        <v>1289</v>
      </c>
      <c r="F32">
        <v>2.65</v>
      </c>
      <c r="G32" t="s">
        <v>1433</v>
      </c>
      <c r="H32" t="s">
        <v>1434</v>
      </c>
      <c r="I32" t="s">
        <v>1435</v>
      </c>
    </row>
    <row r="33" spans="1:9" x14ac:dyDescent="0.25">
      <c r="A33" t="s">
        <v>1436</v>
      </c>
      <c r="B33" t="s">
        <v>144</v>
      </c>
      <c r="C33" t="s">
        <v>1437</v>
      </c>
      <c r="D33">
        <v>75</v>
      </c>
      <c r="E33" t="s">
        <v>1289</v>
      </c>
      <c r="F33">
        <v>3</v>
      </c>
      <c r="G33" t="s">
        <v>1438</v>
      </c>
      <c r="H33" t="s">
        <v>1439</v>
      </c>
      <c r="I33" t="s">
        <v>1440</v>
      </c>
    </row>
    <row r="34" spans="1:9" x14ac:dyDescent="0.25">
      <c r="A34" t="s">
        <v>1441</v>
      </c>
      <c r="B34" t="s">
        <v>144</v>
      </c>
      <c r="C34" t="s">
        <v>1442</v>
      </c>
      <c r="D34">
        <v>29</v>
      </c>
      <c r="E34" t="s">
        <v>1289</v>
      </c>
      <c r="F34">
        <v>2.1</v>
      </c>
      <c r="G34" t="s">
        <v>1443</v>
      </c>
      <c r="H34" t="s">
        <v>1444</v>
      </c>
      <c r="I34" t="s">
        <v>1445</v>
      </c>
    </row>
    <row r="35" spans="1:9" x14ac:dyDescent="0.25">
      <c r="A35" t="s">
        <v>1446</v>
      </c>
      <c r="B35" t="s">
        <v>144</v>
      </c>
      <c r="C35" t="s">
        <v>1447</v>
      </c>
      <c r="D35">
        <v>94</v>
      </c>
      <c r="E35" t="s">
        <v>1289</v>
      </c>
      <c r="F35">
        <v>2.95</v>
      </c>
      <c r="G35" t="s">
        <v>1448</v>
      </c>
      <c r="H35" t="s">
        <v>1449</v>
      </c>
      <c r="I35" t="s">
        <v>1450</v>
      </c>
    </row>
    <row r="36" spans="1:9" x14ac:dyDescent="0.25">
      <c r="A36" t="s">
        <v>1451</v>
      </c>
      <c r="B36" t="s">
        <v>144</v>
      </c>
      <c r="C36" t="s">
        <v>1452</v>
      </c>
      <c r="D36">
        <v>52</v>
      </c>
      <c r="E36" t="s">
        <v>1289</v>
      </c>
      <c r="F36">
        <v>2.85</v>
      </c>
      <c r="G36" t="s">
        <v>1448</v>
      </c>
      <c r="H36" t="s">
        <v>1453</v>
      </c>
      <c r="I36" t="s">
        <v>1454</v>
      </c>
    </row>
    <row r="37" spans="1:9" x14ac:dyDescent="0.25">
      <c r="A37" t="s">
        <v>1455</v>
      </c>
      <c r="B37" t="s">
        <v>149</v>
      </c>
      <c r="C37" t="s">
        <v>1456</v>
      </c>
      <c r="D37">
        <v>84</v>
      </c>
      <c r="E37" t="s">
        <v>1289</v>
      </c>
      <c r="F37">
        <v>2.95</v>
      </c>
      <c r="G37" t="s">
        <v>1457</v>
      </c>
      <c r="H37" t="s">
        <v>1458</v>
      </c>
      <c r="I37" t="s">
        <v>1459</v>
      </c>
    </row>
    <row r="38" spans="1:9" x14ac:dyDescent="0.25">
      <c r="A38" t="s">
        <v>1460</v>
      </c>
      <c r="B38" t="s">
        <v>144</v>
      </c>
      <c r="C38" t="s">
        <v>1461</v>
      </c>
      <c r="D38">
        <v>57</v>
      </c>
      <c r="E38" t="s">
        <v>1289</v>
      </c>
      <c r="F38">
        <v>2.673</v>
      </c>
      <c r="G38" t="s">
        <v>1462</v>
      </c>
      <c r="H38" t="s">
        <v>1463</v>
      </c>
      <c r="I38" t="s">
        <v>1464</v>
      </c>
    </row>
    <row r="39" spans="1:9" x14ac:dyDescent="0.25">
      <c r="A39" t="s">
        <v>1465</v>
      </c>
      <c r="B39" t="s">
        <v>1466</v>
      </c>
      <c r="C39" t="s">
        <v>1467</v>
      </c>
      <c r="D39">
        <v>55</v>
      </c>
      <c r="E39" t="s">
        <v>1289</v>
      </c>
      <c r="F39">
        <v>2.35</v>
      </c>
      <c r="G39" t="s">
        <v>1468</v>
      </c>
      <c r="H39" t="s">
        <v>1469</v>
      </c>
      <c r="I39" t="s">
        <v>1470</v>
      </c>
    </row>
    <row r="40" spans="1:9" x14ac:dyDescent="0.25">
      <c r="A40" t="s">
        <v>1471</v>
      </c>
      <c r="B40" t="s">
        <v>144</v>
      </c>
      <c r="C40" t="s">
        <v>1472</v>
      </c>
      <c r="D40">
        <v>96</v>
      </c>
      <c r="E40" t="s">
        <v>1289</v>
      </c>
      <c r="F40">
        <v>2.95</v>
      </c>
      <c r="G40" t="s">
        <v>1473</v>
      </c>
      <c r="H40" t="s">
        <v>1474</v>
      </c>
      <c r="I40" t="s">
        <v>1475</v>
      </c>
    </row>
    <row r="41" spans="1:9" x14ac:dyDescent="0.25">
      <c r="A41" t="s">
        <v>1476</v>
      </c>
      <c r="B41" t="s">
        <v>144</v>
      </c>
      <c r="C41" t="s">
        <v>1477</v>
      </c>
      <c r="D41">
        <v>89</v>
      </c>
      <c r="E41" t="s">
        <v>1289</v>
      </c>
      <c r="F41">
        <v>1.889</v>
      </c>
      <c r="G41" t="s">
        <v>1478</v>
      </c>
      <c r="H41" t="s">
        <v>1479</v>
      </c>
      <c r="I41" t="s">
        <v>1480</v>
      </c>
    </row>
    <row r="42" spans="1:9" x14ac:dyDescent="0.25">
      <c r="A42" t="s">
        <v>1481</v>
      </c>
      <c r="B42" t="s">
        <v>144</v>
      </c>
      <c r="C42" t="s">
        <v>1482</v>
      </c>
      <c r="D42">
        <v>83</v>
      </c>
      <c r="E42" t="s">
        <v>1289</v>
      </c>
      <c r="F42">
        <v>2.9</v>
      </c>
      <c r="G42" t="s">
        <v>1483</v>
      </c>
      <c r="H42" t="s">
        <v>1484</v>
      </c>
      <c r="I42" t="s">
        <v>1485</v>
      </c>
    </row>
    <row r="43" spans="1:9" x14ac:dyDescent="0.25">
      <c r="A43" t="s">
        <v>1486</v>
      </c>
      <c r="B43" t="s">
        <v>144</v>
      </c>
      <c r="C43" t="s">
        <v>1487</v>
      </c>
      <c r="D43">
        <v>54</v>
      </c>
      <c r="E43" t="s">
        <v>1289</v>
      </c>
      <c r="F43">
        <v>2.2999999999999998</v>
      </c>
      <c r="G43" t="s">
        <v>1488</v>
      </c>
      <c r="H43" t="s">
        <v>1489</v>
      </c>
      <c r="I43" t="s">
        <v>1490</v>
      </c>
    </row>
    <row r="44" spans="1:9" x14ac:dyDescent="0.25">
      <c r="A44" t="s">
        <v>1491</v>
      </c>
      <c r="B44" t="s">
        <v>144</v>
      </c>
      <c r="C44" t="s">
        <v>1492</v>
      </c>
      <c r="D44">
        <v>86</v>
      </c>
      <c r="E44" t="s">
        <v>1289</v>
      </c>
      <c r="F44">
        <v>1.9912000000000001</v>
      </c>
      <c r="G44" t="s">
        <v>1483</v>
      </c>
      <c r="H44" t="s">
        <v>1493</v>
      </c>
      <c r="I44" t="s">
        <v>1494</v>
      </c>
    </row>
    <row r="45" spans="1:9" x14ac:dyDescent="0.25">
      <c r="A45" t="s">
        <v>1495</v>
      </c>
      <c r="B45" t="s">
        <v>144</v>
      </c>
      <c r="C45" t="s">
        <v>1496</v>
      </c>
      <c r="D45">
        <v>35</v>
      </c>
      <c r="E45" t="s">
        <v>1289</v>
      </c>
      <c r="F45">
        <v>1.9</v>
      </c>
      <c r="G45" t="s">
        <v>1497</v>
      </c>
      <c r="H45" t="s">
        <v>1498</v>
      </c>
      <c r="I45" t="s">
        <v>1499</v>
      </c>
    </row>
    <row r="46" spans="1:9" x14ac:dyDescent="0.25">
      <c r="A46" t="s">
        <v>1500</v>
      </c>
      <c r="B46" t="s">
        <v>144</v>
      </c>
      <c r="C46" t="s">
        <v>1501</v>
      </c>
      <c r="D46">
        <v>68</v>
      </c>
      <c r="E46" t="s">
        <v>1289</v>
      </c>
      <c r="F46">
        <v>2.4630000000000001</v>
      </c>
      <c r="G46" t="s">
        <v>1502</v>
      </c>
      <c r="H46" t="s">
        <v>1503</v>
      </c>
      <c r="I46" t="s">
        <v>1504</v>
      </c>
    </row>
    <row r="47" spans="1:9" x14ac:dyDescent="0.25">
      <c r="A47" t="s">
        <v>1505</v>
      </c>
      <c r="B47" t="s">
        <v>144</v>
      </c>
      <c r="C47" t="s">
        <v>1506</v>
      </c>
      <c r="D47">
        <v>125</v>
      </c>
      <c r="E47" t="s">
        <v>1289</v>
      </c>
      <c r="F47">
        <v>2.7210000000000001</v>
      </c>
      <c r="G47" t="s">
        <v>1507</v>
      </c>
      <c r="H47" t="s">
        <v>1508</v>
      </c>
      <c r="I47" t="s">
        <v>1509</v>
      </c>
    </row>
    <row r="48" spans="1:9" x14ac:dyDescent="0.25">
      <c r="A48" t="s">
        <v>1510</v>
      </c>
      <c r="B48" t="s">
        <v>144</v>
      </c>
      <c r="C48" t="s">
        <v>1511</v>
      </c>
      <c r="D48">
        <v>56</v>
      </c>
      <c r="E48" t="s">
        <v>1289</v>
      </c>
      <c r="F48">
        <v>2.89</v>
      </c>
      <c r="G48" t="s">
        <v>1512</v>
      </c>
      <c r="H48" t="s">
        <v>1513</v>
      </c>
      <c r="I48" t="s">
        <v>1514</v>
      </c>
    </row>
    <row r="49" spans="1:9" x14ac:dyDescent="0.25">
      <c r="A49" t="s">
        <v>1515</v>
      </c>
      <c r="B49" t="s">
        <v>144</v>
      </c>
      <c r="C49" t="s">
        <v>1516</v>
      </c>
      <c r="D49">
        <v>94</v>
      </c>
      <c r="E49" t="s">
        <v>1289</v>
      </c>
      <c r="F49">
        <v>2.6425999999999998</v>
      </c>
      <c r="G49" t="s">
        <v>1517</v>
      </c>
      <c r="H49" t="s">
        <v>1518</v>
      </c>
      <c r="I49" t="s">
        <v>1519</v>
      </c>
    </row>
    <row r="50" spans="1:9" x14ac:dyDescent="0.25">
      <c r="A50" t="s">
        <v>1520</v>
      </c>
      <c r="B50" t="s">
        <v>144</v>
      </c>
      <c r="C50" t="s">
        <v>1521</v>
      </c>
      <c r="D50">
        <v>101</v>
      </c>
      <c r="E50" t="s">
        <v>1289</v>
      </c>
      <c r="F50">
        <v>2.75</v>
      </c>
      <c r="G50" t="s">
        <v>1522</v>
      </c>
      <c r="H50" t="s">
        <v>1523</v>
      </c>
      <c r="I50" t="s">
        <v>1524</v>
      </c>
    </row>
    <row r="51" spans="1:9" x14ac:dyDescent="0.25">
      <c r="A51" t="s">
        <v>1525</v>
      </c>
      <c r="B51" t="s">
        <v>1526</v>
      </c>
      <c r="C51" t="s">
        <v>1527</v>
      </c>
      <c r="D51">
        <v>44</v>
      </c>
      <c r="E51" t="s">
        <v>1289</v>
      </c>
      <c r="F51">
        <v>2.8839999999999999</v>
      </c>
      <c r="G51" t="s">
        <v>1488</v>
      </c>
      <c r="H51" t="s">
        <v>1528</v>
      </c>
      <c r="I51" t="s">
        <v>1529</v>
      </c>
    </row>
    <row r="52" spans="1:9" x14ac:dyDescent="0.25">
      <c r="A52" t="s">
        <v>1530</v>
      </c>
      <c r="B52" t="s">
        <v>144</v>
      </c>
      <c r="C52" t="s">
        <v>186</v>
      </c>
      <c r="D52">
        <v>107</v>
      </c>
      <c r="E52" t="s">
        <v>1289</v>
      </c>
      <c r="F52">
        <v>2.4900000000000002</v>
      </c>
      <c r="G52" t="s">
        <v>1531</v>
      </c>
      <c r="H52" t="s">
        <v>1532</v>
      </c>
      <c r="I52" t="s">
        <v>1533</v>
      </c>
    </row>
    <row r="53" spans="1:9" x14ac:dyDescent="0.25">
      <c r="A53" t="s">
        <v>1534</v>
      </c>
      <c r="B53" t="s">
        <v>144</v>
      </c>
      <c r="C53" t="s">
        <v>1535</v>
      </c>
      <c r="D53">
        <v>64</v>
      </c>
      <c r="E53" t="s">
        <v>1289</v>
      </c>
      <c r="F53">
        <v>1.8</v>
      </c>
      <c r="G53" t="s">
        <v>1536</v>
      </c>
      <c r="H53" t="s">
        <v>1537</v>
      </c>
      <c r="I53" t="s">
        <v>1538</v>
      </c>
    </row>
    <row r="54" spans="1:9" x14ac:dyDescent="0.25">
      <c r="A54" t="s">
        <v>1539</v>
      </c>
      <c r="B54" t="s">
        <v>149</v>
      </c>
      <c r="C54" t="s">
        <v>1540</v>
      </c>
      <c r="D54">
        <v>107</v>
      </c>
      <c r="E54" t="s">
        <v>1289</v>
      </c>
      <c r="F54">
        <v>3</v>
      </c>
      <c r="G54" t="s">
        <v>1517</v>
      </c>
      <c r="H54" t="s">
        <v>1541</v>
      </c>
      <c r="I54" t="s">
        <v>1542</v>
      </c>
    </row>
    <row r="55" spans="1:9" x14ac:dyDescent="0.25">
      <c r="A55" t="s">
        <v>1543</v>
      </c>
      <c r="B55" t="s">
        <v>1544</v>
      </c>
      <c r="C55" t="s">
        <v>1545</v>
      </c>
      <c r="D55">
        <v>83</v>
      </c>
      <c r="E55" t="s">
        <v>1289</v>
      </c>
      <c r="F55">
        <v>2.121</v>
      </c>
      <c r="G55" t="s">
        <v>1546</v>
      </c>
      <c r="H55" t="s">
        <v>1547</v>
      </c>
      <c r="I55" t="s">
        <v>1548</v>
      </c>
    </row>
    <row r="56" spans="1:9" x14ac:dyDescent="0.25">
      <c r="A56" t="s">
        <v>1549</v>
      </c>
      <c r="B56" t="s">
        <v>144</v>
      </c>
      <c r="C56" t="s">
        <v>1550</v>
      </c>
      <c r="D56">
        <v>73</v>
      </c>
      <c r="E56" t="s">
        <v>1289</v>
      </c>
      <c r="F56">
        <v>2.94</v>
      </c>
      <c r="G56" t="s">
        <v>1551</v>
      </c>
      <c r="H56" t="s">
        <v>1552</v>
      </c>
      <c r="I56" t="s">
        <v>1553</v>
      </c>
    </row>
    <row r="57" spans="1:9" x14ac:dyDescent="0.25">
      <c r="A57" t="s">
        <v>1554</v>
      </c>
      <c r="B57" t="s">
        <v>144</v>
      </c>
      <c r="C57" t="s">
        <v>1555</v>
      </c>
      <c r="D57">
        <v>55</v>
      </c>
      <c r="E57" t="s">
        <v>1289</v>
      </c>
      <c r="F57">
        <v>2.778</v>
      </c>
      <c r="G57" t="s">
        <v>1556</v>
      </c>
      <c r="H57" t="s">
        <v>1557</v>
      </c>
      <c r="I57" t="s">
        <v>1558</v>
      </c>
    </row>
    <row r="58" spans="1:9" x14ac:dyDescent="0.25">
      <c r="A58" t="s">
        <v>1559</v>
      </c>
      <c r="B58" t="s">
        <v>149</v>
      </c>
      <c r="C58" t="s">
        <v>1560</v>
      </c>
      <c r="D58">
        <v>75</v>
      </c>
      <c r="E58" t="s">
        <v>1289</v>
      </c>
      <c r="F58">
        <v>2.8159999999999998</v>
      </c>
      <c r="G58" t="s">
        <v>1561</v>
      </c>
      <c r="H58" t="s">
        <v>1562</v>
      </c>
      <c r="I58" t="s">
        <v>1563</v>
      </c>
    </row>
    <row r="59" spans="1:9" x14ac:dyDescent="0.25">
      <c r="A59" t="s">
        <v>1564</v>
      </c>
      <c r="B59" t="s">
        <v>144</v>
      </c>
      <c r="C59" t="s">
        <v>1565</v>
      </c>
      <c r="D59">
        <v>77</v>
      </c>
      <c r="E59" t="s">
        <v>1289</v>
      </c>
      <c r="F59">
        <v>2.5</v>
      </c>
      <c r="G59" t="s">
        <v>1566</v>
      </c>
      <c r="H59" t="s">
        <v>1567</v>
      </c>
      <c r="I59" t="s">
        <v>1568</v>
      </c>
    </row>
    <row r="60" spans="1:9" x14ac:dyDescent="0.25">
      <c r="A60" t="s">
        <v>1569</v>
      </c>
      <c r="B60" t="s">
        <v>144</v>
      </c>
      <c r="C60" t="s">
        <v>1447</v>
      </c>
      <c r="D60">
        <v>94</v>
      </c>
      <c r="E60" t="s">
        <v>1289</v>
      </c>
      <c r="F60">
        <v>1.71</v>
      </c>
      <c r="G60" t="s">
        <v>1570</v>
      </c>
      <c r="H60" t="s">
        <v>1571</v>
      </c>
      <c r="I60" t="s">
        <v>1572</v>
      </c>
    </row>
    <row r="61" spans="1:9" x14ac:dyDescent="0.25">
      <c r="A61" t="s">
        <v>1573</v>
      </c>
      <c r="B61" t="s">
        <v>144</v>
      </c>
      <c r="C61" t="s">
        <v>1574</v>
      </c>
      <c r="D61">
        <v>71</v>
      </c>
      <c r="E61" t="s">
        <v>1289</v>
      </c>
      <c r="F61">
        <v>2</v>
      </c>
      <c r="G61" t="s">
        <v>1575</v>
      </c>
      <c r="H61" t="s">
        <v>1576</v>
      </c>
      <c r="I61" t="s">
        <v>1577</v>
      </c>
    </row>
    <row r="62" spans="1:9" x14ac:dyDescent="0.25">
      <c r="A62" t="s">
        <v>1578</v>
      </c>
      <c r="B62" t="s">
        <v>144</v>
      </c>
      <c r="C62" t="s">
        <v>1579</v>
      </c>
      <c r="D62">
        <v>77</v>
      </c>
      <c r="E62" t="s">
        <v>1289</v>
      </c>
      <c r="F62">
        <v>2.7989999999999999</v>
      </c>
      <c r="G62" t="s">
        <v>1580</v>
      </c>
      <c r="H62" t="s">
        <v>1581</v>
      </c>
      <c r="I62" t="s">
        <v>1582</v>
      </c>
    </row>
    <row r="63" spans="1:9" x14ac:dyDescent="0.25">
      <c r="A63" t="s">
        <v>1583</v>
      </c>
      <c r="B63" t="s">
        <v>144</v>
      </c>
      <c r="C63" t="s">
        <v>1584</v>
      </c>
      <c r="D63">
        <v>58</v>
      </c>
      <c r="E63" t="s">
        <v>1289</v>
      </c>
      <c r="F63">
        <v>2.2000000000000002</v>
      </c>
      <c r="G63" t="s">
        <v>1585</v>
      </c>
      <c r="H63" t="s">
        <v>1586</v>
      </c>
      <c r="I63" t="s">
        <v>1587</v>
      </c>
    </row>
    <row r="64" spans="1:9" x14ac:dyDescent="0.25">
      <c r="A64" t="s">
        <v>1588</v>
      </c>
      <c r="B64" t="s">
        <v>144</v>
      </c>
      <c r="C64" t="s">
        <v>1589</v>
      </c>
      <c r="D64">
        <v>42</v>
      </c>
      <c r="E64" t="s">
        <v>1289</v>
      </c>
      <c r="F64">
        <v>2.65</v>
      </c>
      <c r="G64" t="s">
        <v>1590</v>
      </c>
      <c r="H64" t="s">
        <v>1591</v>
      </c>
      <c r="I64" t="s">
        <v>1592</v>
      </c>
    </row>
    <row r="65" spans="1:9" x14ac:dyDescent="0.25">
      <c r="A65" t="s">
        <v>1593</v>
      </c>
      <c r="B65" t="s">
        <v>144</v>
      </c>
      <c r="C65" t="s">
        <v>1594</v>
      </c>
      <c r="D65">
        <v>41</v>
      </c>
      <c r="E65" t="s">
        <v>1289</v>
      </c>
      <c r="F65">
        <v>1.91</v>
      </c>
      <c r="G65" t="s">
        <v>1595</v>
      </c>
      <c r="H65" t="s">
        <v>1596</v>
      </c>
      <c r="I65" t="s">
        <v>1597</v>
      </c>
    </row>
    <row r="66" spans="1:9" x14ac:dyDescent="0.25">
      <c r="A66" t="s">
        <v>1598</v>
      </c>
      <c r="B66" t="s">
        <v>144</v>
      </c>
      <c r="C66" t="s">
        <v>1599</v>
      </c>
      <c r="D66">
        <v>69</v>
      </c>
      <c r="E66" t="s">
        <v>1289</v>
      </c>
      <c r="F66">
        <v>2.004</v>
      </c>
      <c r="G66" t="s">
        <v>1600</v>
      </c>
      <c r="H66" t="s">
        <v>1601</v>
      </c>
      <c r="I66" t="s">
        <v>1602</v>
      </c>
    </row>
    <row r="67" spans="1:9" x14ac:dyDescent="0.25">
      <c r="A67" t="s">
        <v>1603</v>
      </c>
      <c r="B67" t="s">
        <v>1352</v>
      </c>
      <c r="C67" t="s">
        <v>1604</v>
      </c>
      <c r="D67">
        <v>71</v>
      </c>
      <c r="E67" t="s">
        <v>1289</v>
      </c>
      <c r="F67">
        <v>3</v>
      </c>
      <c r="G67" t="s">
        <v>1605</v>
      </c>
      <c r="H67" t="s">
        <v>1606</v>
      </c>
      <c r="I67" t="s">
        <v>1607</v>
      </c>
    </row>
    <row r="68" spans="1:9" x14ac:dyDescent="0.25">
      <c r="A68" t="s">
        <v>1608</v>
      </c>
      <c r="B68" t="s">
        <v>144</v>
      </c>
      <c r="C68" t="s">
        <v>1609</v>
      </c>
      <c r="D68">
        <v>95</v>
      </c>
      <c r="E68" t="s">
        <v>1289</v>
      </c>
      <c r="F68">
        <v>2.71</v>
      </c>
      <c r="G68" t="s">
        <v>1575</v>
      </c>
      <c r="H68" t="s">
        <v>1610</v>
      </c>
      <c r="I68" t="s">
        <v>1611</v>
      </c>
    </row>
    <row r="69" spans="1:9" x14ac:dyDescent="0.25">
      <c r="A69" t="s">
        <v>1612</v>
      </c>
      <c r="B69" t="s">
        <v>144</v>
      </c>
      <c r="C69" t="s">
        <v>1613</v>
      </c>
      <c r="D69">
        <v>71</v>
      </c>
      <c r="E69" t="s">
        <v>1289</v>
      </c>
      <c r="F69">
        <v>2.8050000000000002</v>
      </c>
      <c r="G69" t="s">
        <v>1614</v>
      </c>
      <c r="H69" t="s">
        <v>1615</v>
      </c>
      <c r="I69" t="s">
        <v>1616</v>
      </c>
    </row>
    <row r="70" spans="1:9" x14ac:dyDescent="0.25">
      <c r="A70" t="s">
        <v>1617</v>
      </c>
      <c r="B70" t="s">
        <v>149</v>
      </c>
      <c r="C70" t="s">
        <v>1618</v>
      </c>
      <c r="D70">
        <v>85</v>
      </c>
      <c r="E70" t="s">
        <v>1289</v>
      </c>
      <c r="F70">
        <v>2.2999999999999998</v>
      </c>
      <c r="G70" t="s">
        <v>1619</v>
      </c>
      <c r="H70" t="s">
        <v>1620</v>
      </c>
      <c r="I70" t="s">
        <v>1621</v>
      </c>
    </row>
    <row r="71" spans="1:9" x14ac:dyDescent="0.25">
      <c r="A71" t="s">
        <v>1622</v>
      </c>
      <c r="B71" t="s">
        <v>1623</v>
      </c>
      <c r="C71" t="s">
        <v>1624</v>
      </c>
      <c r="D71">
        <v>47</v>
      </c>
      <c r="E71" t="s">
        <v>1289</v>
      </c>
      <c r="F71">
        <v>2.9000991577700002</v>
      </c>
      <c r="G71" t="s">
        <v>1625</v>
      </c>
      <c r="H71" t="s">
        <v>1626</v>
      </c>
      <c r="I71" t="s">
        <v>1627</v>
      </c>
    </row>
    <row r="72" spans="1:9" x14ac:dyDescent="0.25">
      <c r="A72" t="s">
        <v>1628</v>
      </c>
      <c r="B72" t="s">
        <v>1623</v>
      </c>
      <c r="C72" t="s">
        <v>1629</v>
      </c>
      <c r="D72">
        <v>31</v>
      </c>
      <c r="E72" t="s">
        <v>1289</v>
      </c>
      <c r="F72">
        <v>1.7</v>
      </c>
      <c r="G72" t="s">
        <v>1630</v>
      </c>
      <c r="H72" t="s">
        <v>1631</v>
      </c>
      <c r="I72" t="s">
        <v>1632</v>
      </c>
    </row>
    <row r="73" spans="1:9" x14ac:dyDescent="0.25">
      <c r="A73" t="s">
        <v>1633</v>
      </c>
      <c r="B73" t="s">
        <v>1623</v>
      </c>
      <c r="C73" t="s">
        <v>1634</v>
      </c>
      <c r="D73">
        <v>101</v>
      </c>
      <c r="E73" t="s">
        <v>1289</v>
      </c>
      <c r="F73">
        <v>1.891</v>
      </c>
      <c r="G73" t="s">
        <v>1635</v>
      </c>
      <c r="H73" t="s">
        <v>1636</v>
      </c>
      <c r="I73" t="s">
        <v>1637</v>
      </c>
    </row>
    <row r="74" spans="1:9" x14ac:dyDescent="0.25">
      <c r="A74" t="s">
        <v>1638</v>
      </c>
      <c r="B74" t="s">
        <v>144</v>
      </c>
      <c r="C74" t="s">
        <v>1639</v>
      </c>
      <c r="D74">
        <v>117</v>
      </c>
      <c r="E74" t="s">
        <v>1289</v>
      </c>
      <c r="F74">
        <v>2.4900000000000002</v>
      </c>
      <c r="G74" t="s">
        <v>1640</v>
      </c>
      <c r="H74" t="s">
        <v>1641</v>
      </c>
      <c r="I74" t="s">
        <v>1642</v>
      </c>
    </row>
    <row r="75" spans="1:9" x14ac:dyDescent="0.25">
      <c r="A75" t="s">
        <v>1643</v>
      </c>
      <c r="B75" t="s">
        <v>144</v>
      </c>
      <c r="C75" t="s">
        <v>1644</v>
      </c>
      <c r="D75">
        <v>81</v>
      </c>
      <c r="E75" t="s">
        <v>1289</v>
      </c>
      <c r="F75">
        <v>3</v>
      </c>
      <c r="G75" t="s">
        <v>1645</v>
      </c>
      <c r="H75" t="s">
        <v>1646</v>
      </c>
      <c r="I75" t="s">
        <v>1647</v>
      </c>
    </row>
    <row r="76" spans="1:9" x14ac:dyDescent="0.25">
      <c r="A76" t="s">
        <v>1648</v>
      </c>
      <c r="B76" t="s">
        <v>144</v>
      </c>
      <c r="C76" t="s">
        <v>1016</v>
      </c>
      <c r="D76">
        <v>45</v>
      </c>
      <c r="E76" t="s">
        <v>1289</v>
      </c>
      <c r="F76">
        <v>2.9</v>
      </c>
      <c r="G76" t="s">
        <v>1640</v>
      </c>
      <c r="H76" t="s">
        <v>1649</v>
      </c>
      <c r="I76" t="s">
        <v>1650</v>
      </c>
    </row>
    <row r="77" spans="1:9" x14ac:dyDescent="0.25">
      <c r="A77" t="s">
        <v>1651</v>
      </c>
      <c r="B77" t="s">
        <v>144</v>
      </c>
      <c r="C77" t="s">
        <v>1652</v>
      </c>
      <c r="D77">
        <v>102</v>
      </c>
      <c r="E77" t="s">
        <v>1289</v>
      </c>
      <c r="F77">
        <v>2.2000000000000002</v>
      </c>
      <c r="G77" t="s">
        <v>1653</v>
      </c>
      <c r="H77" t="s">
        <v>1654</v>
      </c>
      <c r="I77" t="s">
        <v>1655</v>
      </c>
    </row>
    <row r="78" spans="1:9" x14ac:dyDescent="0.25">
      <c r="A78" t="s">
        <v>1656</v>
      </c>
      <c r="B78" t="s">
        <v>144</v>
      </c>
      <c r="C78" t="s">
        <v>1657</v>
      </c>
      <c r="D78">
        <v>107</v>
      </c>
      <c r="E78" t="s">
        <v>1289</v>
      </c>
      <c r="F78">
        <v>2.8959999999999999</v>
      </c>
      <c r="G78" t="s">
        <v>1653</v>
      </c>
      <c r="H78" t="s">
        <v>1658</v>
      </c>
      <c r="I78" t="s">
        <v>1659</v>
      </c>
    </row>
    <row r="79" spans="1:9" x14ac:dyDescent="0.25">
      <c r="A79" t="s">
        <v>1660</v>
      </c>
      <c r="B79" t="s">
        <v>1661</v>
      </c>
      <c r="C79" t="s">
        <v>1609</v>
      </c>
      <c r="D79">
        <v>95</v>
      </c>
      <c r="E79" t="s">
        <v>1289</v>
      </c>
      <c r="F79">
        <v>2.5499999999999998</v>
      </c>
      <c r="G79" t="s">
        <v>1662</v>
      </c>
      <c r="H79" t="s">
        <v>1663</v>
      </c>
      <c r="I79" t="s">
        <v>1664</v>
      </c>
    </row>
    <row r="80" spans="1:9" x14ac:dyDescent="0.25">
      <c r="A80">
        <v>5.9999999999999999E+84</v>
      </c>
      <c r="B80" t="s">
        <v>144</v>
      </c>
      <c r="C80" t="s">
        <v>1665</v>
      </c>
      <c r="D80">
        <v>36</v>
      </c>
      <c r="E80" t="s">
        <v>1289</v>
      </c>
      <c r="F80">
        <v>2.9009999999999998</v>
      </c>
      <c r="G80" t="s">
        <v>1666</v>
      </c>
      <c r="H80" t="s">
        <v>1667</v>
      </c>
      <c r="I80" t="s">
        <v>1668</v>
      </c>
    </row>
    <row r="81" spans="1:9" x14ac:dyDescent="0.25">
      <c r="A81" t="s">
        <v>1669</v>
      </c>
      <c r="B81" t="s">
        <v>144</v>
      </c>
      <c r="C81" t="s">
        <v>1670</v>
      </c>
      <c r="D81">
        <v>38</v>
      </c>
      <c r="E81" t="s">
        <v>1289</v>
      </c>
      <c r="F81">
        <v>2.35</v>
      </c>
      <c r="G81" t="s">
        <v>1671</v>
      </c>
      <c r="H81" t="s">
        <v>1672</v>
      </c>
      <c r="I81" t="s">
        <v>1673</v>
      </c>
    </row>
    <row r="82" spans="1:9" x14ac:dyDescent="0.25">
      <c r="A82" t="s">
        <v>1674</v>
      </c>
      <c r="B82" t="s">
        <v>131</v>
      </c>
      <c r="C82" t="s">
        <v>951</v>
      </c>
      <c r="D82">
        <v>36</v>
      </c>
      <c r="E82" t="s">
        <v>1289</v>
      </c>
      <c r="F82">
        <v>2.9</v>
      </c>
      <c r="G82" t="s">
        <v>1671</v>
      </c>
      <c r="H82" t="s">
        <v>1675</v>
      </c>
      <c r="I82" t="s">
        <v>1676</v>
      </c>
    </row>
    <row r="83" spans="1:9" x14ac:dyDescent="0.25">
      <c r="A83" t="s">
        <v>1677</v>
      </c>
      <c r="B83" t="s">
        <v>144</v>
      </c>
      <c r="C83" t="s">
        <v>1678</v>
      </c>
      <c r="D83">
        <v>53</v>
      </c>
      <c r="E83" t="s">
        <v>1289</v>
      </c>
      <c r="F83">
        <v>2.4990000000000001</v>
      </c>
      <c r="G83" t="s">
        <v>1679</v>
      </c>
      <c r="H83" t="s">
        <v>1680</v>
      </c>
      <c r="I83" t="s">
        <v>1681</v>
      </c>
    </row>
    <row r="84" spans="1:9" x14ac:dyDescent="0.25">
      <c r="A84" t="s">
        <v>1682</v>
      </c>
      <c r="B84" t="s">
        <v>144</v>
      </c>
      <c r="C84" t="s">
        <v>1683</v>
      </c>
      <c r="D84">
        <v>192</v>
      </c>
      <c r="E84" t="s">
        <v>1289</v>
      </c>
      <c r="F84">
        <v>2.5000361735699999</v>
      </c>
      <c r="G84" t="s">
        <v>1684</v>
      </c>
      <c r="H84" t="s">
        <v>1685</v>
      </c>
      <c r="I84" t="s">
        <v>1686</v>
      </c>
    </row>
    <row r="85" spans="1:9" x14ac:dyDescent="0.25">
      <c r="A85" t="s">
        <v>1687</v>
      </c>
      <c r="B85" t="s">
        <v>144</v>
      </c>
      <c r="C85" t="s">
        <v>1688</v>
      </c>
      <c r="D85">
        <v>31</v>
      </c>
      <c r="E85" t="s">
        <v>1289</v>
      </c>
      <c r="F85">
        <v>1.73</v>
      </c>
      <c r="G85" t="s">
        <v>1671</v>
      </c>
      <c r="H85" t="s">
        <v>1689</v>
      </c>
      <c r="I85" t="s">
        <v>1690</v>
      </c>
    </row>
    <row r="86" spans="1:9" x14ac:dyDescent="0.25">
      <c r="A86" t="s">
        <v>1691</v>
      </c>
      <c r="B86" t="s">
        <v>1623</v>
      </c>
      <c r="C86" t="s">
        <v>1692</v>
      </c>
      <c r="D86">
        <v>82</v>
      </c>
      <c r="E86" t="s">
        <v>1289</v>
      </c>
      <c r="F86">
        <v>2.0590000000000002</v>
      </c>
      <c r="G86" t="s">
        <v>1693</v>
      </c>
      <c r="H86" t="s">
        <v>1694</v>
      </c>
      <c r="I86" t="s">
        <v>1695</v>
      </c>
    </row>
    <row r="87" spans="1:9" x14ac:dyDescent="0.25">
      <c r="A87" t="s">
        <v>1696</v>
      </c>
      <c r="B87" t="s">
        <v>144</v>
      </c>
      <c r="C87" t="s">
        <v>1697</v>
      </c>
      <c r="D87">
        <v>99</v>
      </c>
      <c r="E87" t="s">
        <v>1289</v>
      </c>
      <c r="F87">
        <v>2.85</v>
      </c>
      <c r="G87" t="s">
        <v>1698</v>
      </c>
      <c r="H87" t="s">
        <v>1699</v>
      </c>
      <c r="I87" t="s">
        <v>1700</v>
      </c>
    </row>
    <row r="88" spans="1:9" x14ac:dyDescent="0.25">
      <c r="A88" t="s">
        <v>1701</v>
      </c>
      <c r="B88" t="s">
        <v>144</v>
      </c>
      <c r="C88" t="s">
        <v>1702</v>
      </c>
      <c r="D88">
        <v>126</v>
      </c>
      <c r="E88" t="s">
        <v>1289</v>
      </c>
      <c r="F88">
        <v>2.7080000000000002</v>
      </c>
      <c r="G88" t="s">
        <v>1703</v>
      </c>
      <c r="H88" t="s">
        <v>1704</v>
      </c>
      <c r="I88" t="s">
        <v>1705</v>
      </c>
    </row>
    <row r="89" spans="1:9" x14ac:dyDescent="0.25">
      <c r="A89" t="s">
        <v>1706</v>
      </c>
      <c r="B89" t="s">
        <v>128</v>
      </c>
      <c r="C89" t="s">
        <v>1707</v>
      </c>
      <c r="D89">
        <v>112</v>
      </c>
      <c r="E89" t="s">
        <v>1289</v>
      </c>
      <c r="F89">
        <v>2.74</v>
      </c>
      <c r="G89" t="s">
        <v>1708</v>
      </c>
      <c r="H89" t="s">
        <v>1709</v>
      </c>
      <c r="I89" t="s">
        <v>1710</v>
      </c>
    </row>
    <row r="90" spans="1:9" x14ac:dyDescent="0.25">
      <c r="A90" t="s">
        <v>1711</v>
      </c>
      <c r="B90" t="s">
        <v>144</v>
      </c>
      <c r="C90" t="s">
        <v>1712</v>
      </c>
      <c r="D90">
        <v>69</v>
      </c>
      <c r="E90" t="s">
        <v>1289</v>
      </c>
      <c r="F90">
        <v>2.8029999999999999</v>
      </c>
      <c r="G90" t="s">
        <v>1713</v>
      </c>
      <c r="H90" t="s">
        <v>1714</v>
      </c>
      <c r="I90" t="s">
        <v>1715</v>
      </c>
    </row>
    <row r="91" spans="1:9" x14ac:dyDescent="0.25">
      <c r="A91" t="s">
        <v>1716</v>
      </c>
      <c r="B91" t="s">
        <v>1623</v>
      </c>
      <c r="C91" t="s">
        <v>1717</v>
      </c>
      <c r="D91">
        <v>75</v>
      </c>
      <c r="E91" t="s">
        <v>1289</v>
      </c>
      <c r="F91">
        <v>2.6570336288799998</v>
      </c>
      <c r="G91" t="s">
        <v>1718</v>
      </c>
      <c r="H91" t="s">
        <v>1719</v>
      </c>
      <c r="I91" t="s">
        <v>1720</v>
      </c>
    </row>
    <row r="92" spans="1:9" x14ac:dyDescent="0.25">
      <c r="A92" t="s">
        <v>1721</v>
      </c>
      <c r="B92" t="s">
        <v>128</v>
      </c>
      <c r="C92" t="s">
        <v>1722</v>
      </c>
      <c r="D92">
        <v>37</v>
      </c>
      <c r="E92" t="s">
        <v>1289</v>
      </c>
      <c r="F92">
        <v>3</v>
      </c>
      <c r="G92" t="s">
        <v>1666</v>
      </c>
      <c r="H92" t="s">
        <v>1723</v>
      </c>
      <c r="I92" t="s">
        <v>1724</v>
      </c>
    </row>
    <row r="93" spans="1:9" x14ac:dyDescent="0.25">
      <c r="A93" t="s">
        <v>1725</v>
      </c>
      <c r="B93" t="s">
        <v>144</v>
      </c>
      <c r="C93" t="s">
        <v>550</v>
      </c>
      <c r="D93">
        <v>58</v>
      </c>
      <c r="E93" t="s">
        <v>1289</v>
      </c>
      <c r="F93">
        <v>2.71</v>
      </c>
      <c r="G93" t="s">
        <v>1726</v>
      </c>
      <c r="H93" t="s">
        <v>1727</v>
      </c>
      <c r="I93" t="s">
        <v>1728</v>
      </c>
    </row>
    <row r="94" spans="1:9" x14ac:dyDescent="0.25">
      <c r="A94" t="s">
        <v>1729</v>
      </c>
      <c r="B94" t="s">
        <v>1623</v>
      </c>
      <c r="C94" t="s">
        <v>1730</v>
      </c>
      <c r="D94">
        <v>50</v>
      </c>
      <c r="E94" t="s">
        <v>1289</v>
      </c>
      <c r="F94">
        <v>2.2999999999999998</v>
      </c>
      <c r="G94" t="s">
        <v>1693</v>
      </c>
      <c r="H94" t="s">
        <v>1731</v>
      </c>
      <c r="I94" t="s">
        <v>1732</v>
      </c>
    </row>
    <row r="95" spans="1:9" x14ac:dyDescent="0.25">
      <c r="A95" t="s">
        <v>1733</v>
      </c>
      <c r="B95" t="s">
        <v>144</v>
      </c>
      <c r="C95" t="s">
        <v>1734</v>
      </c>
      <c r="D95">
        <v>52</v>
      </c>
      <c r="E95" t="s">
        <v>1289</v>
      </c>
      <c r="F95">
        <v>2.4500000000000002</v>
      </c>
      <c r="G95" t="s">
        <v>1735</v>
      </c>
      <c r="H95" t="s">
        <v>1736</v>
      </c>
      <c r="I95" t="s">
        <v>1737</v>
      </c>
    </row>
    <row r="96" spans="1:9" x14ac:dyDescent="0.25">
      <c r="A96" t="s">
        <v>1738</v>
      </c>
      <c r="B96" t="s">
        <v>1623</v>
      </c>
      <c r="C96" t="s">
        <v>1739</v>
      </c>
      <c r="D96">
        <v>77</v>
      </c>
      <c r="E96" t="s">
        <v>1289</v>
      </c>
      <c r="F96">
        <v>2.9289999999999998</v>
      </c>
      <c r="G96" t="s">
        <v>1718</v>
      </c>
      <c r="H96" t="s">
        <v>1740</v>
      </c>
      <c r="I96" t="s">
        <v>1741</v>
      </c>
    </row>
    <row r="97" spans="1:9" x14ac:dyDescent="0.25">
      <c r="A97" t="s">
        <v>1742</v>
      </c>
      <c r="B97" t="s">
        <v>144</v>
      </c>
      <c r="C97" t="s">
        <v>1743</v>
      </c>
      <c r="D97">
        <v>77</v>
      </c>
      <c r="E97" t="s">
        <v>1289</v>
      </c>
      <c r="F97">
        <v>1.95</v>
      </c>
      <c r="G97" t="s">
        <v>1744</v>
      </c>
      <c r="H97" t="s">
        <v>1745</v>
      </c>
      <c r="I97" t="s">
        <v>1746</v>
      </c>
    </row>
    <row r="98" spans="1:9" x14ac:dyDescent="0.25">
      <c r="A98" t="s">
        <v>1747</v>
      </c>
      <c r="B98" t="s">
        <v>144</v>
      </c>
      <c r="C98" t="s">
        <v>1748</v>
      </c>
      <c r="D98">
        <v>31</v>
      </c>
      <c r="E98" t="s">
        <v>1289</v>
      </c>
      <c r="F98">
        <v>1.6</v>
      </c>
      <c r="G98" t="s">
        <v>1744</v>
      </c>
      <c r="H98" t="s">
        <v>1749</v>
      </c>
      <c r="I98" t="s">
        <v>1750</v>
      </c>
    </row>
    <row r="99" spans="1:9" x14ac:dyDescent="0.25">
      <c r="A99" t="s">
        <v>1751</v>
      </c>
      <c r="B99" t="s">
        <v>1752</v>
      </c>
      <c r="C99" t="s">
        <v>1753</v>
      </c>
      <c r="D99">
        <v>28</v>
      </c>
      <c r="E99" t="s">
        <v>1289</v>
      </c>
      <c r="F99">
        <v>2.4</v>
      </c>
      <c r="G99" t="s">
        <v>1754</v>
      </c>
      <c r="H99" t="s">
        <v>1755</v>
      </c>
      <c r="I99" t="s">
        <v>1756</v>
      </c>
    </row>
    <row r="100" spans="1:9" x14ac:dyDescent="0.25">
      <c r="A100" t="s">
        <v>1757</v>
      </c>
      <c r="B100" t="s">
        <v>1758</v>
      </c>
      <c r="C100" t="s">
        <v>1759</v>
      </c>
      <c r="D100">
        <v>35</v>
      </c>
      <c r="E100" t="s">
        <v>1289</v>
      </c>
      <c r="F100">
        <v>1.7</v>
      </c>
      <c r="G100" t="s">
        <v>1760</v>
      </c>
      <c r="H100" t="s">
        <v>1761</v>
      </c>
      <c r="I100" t="s">
        <v>1762</v>
      </c>
    </row>
    <row r="101" spans="1:9" x14ac:dyDescent="0.25">
      <c r="A101" t="s">
        <v>1763</v>
      </c>
      <c r="B101" t="s">
        <v>144</v>
      </c>
      <c r="C101" t="s">
        <v>1764</v>
      </c>
      <c r="D101">
        <v>51</v>
      </c>
      <c r="E101" t="s">
        <v>1289</v>
      </c>
      <c r="F101">
        <v>2.391</v>
      </c>
      <c r="G101" t="s">
        <v>1765</v>
      </c>
      <c r="H101" t="s">
        <v>1766</v>
      </c>
      <c r="I101" t="s">
        <v>1767</v>
      </c>
    </row>
    <row r="102" spans="1:9" x14ac:dyDescent="0.25">
      <c r="A102" t="s">
        <v>1768</v>
      </c>
      <c r="B102" t="s">
        <v>144</v>
      </c>
      <c r="C102" t="s">
        <v>1769</v>
      </c>
      <c r="D102">
        <v>50</v>
      </c>
      <c r="E102" t="s">
        <v>1289</v>
      </c>
      <c r="F102">
        <v>2.4889999999999999</v>
      </c>
      <c r="G102" t="s">
        <v>1765</v>
      </c>
      <c r="H102" t="s">
        <v>1770</v>
      </c>
      <c r="I102" t="s">
        <v>1771</v>
      </c>
    </row>
    <row r="103" spans="1:9" x14ac:dyDescent="0.25">
      <c r="A103" t="s">
        <v>1772</v>
      </c>
      <c r="B103" t="s">
        <v>144</v>
      </c>
      <c r="C103" t="s">
        <v>1773</v>
      </c>
      <c r="D103">
        <v>33</v>
      </c>
      <c r="E103" t="s">
        <v>1289</v>
      </c>
      <c r="F103">
        <v>2.8</v>
      </c>
      <c r="G103" t="s">
        <v>1774</v>
      </c>
      <c r="H103" t="s">
        <v>1775</v>
      </c>
      <c r="I103" t="s">
        <v>1776</v>
      </c>
    </row>
    <row r="104" spans="1:9" x14ac:dyDescent="0.25">
      <c r="A104" t="s">
        <v>1777</v>
      </c>
      <c r="B104" t="s">
        <v>144</v>
      </c>
      <c r="C104" t="s">
        <v>1778</v>
      </c>
      <c r="D104">
        <v>45</v>
      </c>
      <c r="E104" t="s">
        <v>1289</v>
      </c>
      <c r="F104">
        <v>2.66</v>
      </c>
      <c r="G104" t="s">
        <v>1779</v>
      </c>
      <c r="H104" t="s">
        <v>1780</v>
      </c>
      <c r="I104" t="s">
        <v>1781</v>
      </c>
    </row>
    <row r="105" spans="1:9" x14ac:dyDescent="0.25">
      <c r="A105" t="s">
        <v>1782</v>
      </c>
      <c r="B105" t="s">
        <v>144</v>
      </c>
      <c r="C105" t="s">
        <v>1783</v>
      </c>
      <c r="D105">
        <v>48</v>
      </c>
      <c r="E105" t="s">
        <v>1289</v>
      </c>
      <c r="F105">
        <v>2.2999999999999998</v>
      </c>
      <c r="G105" t="s">
        <v>1784</v>
      </c>
      <c r="H105" t="s">
        <v>1785</v>
      </c>
      <c r="I105" t="s">
        <v>1786</v>
      </c>
    </row>
    <row r="106" spans="1:9" x14ac:dyDescent="0.25">
      <c r="A106" t="s">
        <v>1787</v>
      </c>
      <c r="B106" t="s">
        <v>144</v>
      </c>
      <c r="C106" t="s">
        <v>1788</v>
      </c>
      <c r="D106">
        <v>76</v>
      </c>
      <c r="E106" t="s">
        <v>1289</v>
      </c>
      <c r="F106">
        <v>2.0430000000000001</v>
      </c>
      <c r="G106" t="s">
        <v>1789</v>
      </c>
      <c r="H106" t="s">
        <v>1790</v>
      </c>
      <c r="I106" t="s">
        <v>1791</v>
      </c>
    </row>
    <row r="107" spans="1:9" x14ac:dyDescent="0.25">
      <c r="A107" t="s">
        <v>1792</v>
      </c>
      <c r="B107" t="s">
        <v>1623</v>
      </c>
      <c r="C107" t="s">
        <v>1793</v>
      </c>
      <c r="D107">
        <v>51</v>
      </c>
      <c r="E107" t="s">
        <v>1289</v>
      </c>
      <c r="F107">
        <v>2.6040000000000001</v>
      </c>
      <c r="G107" t="s">
        <v>1794</v>
      </c>
      <c r="H107" t="s">
        <v>1795</v>
      </c>
      <c r="I107" t="s">
        <v>1796</v>
      </c>
    </row>
    <row r="108" spans="1:9" x14ac:dyDescent="0.25">
      <c r="A108" t="s">
        <v>1797</v>
      </c>
      <c r="B108" t="s">
        <v>144</v>
      </c>
      <c r="C108" t="s">
        <v>1798</v>
      </c>
      <c r="D108">
        <v>51</v>
      </c>
      <c r="E108" t="s">
        <v>1289</v>
      </c>
      <c r="F108">
        <v>2.16</v>
      </c>
      <c r="G108" t="s">
        <v>1799</v>
      </c>
      <c r="H108" t="s">
        <v>1800</v>
      </c>
      <c r="I108" t="s">
        <v>1801</v>
      </c>
    </row>
    <row r="109" spans="1:9" x14ac:dyDescent="0.25">
      <c r="A109" t="s">
        <v>1802</v>
      </c>
      <c r="B109" t="s">
        <v>144</v>
      </c>
      <c r="C109" t="s">
        <v>1803</v>
      </c>
      <c r="D109">
        <v>90</v>
      </c>
      <c r="E109" t="s">
        <v>1289</v>
      </c>
      <c r="F109">
        <v>2.1</v>
      </c>
      <c r="G109" t="s">
        <v>1804</v>
      </c>
      <c r="H109" t="s">
        <v>1805</v>
      </c>
      <c r="I109" t="s">
        <v>1806</v>
      </c>
    </row>
    <row r="110" spans="1:9" x14ac:dyDescent="0.25">
      <c r="A110" t="s">
        <v>1807</v>
      </c>
      <c r="B110" t="s">
        <v>149</v>
      </c>
      <c r="C110" t="s">
        <v>1808</v>
      </c>
      <c r="D110">
        <v>83</v>
      </c>
      <c r="E110" t="s">
        <v>1289</v>
      </c>
      <c r="F110">
        <v>2.73</v>
      </c>
      <c r="G110" t="s">
        <v>1789</v>
      </c>
      <c r="H110" t="s">
        <v>1809</v>
      </c>
      <c r="I110" t="s">
        <v>1810</v>
      </c>
    </row>
    <row r="111" spans="1:9" x14ac:dyDescent="0.25">
      <c r="A111" t="s">
        <v>1811</v>
      </c>
      <c r="B111" t="s">
        <v>144</v>
      </c>
      <c r="C111" t="s">
        <v>1812</v>
      </c>
      <c r="D111">
        <v>66</v>
      </c>
      <c r="E111" t="s">
        <v>1289</v>
      </c>
      <c r="F111">
        <v>1.31</v>
      </c>
      <c r="G111" t="s">
        <v>1813</v>
      </c>
      <c r="H111" t="s">
        <v>1814</v>
      </c>
      <c r="I111" t="s">
        <v>1815</v>
      </c>
    </row>
    <row r="112" spans="1:9" x14ac:dyDescent="0.25">
      <c r="A112" t="s">
        <v>1816</v>
      </c>
      <c r="B112" t="s">
        <v>1817</v>
      </c>
      <c r="C112" t="s">
        <v>1818</v>
      </c>
      <c r="D112">
        <v>128</v>
      </c>
      <c r="E112" t="s">
        <v>1289</v>
      </c>
      <c r="F112">
        <v>2.7</v>
      </c>
      <c r="G112" t="s">
        <v>1819</v>
      </c>
      <c r="H112" t="s">
        <v>1820</v>
      </c>
      <c r="I112" t="s">
        <v>1821</v>
      </c>
    </row>
    <row r="113" spans="1:9" x14ac:dyDescent="0.25">
      <c r="A113" t="s">
        <v>1822</v>
      </c>
      <c r="B113" t="s">
        <v>144</v>
      </c>
      <c r="C113" t="s">
        <v>1823</v>
      </c>
      <c r="D113">
        <v>52</v>
      </c>
      <c r="E113" t="s">
        <v>1289</v>
      </c>
      <c r="F113">
        <v>2.8</v>
      </c>
      <c r="G113" t="s">
        <v>1824</v>
      </c>
      <c r="H113" t="s">
        <v>1825</v>
      </c>
      <c r="I113" t="s">
        <v>1826</v>
      </c>
    </row>
    <row r="114" spans="1:9" x14ac:dyDescent="0.25">
      <c r="A114" t="s">
        <v>1827</v>
      </c>
      <c r="B114" t="s">
        <v>149</v>
      </c>
      <c r="C114" t="s">
        <v>1828</v>
      </c>
      <c r="D114">
        <v>86</v>
      </c>
      <c r="E114" t="s">
        <v>1289</v>
      </c>
      <c r="F114">
        <v>2.9510000000000001</v>
      </c>
      <c r="G114" t="s">
        <v>1829</v>
      </c>
      <c r="H114" t="s">
        <v>1830</v>
      </c>
      <c r="I114" t="s">
        <v>1831</v>
      </c>
    </row>
    <row r="115" spans="1:9" x14ac:dyDescent="0.25">
      <c r="A115" t="s">
        <v>1832</v>
      </c>
      <c r="B115" t="s">
        <v>1833</v>
      </c>
      <c r="C115" t="s">
        <v>1834</v>
      </c>
      <c r="D115">
        <v>90</v>
      </c>
      <c r="E115" t="s">
        <v>1835</v>
      </c>
      <c r="F115">
        <v>2.6</v>
      </c>
      <c r="G115" t="s">
        <v>1836</v>
      </c>
      <c r="H115" t="s">
        <v>1837</v>
      </c>
      <c r="I115" t="s">
        <v>1838</v>
      </c>
    </row>
    <row r="116" spans="1:9" x14ac:dyDescent="0.25">
      <c r="A116" t="s">
        <v>1839</v>
      </c>
      <c r="B116" t="s">
        <v>144</v>
      </c>
      <c r="C116" t="s">
        <v>1428</v>
      </c>
      <c r="D116">
        <v>68</v>
      </c>
      <c r="E116" t="s">
        <v>1289</v>
      </c>
      <c r="F116">
        <v>2.2999999999999998</v>
      </c>
      <c r="G116" t="s">
        <v>1840</v>
      </c>
      <c r="H116" t="s">
        <v>1841</v>
      </c>
      <c r="I116" t="s">
        <v>1842</v>
      </c>
    </row>
    <row r="117" spans="1:9" x14ac:dyDescent="0.25">
      <c r="A117" t="s">
        <v>1843</v>
      </c>
      <c r="B117" t="s">
        <v>1413</v>
      </c>
      <c r="C117" t="s">
        <v>1798</v>
      </c>
      <c r="D117">
        <v>50</v>
      </c>
      <c r="E117" t="s">
        <v>1289</v>
      </c>
      <c r="F117">
        <v>2.9</v>
      </c>
      <c r="G117" t="s">
        <v>1844</v>
      </c>
      <c r="H117" t="s">
        <v>1845</v>
      </c>
      <c r="I117" t="s">
        <v>1846</v>
      </c>
    </row>
    <row r="118" spans="1:9" x14ac:dyDescent="0.25">
      <c r="A118" t="s">
        <v>1847</v>
      </c>
      <c r="B118" t="s">
        <v>144</v>
      </c>
      <c r="C118" t="s">
        <v>1848</v>
      </c>
      <c r="D118">
        <v>33</v>
      </c>
      <c r="E118" t="s">
        <v>1289</v>
      </c>
      <c r="F118">
        <v>1.44</v>
      </c>
      <c r="G118" t="s">
        <v>1849</v>
      </c>
      <c r="H118" t="s">
        <v>1850</v>
      </c>
      <c r="I118" t="s">
        <v>1851</v>
      </c>
    </row>
    <row r="119" spans="1:9" x14ac:dyDescent="0.25">
      <c r="A119" t="s">
        <v>1852</v>
      </c>
      <c r="B119" t="s">
        <v>1623</v>
      </c>
      <c r="C119" t="s">
        <v>1853</v>
      </c>
      <c r="D119">
        <v>49</v>
      </c>
      <c r="E119" t="s">
        <v>1289</v>
      </c>
      <c r="F119">
        <v>1.95</v>
      </c>
      <c r="G119" t="s">
        <v>1854</v>
      </c>
      <c r="H119" t="s">
        <v>1855</v>
      </c>
      <c r="I119" t="s">
        <v>1856</v>
      </c>
    </row>
    <row r="120" spans="1:9" x14ac:dyDescent="0.25">
      <c r="A120" t="s">
        <v>1857</v>
      </c>
      <c r="B120" t="s">
        <v>1623</v>
      </c>
      <c r="C120" t="s">
        <v>1853</v>
      </c>
      <c r="D120">
        <v>49</v>
      </c>
      <c r="E120" t="s">
        <v>1289</v>
      </c>
      <c r="F120">
        <v>2.85</v>
      </c>
      <c r="G120" t="s">
        <v>1854</v>
      </c>
      <c r="H120" t="s">
        <v>1858</v>
      </c>
      <c r="I120" t="s">
        <v>1859</v>
      </c>
    </row>
    <row r="121" spans="1:9" x14ac:dyDescent="0.25">
      <c r="A121" t="s">
        <v>1860</v>
      </c>
      <c r="B121" t="s">
        <v>144</v>
      </c>
      <c r="C121" t="s">
        <v>1861</v>
      </c>
      <c r="D121">
        <v>30</v>
      </c>
      <c r="E121" t="s">
        <v>1289</v>
      </c>
      <c r="F121">
        <v>2.2999999999999998</v>
      </c>
      <c r="G121" t="s">
        <v>1862</v>
      </c>
      <c r="H121" t="s">
        <v>1863</v>
      </c>
      <c r="I121" t="s">
        <v>1864</v>
      </c>
    </row>
    <row r="122" spans="1:9" x14ac:dyDescent="0.25">
      <c r="A122" t="s">
        <v>1865</v>
      </c>
      <c r="B122" t="s">
        <v>144</v>
      </c>
      <c r="C122" t="s">
        <v>1866</v>
      </c>
      <c r="D122">
        <v>55</v>
      </c>
      <c r="E122" t="s">
        <v>1289</v>
      </c>
      <c r="F122">
        <v>2.2999999999999998</v>
      </c>
      <c r="G122" t="s">
        <v>1867</v>
      </c>
      <c r="H122" t="s">
        <v>1868</v>
      </c>
      <c r="I122" t="s">
        <v>1869</v>
      </c>
    </row>
    <row r="123" spans="1:9" x14ac:dyDescent="0.25">
      <c r="A123" t="s">
        <v>1870</v>
      </c>
      <c r="B123" t="s">
        <v>1623</v>
      </c>
      <c r="C123" t="s">
        <v>1665</v>
      </c>
      <c r="D123">
        <v>35</v>
      </c>
      <c r="E123" t="s">
        <v>1289</v>
      </c>
      <c r="F123">
        <v>1.59</v>
      </c>
      <c r="G123" t="s">
        <v>1871</v>
      </c>
      <c r="H123" t="s">
        <v>1872</v>
      </c>
      <c r="I123" t="s">
        <v>1873</v>
      </c>
    </row>
    <row r="124" spans="1:9" x14ac:dyDescent="0.25">
      <c r="A124" t="s">
        <v>1874</v>
      </c>
      <c r="B124" t="s">
        <v>144</v>
      </c>
      <c r="C124" t="s">
        <v>1875</v>
      </c>
      <c r="D124">
        <v>46</v>
      </c>
      <c r="E124" t="s">
        <v>1289</v>
      </c>
      <c r="F124">
        <v>1.94</v>
      </c>
      <c r="G124" t="s">
        <v>1876</v>
      </c>
      <c r="H124" t="s">
        <v>1877</v>
      </c>
      <c r="I124" t="s">
        <v>1878</v>
      </c>
    </row>
    <row r="125" spans="1:9" x14ac:dyDescent="0.25">
      <c r="A125" t="s">
        <v>1879</v>
      </c>
      <c r="B125" t="s">
        <v>144</v>
      </c>
      <c r="C125" t="s">
        <v>1880</v>
      </c>
      <c r="D125">
        <v>56</v>
      </c>
      <c r="E125" t="s">
        <v>1289</v>
      </c>
      <c r="F125">
        <v>2.4300000000000002</v>
      </c>
      <c r="G125" t="s">
        <v>1881</v>
      </c>
      <c r="H125" t="s">
        <v>1882</v>
      </c>
      <c r="I125" t="s">
        <v>1883</v>
      </c>
    </row>
    <row r="126" spans="1:9" x14ac:dyDescent="0.25">
      <c r="A126" t="s">
        <v>1884</v>
      </c>
      <c r="B126" t="s">
        <v>144</v>
      </c>
      <c r="C126" t="s">
        <v>1853</v>
      </c>
      <c r="D126">
        <v>49</v>
      </c>
      <c r="E126" t="s">
        <v>1289</v>
      </c>
      <c r="F126">
        <v>2.2400000000000002</v>
      </c>
      <c r="G126" t="s">
        <v>1885</v>
      </c>
      <c r="H126" t="s">
        <v>1886</v>
      </c>
      <c r="I126" t="s">
        <v>1887</v>
      </c>
    </row>
    <row r="127" spans="1:9" x14ac:dyDescent="0.25">
      <c r="A127" t="s">
        <v>1888</v>
      </c>
      <c r="B127" t="s">
        <v>144</v>
      </c>
      <c r="C127" t="s">
        <v>1880</v>
      </c>
      <c r="D127">
        <v>56</v>
      </c>
      <c r="E127" t="s">
        <v>1289</v>
      </c>
      <c r="F127">
        <v>2.95</v>
      </c>
      <c r="G127" t="s">
        <v>1889</v>
      </c>
      <c r="H127" t="s">
        <v>1890</v>
      </c>
      <c r="I127" t="s">
        <v>1891</v>
      </c>
    </row>
    <row r="128" spans="1:9" x14ac:dyDescent="0.25">
      <c r="A128" t="s">
        <v>1892</v>
      </c>
      <c r="B128" t="s">
        <v>144</v>
      </c>
      <c r="C128" t="s">
        <v>1893</v>
      </c>
      <c r="D128">
        <v>72</v>
      </c>
      <c r="E128" t="s">
        <v>1289</v>
      </c>
      <c r="F128">
        <v>2.11</v>
      </c>
      <c r="G128" t="s">
        <v>1894</v>
      </c>
      <c r="H128" t="s">
        <v>1895</v>
      </c>
      <c r="I128" t="s">
        <v>1896</v>
      </c>
    </row>
    <row r="129" spans="1:9" x14ac:dyDescent="0.25">
      <c r="A129" t="s">
        <v>1897</v>
      </c>
      <c r="B129" t="s">
        <v>1623</v>
      </c>
      <c r="C129" t="s">
        <v>1898</v>
      </c>
      <c r="D129">
        <v>210</v>
      </c>
      <c r="E129" t="s">
        <v>1835</v>
      </c>
      <c r="F129">
        <v>3</v>
      </c>
      <c r="G129" t="s">
        <v>1899</v>
      </c>
      <c r="H129" t="s">
        <v>1900</v>
      </c>
      <c r="I129" t="s">
        <v>1901</v>
      </c>
    </row>
    <row r="130" spans="1:9" x14ac:dyDescent="0.25">
      <c r="A130" t="s">
        <v>1902</v>
      </c>
      <c r="B130" t="s">
        <v>128</v>
      </c>
      <c r="C130" t="s">
        <v>1903</v>
      </c>
      <c r="D130">
        <v>153</v>
      </c>
      <c r="E130" t="s">
        <v>1289</v>
      </c>
      <c r="F130">
        <v>2.92</v>
      </c>
      <c r="G130" t="s">
        <v>1904</v>
      </c>
      <c r="H130" t="s">
        <v>1905</v>
      </c>
      <c r="I130" t="s">
        <v>1906</v>
      </c>
    </row>
    <row r="131" spans="1:9" x14ac:dyDescent="0.25">
      <c r="A131" t="s">
        <v>1907</v>
      </c>
      <c r="B131" t="s">
        <v>144</v>
      </c>
      <c r="C131" t="s">
        <v>1908</v>
      </c>
      <c r="D131">
        <v>124</v>
      </c>
      <c r="E131" t="s">
        <v>1835</v>
      </c>
      <c r="F131">
        <v>2.98</v>
      </c>
      <c r="G131" t="s">
        <v>1894</v>
      </c>
      <c r="H131" t="s">
        <v>1909</v>
      </c>
      <c r="I131" t="s">
        <v>1910</v>
      </c>
    </row>
    <row r="132" spans="1:9" x14ac:dyDescent="0.25">
      <c r="A132" t="s">
        <v>1911</v>
      </c>
      <c r="B132" t="s">
        <v>144</v>
      </c>
      <c r="C132" t="s">
        <v>1912</v>
      </c>
      <c r="D132">
        <v>36</v>
      </c>
      <c r="E132" t="s">
        <v>1289</v>
      </c>
      <c r="F132">
        <v>1.7</v>
      </c>
      <c r="G132" t="s">
        <v>1876</v>
      </c>
      <c r="H132" t="s">
        <v>1913</v>
      </c>
      <c r="I132" t="s">
        <v>1914</v>
      </c>
    </row>
    <row r="133" spans="1:9" x14ac:dyDescent="0.25">
      <c r="A133" t="s">
        <v>1915</v>
      </c>
      <c r="B133" t="s">
        <v>144</v>
      </c>
      <c r="C133" t="s">
        <v>1916</v>
      </c>
      <c r="D133">
        <v>36</v>
      </c>
      <c r="E133" t="s">
        <v>1289</v>
      </c>
      <c r="F133">
        <v>2.5</v>
      </c>
      <c r="G133" t="s">
        <v>1876</v>
      </c>
      <c r="H133" t="s">
        <v>1917</v>
      </c>
      <c r="I133" t="s">
        <v>1918</v>
      </c>
    </row>
    <row r="134" spans="1:9" x14ac:dyDescent="0.25">
      <c r="A134" t="s">
        <v>1919</v>
      </c>
      <c r="B134" t="s">
        <v>144</v>
      </c>
      <c r="C134" t="s">
        <v>1920</v>
      </c>
      <c r="D134">
        <v>134</v>
      </c>
      <c r="E134" t="s">
        <v>1289</v>
      </c>
      <c r="F134">
        <v>2.85</v>
      </c>
      <c r="G134" t="s">
        <v>1921</v>
      </c>
      <c r="H134" t="s">
        <v>1922</v>
      </c>
      <c r="I134" t="s">
        <v>1923</v>
      </c>
    </row>
    <row r="135" spans="1:9" x14ac:dyDescent="0.25">
      <c r="A135" t="s">
        <v>1924</v>
      </c>
      <c r="B135" t="s">
        <v>144</v>
      </c>
      <c r="C135" t="s">
        <v>1613</v>
      </c>
      <c r="D135">
        <v>71</v>
      </c>
      <c r="E135" t="s">
        <v>1835</v>
      </c>
      <c r="F135">
        <v>2.8</v>
      </c>
      <c r="G135" t="s">
        <v>1925</v>
      </c>
      <c r="H135" t="s">
        <v>1926</v>
      </c>
      <c r="I135" t="s">
        <v>1927</v>
      </c>
    </row>
    <row r="136" spans="1:9" x14ac:dyDescent="0.25">
      <c r="A136" t="s">
        <v>1928</v>
      </c>
      <c r="B136" t="s">
        <v>128</v>
      </c>
      <c r="C136" t="s">
        <v>1893</v>
      </c>
      <c r="D136">
        <v>72</v>
      </c>
      <c r="E136" t="s">
        <v>1835</v>
      </c>
      <c r="F136">
        <v>2.8</v>
      </c>
      <c r="G136" t="s">
        <v>1929</v>
      </c>
      <c r="H136" t="s">
        <v>1930</v>
      </c>
      <c r="I136" t="s">
        <v>1931</v>
      </c>
    </row>
    <row r="137" spans="1:9" x14ac:dyDescent="0.25">
      <c r="A137" t="s">
        <v>1932</v>
      </c>
      <c r="B137" t="s">
        <v>144</v>
      </c>
      <c r="C137" t="s">
        <v>1933</v>
      </c>
      <c r="D137">
        <v>75</v>
      </c>
      <c r="E137" t="s">
        <v>1289</v>
      </c>
      <c r="F137">
        <v>2.89</v>
      </c>
      <c r="G137" t="s">
        <v>1934</v>
      </c>
      <c r="H137" t="s">
        <v>1935</v>
      </c>
      <c r="I137" t="s">
        <v>1936</v>
      </c>
    </row>
    <row r="138" spans="1:9" x14ac:dyDescent="0.25">
      <c r="A138" t="s">
        <v>1937</v>
      </c>
      <c r="B138" t="s">
        <v>144</v>
      </c>
      <c r="C138" t="s">
        <v>1938</v>
      </c>
      <c r="D138">
        <v>60</v>
      </c>
      <c r="E138" t="s">
        <v>1289</v>
      </c>
      <c r="F138">
        <v>2.69</v>
      </c>
      <c r="G138" t="s">
        <v>1939</v>
      </c>
      <c r="H138" t="s">
        <v>1940</v>
      </c>
      <c r="I138" t="s">
        <v>1941</v>
      </c>
    </row>
    <row r="139" spans="1:9" x14ac:dyDescent="0.25">
      <c r="A139" t="s">
        <v>1942</v>
      </c>
      <c r="B139" t="s">
        <v>144</v>
      </c>
      <c r="C139" t="s">
        <v>1943</v>
      </c>
      <c r="D139">
        <v>36</v>
      </c>
      <c r="E139" t="s">
        <v>1289</v>
      </c>
      <c r="F139">
        <v>3</v>
      </c>
      <c r="G139" t="s">
        <v>1894</v>
      </c>
      <c r="H139" t="s">
        <v>1944</v>
      </c>
      <c r="I139" t="s">
        <v>1945</v>
      </c>
    </row>
    <row r="140" spans="1:9" x14ac:dyDescent="0.25">
      <c r="A140" t="s">
        <v>1946</v>
      </c>
      <c r="B140" t="s">
        <v>144</v>
      </c>
      <c r="C140" t="s">
        <v>1947</v>
      </c>
      <c r="D140">
        <v>53</v>
      </c>
      <c r="E140" t="s">
        <v>1289</v>
      </c>
      <c r="F140">
        <v>1.83</v>
      </c>
      <c r="G140" t="s">
        <v>1939</v>
      </c>
      <c r="H140" t="s">
        <v>1948</v>
      </c>
      <c r="I140" t="s">
        <v>1949</v>
      </c>
    </row>
    <row r="141" spans="1:9" x14ac:dyDescent="0.25">
      <c r="A141" t="s">
        <v>1950</v>
      </c>
      <c r="B141" t="s">
        <v>1623</v>
      </c>
      <c r="C141" t="s">
        <v>1951</v>
      </c>
      <c r="D141">
        <v>41</v>
      </c>
      <c r="E141" t="s">
        <v>1289</v>
      </c>
      <c r="F141">
        <v>2.71</v>
      </c>
      <c r="G141" t="s">
        <v>1952</v>
      </c>
      <c r="H141" t="s">
        <v>1953</v>
      </c>
      <c r="I141" t="s">
        <v>1954</v>
      </c>
    </row>
    <row r="142" spans="1:9" x14ac:dyDescent="0.25">
      <c r="A142" t="s">
        <v>1955</v>
      </c>
      <c r="B142" t="s">
        <v>144</v>
      </c>
      <c r="C142" t="s">
        <v>1956</v>
      </c>
      <c r="D142">
        <v>48</v>
      </c>
      <c r="E142" t="s">
        <v>1289</v>
      </c>
      <c r="F142">
        <v>2.1</v>
      </c>
      <c r="G142" t="s">
        <v>1921</v>
      </c>
      <c r="H142" t="s">
        <v>1957</v>
      </c>
      <c r="I142" t="s">
        <v>1958</v>
      </c>
    </row>
    <row r="143" spans="1:9" x14ac:dyDescent="0.25">
      <c r="A143" t="s">
        <v>1959</v>
      </c>
      <c r="B143" t="s">
        <v>1623</v>
      </c>
      <c r="C143" t="s">
        <v>1545</v>
      </c>
      <c r="D143">
        <v>89</v>
      </c>
      <c r="E143" t="s">
        <v>1289</v>
      </c>
      <c r="F143">
        <v>2.8</v>
      </c>
      <c r="G143" t="s">
        <v>1960</v>
      </c>
      <c r="H143" t="s">
        <v>1961</v>
      </c>
      <c r="I143" t="s">
        <v>1962</v>
      </c>
    </row>
    <row r="144" spans="1:9" x14ac:dyDescent="0.25">
      <c r="A144" t="s">
        <v>1963</v>
      </c>
      <c r="B144" t="s">
        <v>144</v>
      </c>
      <c r="C144" t="s">
        <v>1964</v>
      </c>
      <c r="D144">
        <v>417</v>
      </c>
      <c r="E144" t="s">
        <v>1835</v>
      </c>
      <c r="F144">
        <v>2.56</v>
      </c>
      <c r="G144" t="s">
        <v>1965</v>
      </c>
      <c r="H144" t="s">
        <v>1966</v>
      </c>
      <c r="I144" t="s">
        <v>1967</v>
      </c>
    </row>
    <row r="145" spans="1:9" x14ac:dyDescent="0.25">
      <c r="A145" t="s">
        <v>1968</v>
      </c>
      <c r="B145" t="s">
        <v>1969</v>
      </c>
      <c r="C145" t="s">
        <v>1970</v>
      </c>
      <c r="D145">
        <v>387</v>
      </c>
      <c r="E145" t="s">
        <v>1835</v>
      </c>
      <c r="F145">
        <v>2.2000000000000002</v>
      </c>
      <c r="G145" t="s">
        <v>1971</v>
      </c>
      <c r="H145" t="s">
        <v>1972</v>
      </c>
      <c r="I145" t="s">
        <v>1973</v>
      </c>
    </row>
    <row r="146" spans="1:9" x14ac:dyDescent="0.25">
      <c r="A146" t="s">
        <v>1974</v>
      </c>
      <c r="B146" t="s">
        <v>144</v>
      </c>
      <c r="C146" t="s">
        <v>1975</v>
      </c>
      <c r="D146">
        <v>57</v>
      </c>
      <c r="E146" t="s">
        <v>1289</v>
      </c>
      <c r="F146">
        <v>2.35</v>
      </c>
      <c r="G146" t="s">
        <v>1976</v>
      </c>
      <c r="H146" t="s">
        <v>1977</v>
      </c>
      <c r="I146" t="s">
        <v>1978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59534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PRDBv3.1</vt:lpstr>
      <vt:lpstr>RNP_NtC_mean_std</vt:lpstr>
      <vt:lpstr>NtC_steps_int</vt:lpstr>
      <vt:lpstr>NtC_steps_nint</vt:lpstr>
      <vt:lpstr>stats</vt:lpstr>
      <vt:lpstr>NR_145_free_RNA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shrikant kaushik</cp:lastModifiedBy>
  <cp:revision>212</cp:revision>
  <dcterms:created xsi:type="dcterms:W3CDTF">2023-09-13T11:20:09Z</dcterms:created>
  <dcterms:modified xsi:type="dcterms:W3CDTF">2026-04-27T09:21:02Z</dcterms:modified>
  <dc:language>en-IN</dc:language>
</cp:coreProperties>
</file>