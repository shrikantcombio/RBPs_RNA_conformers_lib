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NA_conformers\"/>
    </mc:Choice>
  </mc:AlternateContent>
  <xr:revisionPtr revIDLastSave="0" documentId="13_ncr:1_{80C8017E-5F04-44F0-BEE6-D173CC501940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PRDBv3.1" sheetId="7" r:id="rId1"/>
    <sheet name="Table S1" sheetId="11" r:id="rId2"/>
    <sheet name="Table S2" sheetId="15" r:id="rId3"/>
    <sheet name="Table S3" sheetId="16" r:id="rId4"/>
    <sheet name="NR_145_free_RNA" sheetId="13" r:id="rId5"/>
    <sheet name="Table S4" sheetId="17" r:id="rId6"/>
  </sheets>
  <definedNames>
    <definedName name="_xlnm._FilterDatabase" localSheetId="1" hidden="1">'Table S1'!$A$2:$X$2</definedName>
  </definedNames>
  <calcPr calcId="18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D41" i="17" l="1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D124" i="15"/>
  <c r="AC124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D103" i="15"/>
  <c r="AC103" i="15"/>
  <c r="AB103" i="15"/>
  <c r="AA103" i="15"/>
  <c r="Z103" i="15"/>
  <c r="Y103" i="15"/>
  <c r="X103" i="15"/>
  <c r="W103" i="15"/>
  <c r="V103" i="15"/>
  <c r="U103" i="15"/>
  <c r="T103" i="15"/>
  <c r="S103" i="15"/>
  <c r="R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</calcChain>
</file>

<file path=xl/sharedStrings.xml><?xml version="1.0" encoding="utf-8"?>
<sst xmlns="http://schemas.openxmlformats.org/spreadsheetml/2006/main" count="4058" uniqueCount="1929">
  <si>
    <t>NtC</t>
  </si>
  <si>
    <t>AA00</t>
  </si>
  <si>
    <t>AAA</t>
  </si>
  <si>
    <t>AAw</t>
  </si>
  <si>
    <t>AAu</t>
  </si>
  <si>
    <t>AB05</t>
  </si>
  <si>
    <t>A-B</t>
  </si>
  <si>
    <t>OP25</t>
  </si>
  <si>
    <t>OPN</t>
  </si>
  <si>
    <t>OP11</t>
  </si>
  <si>
    <t>OP32</t>
  </si>
  <si>
    <t>OP22</t>
  </si>
  <si>
    <t>ZZ1S</t>
  </si>
  <si>
    <t>ZZZ</t>
  </si>
  <si>
    <t>AA10</t>
  </si>
  <si>
    <t>OP17</t>
  </si>
  <si>
    <t>ZZ01</t>
  </si>
  <si>
    <t>OP21</t>
  </si>
  <si>
    <t>AA11</t>
  </si>
  <si>
    <t>OP15</t>
  </si>
  <si>
    <t>ICL</t>
  </si>
  <si>
    <t>BA16</t>
  </si>
  <si>
    <t>B-A</t>
  </si>
  <si>
    <t>NN</t>
  </si>
  <si>
    <t>CC</t>
  </si>
  <si>
    <t>CANA</t>
  </si>
  <si>
    <t>C3'-endo</t>
  </si>
  <si>
    <t>anti</t>
  </si>
  <si>
    <t>)</t>
  </si>
  <si>
    <t>AA01</t>
  </si>
  <si>
    <t>1U0B</t>
  </si>
  <si>
    <t>.</t>
  </si>
  <si>
    <t>6VRD</t>
  </si>
  <si>
    <t>B G 19 G 20</t>
  </si>
  <si>
    <t>C2'-endo</t>
  </si>
  <si>
    <t>(</t>
  </si>
  <si>
    <t>1J1U</t>
  </si>
  <si>
    <t>NANT</t>
  </si>
  <si>
    <t>NAN</t>
  </si>
  <si>
    <t>C1'-exo</t>
  </si>
  <si>
    <t>7PLI</t>
  </si>
  <si>
    <t>1G2E</t>
  </si>
  <si>
    <t>6JVX</t>
  </si>
  <si>
    <t>syn</t>
  </si>
  <si>
    <t>6H9H</t>
  </si>
  <si>
    <t>5ELR</t>
  </si>
  <si>
    <t>8H1B</t>
  </si>
  <si>
    <t>2R8S</t>
  </si>
  <si>
    <t>5F5H</t>
  </si>
  <si>
    <t>7P0V</t>
  </si>
  <si>
    <t>5HR7</t>
  </si>
  <si>
    <t>5WZJ</t>
  </si>
  <si>
    <t>4ILL</t>
  </si>
  <si>
    <t>7ZHH</t>
  </si>
  <si>
    <t>8AF0</t>
  </si>
  <si>
    <t>2Q66</t>
  </si>
  <si>
    <t>5UD5</t>
  </si>
  <si>
    <t>1QTQ</t>
  </si>
  <si>
    <t>2BGG</t>
  </si>
  <si>
    <t>4H5P</t>
  </si>
  <si>
    <t>1SDS</t>
  </si>
  <si>
    <t>C2'-exo</t>
  </si>
  <si>
    <t>3NMR</t>
  </si>
  <si>
    <t>7C45</t>
  </si>
  <si>
    <t>5DET</t>
  </si>
  <si>
    <t>1ZH5</t>
  </si>
  <si>
    <t>O4'-endo</t>
  </si>
  <si>
    <t>7XPL</t>
  </si>
  <si>
    <t>3RW6</t>
  </si>
  <si>
    <t>7R9G</t>
  </si>
  <si>
    <t>3K5Q</t>
  </si>
  <si>
    <t>7OS0</t>
  </si>
  <si>
    <t>1M5O</t>
  </si>
  <si>
    <t>5AOX</t>
  </si>
  <si>
    <t>[</t>
  </si>
  <si>
    <t>A C 44 U 45</t>
  </si>
  <si>
    <t>2GXB</t>
  </si>
  <si>
    <t>7KKV</t>
  </si>
  <si>
    <t>3VJR</t>
  </si>
  <si>
    <t>B C 35 A 36</t>
  </si>
  <si>
    <t>C3'-exo</t>
  </si>
  <si>
    <t>1F7U</t>
  </si>
  <si>
    <t>2ANR</t>
  </si>
  <si>
    <t>3IEV</t>
  </si>
  <si>
    <t>R A 123 C 124</t>
  </si>
  <si>
    <t>PR_chains</t>
  </si>
  <si>
    <t>Complex_Protein_Name</t>
  </si>
  <si>
    <t>Residues_Count</t>
  </si>
  <si>
    <t>RNA_Name</t>
  </si>
  <si>
    <t>Nucleotides_Count</t>
  </si>
  <si>
    <t>Resolution</t>
  </si>
  <si>
    <t>Structural_Class</t>
  </si>
  <si>
    <t>BSA</t>
  </si>
  <si>
    <t>BSA_Protein</t>
  </si>
  <si>
    <t>BSA_RNA</t>
  </si>
  <si>
    <t>A:BC</t>
  </si>
  <si>
    <t>C</t>
  </si>
  <si>
    <t>ABCD:EF</t>
  </si>
  <si>
    <t>20</t>
  </si>
  <si>
    <t>D</t>
  </si>
  <si>
    <t>A:CD</t>
  </si>
  <si>
    <t>siRNA</t>
  </si>
  <si>
    <t>A:G</t>
  </si>
  <si>
    <t>36</t>
  </si>
  <si>
    <t>22</t>
  </si>
  <si>
    <t>rRNA</t>
  </si>
  <si>
    <t>AB:C</t>
  </si>
  <si>
    <t>253+253</t>
  </si>
  <si>
    <t>14+14</t>
  </si>
  <si>
    <t>A:B</t>
  </si>
  <si>
    <t>tRNA-Arg</t>
  </si>
  <si>
    <t>77</t>
  </si>
  <si>
    <t>A</t>
  </si>
  <si>
    <t>CrRNA</t>
  </si>
  <si>
    <t>43</t>
  </si>
  <si>
    <t>B:D</t>
  </si>
  <si>
    <t>15</t>
  </si>
  <si>
    <t>B</t>
  </si>
  <si>
    <t>duplex RNA</t>
  </si>
  <si>
    <t>6</t>
  </si>
  <si>
    <t>A:E</t>
  </si>
  <si>
    <t>409</t>
  </si>
  <si>
    <t>tRNA-Cys</t>
  </si>
  <si>
    <t>A:R</t>
  </si>
  <si>
    <t>24+24</t>
  </si>
  <si>
    <t>dsRNA</t>
  </si>
  <si>
    <t>8+8</t>
  </si>
  <si>
    <t>TRNA</t>
  </si>
  <si>
    <t>76</t>
  </si>
  <si>
    <t>tRNA-Asp</t>
  </si>
  <si>
    <t>75</t>
  </si>
  <si>
    <t>A:C</t>
  </si>
  <si>
    <t>tRNA-Tyr</t>
  </si>
  <si>
    <t>86</t>
  </si>
  <si>
    <t>AB:E</t>
  </si>
  <si>
    <t>642</t>
  </si>
  <si>
    <t>tRNA-Thr</t>
  </si>
  <si>
    <t>94</t>
  </si>
  <si>
    <t>tRNA-Leu</t>
  </si>
  <si>
    <t>83</t>
  </si>
  <si>
    <t>polyA</t>
  </si>
  <si>
    <t>5</t>
  </si>
  <si>
    <t>tRNA-Ile</t>
  </si>
  <si>
    <t>B:A</t>
  </si>
  <si>
    <t>74</t>
  </si>
  <si>
    <t>A:PT</t>
  </si>
  <si>
    <t>6+6</t>
  </si>
  <si>
    <t>266</t>
  </si>
  <si>
    <t>crRNA</t>
  </si>
  <si>
    <t>19+19</t>
  </si>
  <si>
    <t>Synthetic RNA</t>
  </si>
  <si>
    <t>10</t>
  </si>
  <si>
    <t>Human T-STAR proteins</t>
  </si>
  <si>
    <t>113</t>
  </si>
  <si>
    <t>RNA</t>
  </si>
  <si>
    <t>bulge-helix-bulge RNA</t>
  </si>
  <si>
    <t>C:D</t>
  </si>
  <si>
    <t>tRNA-Phe</t>
  </si>
  <si>
    <t>72</t>
  </si>
  <si>
    <t>9</t>
  </si>
  <si>
    <t>AB:CD</t>
  </si>
  <si>
    <t>21+21</t>
  </si>
  <si>
    <t>tRNA-Sec</t>
  </si>
  <si>
    <t>90</t>
  </si>
  <si>
    <t>35</t>
  </si>
  <si>
    <t>92</t>
  </si>
  <si>
    <t>B:C</t>
  </si>
  <si>
    <t>11</t>
  </si>
  <si>
    <t>124</t>
  </si>
  <si>
    <t>piRNA</t>
  </si>
  <si>
    <t>14</t>
  </si>
  <si>
    <t>12</t>
  </si>
  <si>
    <t>258</t>
  </si>
  <si>
    <t>13</t>
  </si>
  <si>
    <t>substrate RNA</t>
  </si>
  <si>
    <t>Nucleocapsid</t>
  </si>
  <si>
    <t>polyU</t>
  </si>
  <si>
    <t>18</t>
  </si>
  <si>
    <t>Cas13b</t>
  </si>
  <si>
    <t>CRISPR RNA</t>
  </si>
  <si>
    <t>34</t>
  </si>
  <si>
    <t>664</t>
  </si>
  <si>
    <t>7</t>
  </si>
  <si>
    <t>AB:R</t>
  </si>
  <si>
    <t>349</t>
  </si>
  <si>
    <t>18+18</t>
  </si>
  <si>
    <t>6-mer RNA</t>
  </si>
  <si>
    <t>50</t>
  </si>
  <si>
    <t>A:D</t>
  </si>
  <si>
    <t>182</t>
  </si>
  <si>
    <t>26</t>
  </si>
  <si>
    <t>217</t>
  </si>
  <si>
    <t>17</t>
  </si>
  <si>
    <t>16</t>
  </si>
  <si>
    <t>P:R</t>
  </si>
  <si>
    <t>A:M</t>
  </si>
  <si>
    <t>16S rRNA</t>
  </si>
  <si>
    <t>37</t>
  </si>
  <si>
    <t>AC:BD</t>
  </si>
  <si>
    <t>149</t>
  </si>
  <si>
    <t>73+73</t>
  </si>
  <si>
    <t>A:X</t>
  </si>
  <si>
    <t>8</t>
  </si>
  <si>
    <t>162</t>
  </si>
  <si>
    <t>B:E</t>
  </si>
  <si>
    <t>8AXF</t>
  </si>
  <si>
    <t>ABCD:Q</t>
  </si>
  <si>
    <t>E. Fici Nucleocapsid protein</t>
  </si>
  <si>
    <t>315</t>
  </si>
  <si>
    <t>SsRNA</t>
  </si>
  <si>
    <t>42</t>
  </si>
  <si>
    <t>1MJI</t>
  </si>
  <si>
    <t>T. thermophilus ribosomal protein L5</t>
  </si>
  <si>
    <t>5S rRNA fragment</t>
  </si>
  <si>
    <t>1N35</t>
  </si>
  <si>
    <t>Reovirus polymerase</t>
  </si>
  <si>
    <t>1267</t>
  </si>
  <si>
    <t>5+10</t>
  </si>
  <si>
    <t>2G4B</t>
  </si>
  <si>
    <t>Splicing factor U2AF</t>
  </si>
  <si>
    <t>172</t>
  </si>
  <si>
    <t>Polypyrimidine</t>
  </si>
  <si>
    <t>2YKG</t>
  </si>
  <si>
    <t>RIG-I</t>
  </si>
  <si>
    <t>696</t>
  </si>
  <si>
    <t>10+10</t>
  </si>
  <si>
    <t>3OL6</t>
  </si>
  <si>
    <t>A:BCD</t>
  </si>
  <si>
    <t>Poliovirus polymerase</t>
  </si>
  <si>
    <t>471</t>
  </si>
  <si>
    <t>26+14+9</t>
  </si>
  <si>
    <t>4QU7</t>
  </si>
  <si>
    <t>A:U</t>
  </si>
  <si>
    <t>Human GRSF1</t>
  </si>
  <si>
    <t>81</t>
  </si>
  <si>
    <t>7KFN</t>
  </si>
  <si>
    <t>AD:BC</t>
  </si>
  <si>
    <t>H. sapiens adenosine deaminase</t>
  </si>
  <si>
    <t>403</t>
  </si>
  <si>
    <t>dsRNA Gli1 8AZ+1W5</t>
  </si>
  <si>
    <t>23+23</t>
  </si>
  <si>
    <t>E. Coli K-12 ATP-dependent RNA helicase DbpA</t>
  </si>
  <si>
    <t>459</t>
  </si>
  <si>
    <t>single stranded RNA</t>
  </si>
  <si>
    <t>24</t>
  </si>
  <si>
    <t>AB:RC</t>
  </si>
  <si>
    <t>endoribonuclease Cas6</t>
  </si>
  <si>
    <t>289+289</t>
  </si>
  <si>
    <t>6U6Y</t>
  </si>
  <si>
    <t>AD:EH</t>
  </si>
  <si>
    <t>H. sapiens deoxynucleoside triphosphate triphosphohydrolase SAMHD1</t>
  </si>
  <si>
    <t>533</t>
  </si>
  <si>
    <t>ribo(CGCCU)-oligonucleotide</t>
  </si>
  <si>
    <t>4M59</t>
  </si>
  <si>
    <t>Chloroplast ppr10</t>
  </si>
  <si>
    <t>718+718</t>
  </si>
  <si>
    <t>psaJ RNA</t>
  </si>
  <si>
    <t>1KNZ</t>
  </si>
  <si>
    <t>AB:W</t>
  </si>
  <si>
    <t>Rotavirus NSP3</t>
  </si>
  <si>
    <t>164</t>
  </si>
  <si>
    <t>mRNA</t>
  </si>
  <si>
    <t>1OOA</t>
  </si>
  <si>
    <t>NF-kappaB p50</t>
  </si>
  <si>
    <t>326</t>
  </si>
  <si>
    <t>aptamer RNA</t>
  </si>
  <si>
    <t>29</t>
  </si>
  <si>
    <t>6A4E</t>
  </si>
  <si>
    <t>Oligoribonuclease</t>
  </si>
  <si>
    <t>181</t>
  </si>
  <si>
    <t>U-rich RNA</t>
  </si>
  <si>
    <t>7A9X</t>
  </si>
  <si>
    <t>S. cerevisiae protein RMD9, mitochondrial</t>
  </si>
  <si>
    <t>603</t>
  </si>
  <si>
    <t>3'-UTRs  mRNA</t>
  </si>
  <si>
    <t>2QUX</t>
  </si>
  <si>
    <t>Pseudomonas phage PP7 coat protein</t>
  </si>
  <si>
    <t>125+125</t>
  </si>
  <si>
    <t>hairpin RNA</t>
  </si>
  <si>
    <t>25</t>
  </si>
  <si>
    <t>3BT7</t>
  </si>
  <si>
    <t>Methyltransferase TrmA</t>
  </si>
  <si>
    <t>369</t>
  </si>
  <si>
    <t>T-arm analogue</t>
  </si>
  <si>
    <t>19</t>
  </si>
  <si>
    <t>5N94</t>
  </si>
  <si>
    <t>DHX36 helicase</t>
  </si>
  <si>
    <t>944</t>
  </si>
  <si>
    <t>PolyU</t>
  </si>
  <si>
    <t>H. Sapiens Angiogenin</t>
  </si>
  <si>
    <t>123</t>
  </si>
  <si>
    <t>7Z42</t>
  </si>
  <si>
    <t>AB:V</t>
  </si>
  <si>
    <t>Influenza B virus Type B and type A influenza polymerases</t>
  </si>
  <si>
    <t>751+772</t>
  </si>
  <si>
    <t>vRNA</t>
  </si>
  <si>
    <t>1C0A</t>
  </si>
  <si>
    <t>E. coli aspartyl-tRNA synthetase</t>
  </si>
  <si>
    <t>585</t>
  </si>
  <si>
    <t>2A8V</t>
  </si>
  <si>
    <t>RHO</t>
  </si>
  <si>
    <t>118</t>
  </si>
  <si>
    <t>Cytosine rich RNA</t>
  </si>
  <si>
    <t>2DLC</t>
  </si>
  <si>
    <t>XA:YG</t>
  </si>
  <si>
    <t>Tyrosyl-tRNA synthetase</t>
  </si>
  <si>
    <t>394</t>
  </si>
  <si>
    <t>2XZO</t>
  </si>
  <si>
    <t>Upf1 helicase</t>
  </si>
  <si>
    <t>623</t>
  </si>
  <si>
    <t>3KS8</t>
  </si>
  <si>
    <t>AB:EF</t>
  </si>
  <si>
    <t>Polymerase cofactor VP35</t>
  </si>
  <si>
    <t>184+184</t>
  </si>
  <si>
    <t>Peptidyl-tRNA hydrolase</t>
  </si>
  <si>
    <t>197</t>
  </si>
  <si>
    <t>tRNA CCA-acceptor</t>
  </si>
  <si>
    <t>4L8H</t>
  </si>
  <si>
    <t>bacteriophage Qβ coat protein</t>
  </si>
  <si>
    <t>132+132</t>
  </si>
  <si>
    <t>operator hairpin RNA</t>
  </si>
  <si>
    <t>RNA methyltransferase RlmN</t>
  </si>
  <si>
    <t>404</t>
  </si>
  <si>
    <t>TRNA-Glu</t>
  </si>
  <si>
    <t>7NDJ</t>
  </si>
  <si>
    <t>M. musculus CCCH Zn-finger domains</t>
  </si>
  <si>
    <t>192</t>
  </si>
  <si>
    <t>single-stranded RNA heptamer</t>
  </si>
  <si>
    <t>S. cerevisiae tRNA pseudouridine synthase 1</t>
  </si>
  <si>
    <t>544</t>
  </si>
  <si>
    <t xml:space="preserve"> tRNA</t>
  </si>
  <si>
    <t>5ID6</t>
  </si>
  <si>
    <t>L. bacterium Cpf1</t>
  </si>
  <si>
    <t>1228</t>
  </si>
  <si>
    <t>21</t>
  </si>
  <si>
    <t>7VSJ</t>
  </si>
  <si>
    <t>M. Musculus Insulin-like growth factor 2 mRNA-binding protein 3</t>
  </si>
  <si>
    <t>9-mer RNA</t>
  </si>
  <si>
    <t>Pyrrolysyl-tRNA synthetase</t>
  </si>
  <si>
    <t>109</t>
  </si>
  <si>
    <t>tRNA(Pyl)</t>
  </si>
  <si>
    <t>7EIU</t>
  </si>
  <si>
    <t>S. pombe Meiosis protein mei2 RRM3</t>
  </si>
  <si>
    <t>155</t>
  </si>
  <si>
    <t>meiRNA</t>
  </si>
  <si>
    <t>2JEA</t>
  </si>
  <si>
    <t>S. solfataricus exosome</t>
  </si>
  <si>
    <t>277+250</t>
  </si>
  <si>
    <t>1FEU</t>
  </si>
  <si>
    <t>Ribosomal protein L5</t>
  </si>
  <si>
    <t>206</t>
  </si>
  <si>
    <t>5s rRNA</t>
  </si>
  <si>
    <t>19+21</t>
  </si>
  <si>
    <t>RRMdomain of the HuD protein</t>
  </si>
  <si>
    <t>167</t>
  </si>
  <si>
    <t>class II ARE fragment</t>
  </si>
  <si>
    <t>1LNG</t>
  </si>
  <si>
    <t>M. jannaschii SRP19</t>
  </si>
  <si>
    <t>87</t>
  </si>
  <si>
    <t>7S SRP RNA</t>
  </si>
  <si>
    <t>97</t>
  </si>
  <si>
    <t>E.coli cysteinyl-tRNA synthetase</t>
  </si>
  <si>
    <t>461</t>
  </si>
  <si>
    <t>1WSU</t>
  </si>
  <si>
    <t>Elongation Factor SelB</t>
  </si>
  <si>
    <t>SECIS RNA</t>
  </si>
  <si>
    <t>23</t>
  </si>
  <si>
    <t>2PJP</t>
  </si>
  <si>
    <t>E.coli  SelB</t>
  </si>
  <si>
    <t>121</t>
  </si>
  <si>
    <t>2VNU</t>
  </si>
  <si>
    <t>D:B</t>
  </si>
  <si>
    <t>Exonuclease  Rrp44</t>
  </si>
  <si>
    <t>760</t>
  </si>
  <si>
    <t>ssRNA</t>
  </si>
  <si>
    <t>A:H</t>
  </si>
  <si>
    <t>Nuclear RNA export factor 1</t>
  </si>
  <si>
    <t>267</t>
  </si>
  <si>
    <t>CTE RNA</t>
  </si>
  <si>
    <t>62</t>
  </si>
  <si>
    <t>5ELK</t>
  </si>
  <si>
    <t>CCCH Zinc fingers from Unkempt homolog</t>
  </si>
  <si>
    <t>133</t>
  </si>
  <si>
    <t>UAG trimer containing RNA</t>
  </si>
  <si>
    <t>C:B</t>
  </si>
  <si>
    <t>136</t>
  </si>
  <si>
    <t>5TF6</t>
  </si>
  <si>
    <t>S. cerevisiae U4/U6 snRNA-associated splicing factor Prp24</t>
  </si>
  <si>
    <t>374</t>
  </si>
  <si>
    <t>U6 snRNA</t>
  </si>
  <si>
    <t>5W0M</t>
  </si>
  <si>
    <t>TUT7 catalytic module</t>
  </si>
  <si>
    <t>389</t>
  </si>
  <si>
    <t>RBM38</t>
  </si>
  <si>
    <t>128</t>
  </si>
  <si>
    <t>single-stranded RNA</t>
  </si>
  <si>
    <t>6A6J</t>
  </si>
  <si>
    <t>cold shock domain of Ybx1</t>
  </si>
  <si>
    <t>93</t>
  </si>
  <si>
    <t>6mer m5C RNA</t>
  </si>
  <si>
    <t>E. Coli Glutaminyl-tRNA synthetase</t>
  </si>
  <si>
    <t>553</t>
  </si>
  <si>
    <t>tRNA-Gln</t>
  </si>
  <si>
    <t>A:EF</t>
  </si>
  <si>
    <t>Z alpha domain of adenosine deaminase</t>
  </si>
  <si>
    <t>66</t>
  </si>
  <si>
    <t>7+7</t>
  </si>
  <si>
    <t>7XWZ</t>
  </si>
  <si>
    <t>SARS-CoV-2 N-NTD Nucleoprotein</t>
  </si>
  <si>
    <t>125</t>
  </si>
  <si>
    <t xml:space="preserve">  dsRNA</t>
  </si>
  <si>
    <t>6L5N</t>
  </si>
  <si>
    <t>H. sapiens nucleolar RNA helicase 2</t>
  </si>
  <si>
    <t>377</t>
  </si>
  <si>
    <t>poly(U)-15mer</t>
  </si>
  <si>
    <t>Roquin-2</t>
  </si>
  <si>
    <t>180</t>
  </si>
  <si>
    <t>MRNA</t>
  </si>
  <si>
    <t>6PZQ</t>
  </si>
  <si>
    <t>AB:IJ</t>
  </si>
  <si>
    <t>H. Respiratory Syncytial Virus M2-1 Protein</t>
  </si>
  <si>
    <t>194</t>
  </si>
  <si>
    <t>Short Positive-Sense Gene-End RNA</t>
  </si>
  <si>
    <t>3MDG</t>
  </si>
  <si>
    <t>CFI(m)25</t>
  </si>
  <si>
    <t>227+227</t>
  </si>
  <si>
    <t>pre-mRNA</t>
  </si>
  <si>
    <t>8JOZ</t>
  </si>
  <si>
    <t>E. Coli CmoM</t>
  </si>
  <si>
    <t>282</t>
  </si>
  <si>
    <t>tRNA Ser</t>
  </si>
  <si>
    <t>88</t>
  </si>
  <si>
    <t>2J0S</t>
  </si>
  <si>
    <t>ACDT:E</t>
  </si>
  <si>
    <t>Exon junction complex</t>
  </si>
  <si>
    <t>410+146+89+150</t>
  </si>
  <si>
    <t>6D12</t>
  </si>
  <si>
    <t>xRRM domain of human Larp7</t>
  </si>
  <si>
    <t>7SK stem-loop 4 RNA</t>
  </si>
  <si>
    <t>38</t>
  </si>
  <si>
    <t>ABEF:GHIJ</t>
  </si>
  <si>
    <t>S. Solfataricus C/D box methylation guide ribonucleoprotein complex aNOP56 subunit</t>
  </si>
  <si>
    <t>388+232</t>
  </si>
  <si>
    <t>BMG3 RNA strand AB+guide RNA</t>
  </si>
  <si>
    <t>29+29+11</t>
  </si>
  <si>
    <t>arginyl-tRNA synthetase</t>
  </si>
  <si>
    <t>607</t>
  </si>
  <si>
    <t>1FFY</t>
  </si>
  <si>
    <t>A:T</t>
  </si>
  <si>
    <t>Isoleucyl-tRNA synthetase</t>
  </si>
  <si>
    <t>917</t>
  </si>
  <si>
    <t>C:AB</t>
  </si>
  <si>
    <t>U1 Snp</t>
  </si>
  <si>
    <t>100</t>
  </si>
  <si>
    <t>Hairpin ribozyme</t>
  </si>
  <si>
    <t>1M8W</t>
  </si>
  <si>
    <t>A:CE</t>
  </si>
  <si>
    <t>Pumilio-homology domain</t>
  </si>
  <si>
    <t>Nre1-19  RNA</t>
  </si>
  <si>
    <t>1YVP</t>
  </si>
  <si>
    <t>B:EFH</t>
  </si>
  <si>
    <t>Ro autoantigen</t>
  </si>
  <si>
    <t>538</t>
  </si>
  <si>
    <t>Y RNA</t>
  </si>
  <si>
    <t>10+10+10</t>
  </si>
  <si>
    <t>A:PQ</t>
  </si>
  <si>
    <t>A. fulgidus PIWI</t>
  </si>
  <si>
    <t>427</t>
  </si>
  <si>
    <t>2DB3</t>
  </si>
  <si>
    <t>DEAD-box helicase vasa</t>
  </si>
  <si>
    <t>434</t>
  </si>
  <si>
    <t>FBF</t>
  </si>
  <si>
    <t>412</t>
  </si>
  <si>
    <t>3ZJT</t>
  </si>
  <si>
    <t>E.coli leucyl-tRNA synthetase</t>
  </si>
  <si>
    <t>880</t>
  </si>
  <si>
    <t>4ATO</t>
  </si>
  <si>
    <t>ABC:GHI</t>
  </si>
  <si>
    <t>B. thuringiensis ToxN</t>
  </si>
  <si>
    <t>194+194+194</t>
  </si>
  <si>
    <t>B. thuringiensis ToxI</t>
  </si>
  <si>
    <t>5Z98</t>
  </si>
  <si>
    <t>CpzA3H</t>
  </si>
  <si>
    <t>185+185</t>
  </si>
  <si>
    <t>5ZSC</t>
  </si>
  <si>
    <t>Toll-like receptor 7</t>
  </si>
  <si>
    <t>823+823</t>
  </si>
  <si>
    <t>CCUUCC RNA</t>
  </si>
  <si>
    <t>6RTI</t>
  </si>
  <si>
    <t>H. sapiens glutamate carboxypeptidase 2</t>
  </si>
  <si>
    <t>707</t>
  </si>
  <si>
    <t>A9gRNA aptamer (43-MER)</t>
  </si>
  <si>
    <t>A:F</t>
  </si>
  <si>
    <t>R. capsulatus Cas13a</t>
  </si>
  <si>
    <t>1304</t>
  </si>
  <si>
    <t>54</t>
  </si>
  <si>
    <t>6L1W</t>
  </si>
  <si>
    <t>Zinc finger CCCH-type antiviral protein 1</t>
  </si>
  <si>
    <t>228</t>
  </si>
  <si>
    <t>CG rich RNA</t>
  </si>
  <si>
    <t>7K98</t>
  </si>
  <si>
    <t>ABDE:CF</t>
  </si>
  <si>
    <t xml:space="preserve">M. tuberculosis phenylalanine-tRNA ligase alpha subunit </t>
  </si>
  <si>
    <t>344+840</t>
  </si>
  <si>
    <t>5ZQ8</t>
  </si>
  <si>
    <t>RlmCD</t>
  </si>
  <si>
    <t>454</t>
  </si>
  <si>
    <t>U747 stemloop RNA</t>
  </si>
  <si>
    <t>7OM6</t>
  </si>
  <si>
    <t>AB:CDEF</t>
  </si>
  <si>
    <t>T. asigna virus RdRP domain</t>
  </si>
  <si>
    <t>684</t>
  </si>
  <si>
    <t>RNA oligonucleotide</t>
  </si>
  <si>
    <t>1UVI</t>
  </si>
  <si>
    <t>phi6 RNA polymerase</t>
  </si>
  <si>
    <t>2BH2</t>
  </si>
  <si>
    <t>Methyltransferase RumA</t>
  </si>
  <si>
    <t>433</t>
  </si>
  <si>
    <t>23S rRNA</t>
  </si>
  <si>
    <t>245+245</t>
  </si>
  <si>
    <t>1MSW</t>
  </si>
  <si>
    <t>D:R</t>
  </si>
  <si>
    <t>T7 RNA polymerase</t>
  </si>
  <si>
    <t>883</t>
  </si>
  <si>
    <t>RNA transcript</t>
  </si>
  <si>
    <t>1N78</t>
  </si>
  <si>
    <t xml:space="preserve">T. thermophilus glutamyl-tRNA synthetase </t>
  </si>
  <si>
    <t>468</t>
  </si>
  <si>
    <t>tRNA-Glu</t>
  </si>
  <si>
    <t>1R3E</t>
  </si>
  <si>
    <t>A:CDE</t>
  </si>
  <si>
    <t>Pseudouridine Synthase TruB</t>
  </si>
  <si>
    <t>309</t>
  </si>
  <si>
    <t>tRNA fragment</t>
  </si>
  <si>
    <t>2HW8</t>
  </si>
  <si>
    <t>Ribosomal protein L1</t>
  </si>
  <si>
    <t>5THE</t>
  </si>
  <si>
    <t>V. polyspora catalytic C-terminal lobe of yeast Argonaute</t>
  </si>
  <si>
    <t>549</t>
  </si>
  <si>
    <t>guide RNA</t>
  </si>
  <si>
    <t>At Pumilio homolog 23</t>
  </si>
  <si>
    <t>582</t>
  </si>
  <si>
    <t>18S rRNA</t>
  </si>
  <si>
    <t>6WXY</t>
  </si>
  <si>
    <t>BC:A</t>
  </si>
  <si>
    <t>T. succinifaciens card1 nuclease</t>
  </si>
  <si>
    <t>382</t>
  </si>
  <si>
    <t>CrRNA cA6-bound</t>
  </si>
  <si>
    <t>7V4G</t>
  </si>
  <si>
    <t>H. sapiens RNA demethylase ALKBH5</t>
  </si>
  <si>
    <t>220</t>
  </si>
  <si>
    <t>m6A-containing ssRNA</t>
  </si>
  <si>
    <t>8DZK</t>
  </si>
  <si>
    <t>E. Histolytica RNA lariat debranching enzyme, putative</t>
  </si>
  <si>
    <t>356</t>
  </si>
  <si>
    <t>5-mer RNA</t>
  </si>
  <si>
    <t>8BH9</t>
  </si>
  <si>
    <t>C. Tropicalis Est1</t>
  </si>
  <si>
    <t>532</t>
  </si>
  <si>
    <t>LC1 telomerase RNA fragment 427-435 / 496-504</t>
  </si>
  <si>
    <t>5AOR</t>
  </si>
  <si>
    <t>D. melanogaster RNA Helicase Mle</t>
  </si>
  <si>
    <t>1293</t>
  </si>
  <si>
    <t>2EZ6</t>
  </si>
  <si>
    <t>RNase III</t>
  </si>
  <si>
    <t>221+221</t>
  </si>
  <si>
    <t>28-mer RNA</t>
  </si>
  <si>
    <t>28+28</t>
  </si>
  <si>
    <t>2I82</t>
  </si>
  <si>
    <t>Pseudouridine synthase  RluA</t>
  </si>
  <si>
    <t>7Y7Q</t>
  </si>
  <si>
    <t>AB:CED</t>
  </si>
  <si>
    <t>N. Crasa RNA-dependent RNA polymerase</t>
  </si>
  <si>
    <t>1026</t>
  </si>
  <si>
    <t>SiRNAs</t>
  </si>
  <si>
    <t>14+7</t>
  </si>
  <si>
    <t>2JLU</t>
  </si>
  <si>
    <t>Serine protease subunit NS3</t>
  </si>
  <si>
    <t>451</t>
  </si>
  <si>
    <t>Human SRP</t>
  </si>
  <si>
    <t>85+94</t>
  </si>
  <si>
    <t>2B3J</t>
  </si>
  <si>
    <t>TadA</t>
  </si>
  <si>
    <t>159</t>
  </si>
  <si>
    <t>tRNA-Arg2</t>
  </si>
  <si>
    <t>3EQT</t>
  </si>
  <si>
    <t>Helicase DHX58</t>
  </si>
  <si>
    <t>145</t>
  </si>
  <si>
    <t>3O8C</t>
  </si>
  <si>
    <t>HCV NS3 helicase</t>
  </si>
  <si>
    <t>666</t>
  </si>
  <si>
    <t>5UDZ</t>
  </si>
  <si>
    <t>A:V</t>
  </si>
  <si>
    <t>LIN28A</t>
  </si>
  <si>
    <t>148</t>
  </si>
  <si>
    <t>let-7f-1 microRNA pre-element</t>
  </si>
  <si>
    <t>5WWX</t>
  </si>
  <si>
    <t>KH2 domain of MEX-3C</t>
  </si>
  <si>
    <t>6DCB</t>
  </si>
  <si>
    <t>methylphosphate capping enzyme</t>
  </si>
  <si>
    <t xml:space="preserve"> 5' end of 7SK RNA</t>
  </si>
  <si>
    <t>6JIM</t>
  </si>
  <si>
    <t>Chikungunya virus nsP2 helicase</t>
  </si>
  <si>
    <t>465</t>
  </si>
  <si>
    <t>7DOL</t>
  </si>
  <si>
    <t>M. genitalium Ribonuclease R</t>
  </si>
  <si>
    <t>747</t>
  </si>
  <si>
    <t>A. halodurans OapB protein</t>
  </si>
  <si>
    <t>98</t>
  </si>
  <si>
    <t>OLE RNA target</t>
  </si>
  <si>
    <t>60</t>
  </si>
  <si>
    <t>7WKP</t>
  </si>
  <si>
    <t>V. Phage ICP1  Csy4</t>
  </si>
  <si>
    <t>189</t>
  </si>
  <si>
    <t>3' stem loop crRNA</t>
  </si>
  <si>
    <t>7KL3</t>
  </si>
  <si>
    <t>Influenza A virus california PA endonuclease</t>
  </si>
  <si>
    <t>RNA oligomer AG*CAUC</t>
  </si>
  <si>
    <t>1JBS</t>
  </si>
  <si>
    <t>Restrictocin</t>
  </si>
  <si>
    <t>SRD RNA Analogue</t>
  </si>
  <si>
    <t>8PE3</t>
  </si>
  <si>
    <t>S. Thermophilus CRISPR  Csm6'</t>
  </si>
  <si>
    <t>390+390</t>
  </si>
  <si>
    <t>AC:BE</t>
  </si>
  <si>
    <t>M. jannaschii Tyrosyl-tRNA synthetase</t>
  </si>
  <si>
    <t>306+306</t>
  </si>
  <si>
    <t>LH:R</t>
  </si>
  <si>
    <t>synthetic FAB</t>
  </si>
  <si>
    <t>214+224</t>
  </si>
  <si>
    <t>Ribozyme</t>
  </si>
  <si>
    <t>AB:PQ</t>
  </si>
  <si>
    <t>Human RBPMS</t>
  </si>
  <si>
    <t>CAC containing RNA</t>
  </si>
  <si>
    <t>5+4</t>
  </si>
  <si>
    <t>5I4A</t>
  </si>
  <si>
    <t>M. piezophila KA3 Argonaute protein</t>
  </si>
  <si>
    <t>5ZUU</t>
  </si>
  <si>
    <t>C:F</t>
  </si>
  <si>
    <t>A. thaliana AtCPSF30 YTH domain</t>
  </si>
  <si>
    <t xml:space="preserve"> m6A-modified RNA</t>
  </si>
  <si>
    <t>7VKL</t>
  </si>
  <si>
    <t>zipcode RNA</t>
  </si>
  <si>
    <t>Nova-1 KH1/KH2 domain</t>
  </si>
  <si>
    <t>178</t>
  </si>
  <si>
    <t>1C9S</t>
  </si>
  <si>
    <t>L:W</t>
  </si>
  <si>
    <t>TRAP</t>
  </si>
  <si>
    <t>1DI2</t>
  </si>
  <si>
    <t>dsRBD A</t>
  </si>
  <si>
    <t>69+69</t>
  </si>
  <si>
    <t>3DD2</t>
  </si>
  <si>
    <t>H:B</t>
  </si>
  <si>
    <t>Thrombin</t>
  </si>
  <si>
    <t>26-mer RNA</t>
  </si>
  <si>
    <t>3I5X</t>
  </si>
  <si>
    <t>Mss116p</t>
  </si>
  <si>
    <t>563</t>
  </si>
  <si>
    <t>GTPase era</t>
  </si>
  <si>
    <t>308</t>
  </si>
  <si>
    <t>3R2C</t>
  </si>
  <si>
    <t>AJ:R</t>
  </si>
  <si>
    <t>NusB-NusE</t>
  </si>
  <si>
    <t>148+83</t>
  </si>
  <si>
    <t>BoxA RNA</t>
  </si>
  <si>
    <t>6FQ3</t>
  </si>
  <si>
    <t>E3 ubiquitin-protein ligase TRIM71</t>
  </si>
  <si>
    <t>lin-29A 5'UTR</t>
  </si>
  <si>
    <t>6GC5</t>
  </si>
  <si>
    <t>HuR RRM3</t>
  </si>
  <si>
    <t>AU-rich RNA</t>
  </si>
  <si>
    <t>6YRQ</t>
  </si>
  <si>
    <t>A. orthohantavirus tetramerization domain of the glycoprotein Gn</t>
  </si>
  <si>
    <t>7VTI</t>
  </si>
  <si>
    <t>P. Bacterium Cas13bt3</t>
  </si>
  <si>
    <t>777</t>
  </si>
  <si>
    <t>41</t>
  </si>
  <si>
    <t>4HOR</t>
  </si>
  <si>
    <t>IFIT</t>
  </si>
  <si>
    <t>482</t>
  </si>
  <si>
    <t>polyC</t>
  </si>
  <si>
    <t>6HAU</t>
  </si>
  <si>
    <t>AB:D</t>
  </si>
  <si>
    <t>mRNA export factor ICP27 homolog</t>
  </si>
  <si>
    <t>273+273</t>
  </si>
  <si>
    <t xml:space="preserve"> MRE fragment of PAN RNA</t>
  </si>
  <si>
    <t>6IV9</t>
  </si>
  <si>
    <t>Cas13d</t>
  </si>
  <si>
    <t>930</t>
  </si>
  <si>
    <t>1K8W</t>
  </si>
  <si>
    <t>Pseudouridine synthase B</t>
  </si>
  <si>
    <t>327</t>
  </si>
  <si>
    <t>T stem-loop RNA</t>
  </si>
  <si>
    <t>1R9F</t>
  </si>
  <si>
    <t>p19</t>
  </si>
  <si>
    <t>136+136</t>
  </si>
  <si>
    <t>1ZBI</t>
  </si>
  <si>
    <t>RNase H</t>
  </si>
  <si>
    <t>142+142</t>
  </si>
  <si>
    <t>A form RNA</t>
  </si>
  <si>
    <t>12+12</t>
  </si>
  <si>
    <t>La autoantigen</t>
  </si>
  <si>
    <t>195+195</t>
  </si>
  <si>
    <t>3'-terminii mRNA</t>
  </si>
  <si>
    <t>CUG-binding protein 1</t>
  </si>
  <si>
    <t>175</t>
  </si>
  <si>
    <t>UGU-rich mRNA</t>
  </si>
  <si>
    <t>5HO4</t>
  </si>
  <si>
    <t>hnRNP A2/B1</t>
  </si>
  <si>
    <t>179</t>
  </si>
  <si>
    <t>6I0V</t>
  </si>
  <si>
    <t>DmTailor</t>
  </si>
  <si>
    <t>384</t>
  </si>
  <si>
    <t>8-mer RNA</t>
  </si>
  <si>
    <t>8T66</t>
  </si>
  <si>
    <t>N. halophilus Nc 4 Cam1</t>
  </si>
  <si>
    <t>166</t>
  </si>
  <si>
    <t>8EDJ</t>
  </si>
  <si>
    <t>Macaca mulatta APOBEC3G</t>
  </si>
  <si>
    <t>386</t>
  </si>
  <si>
    <t>RA3G-ssRNA-GA</t>
  </si>
  <si>
    <t>1DFU</t>
  </si>
  <si>
    <t>P:MN</t>
  </si>
  <si>
    <t>Ribosomal Protein L25</t>
  </si>
  <si>
    <t>1JID</t>
  </si>
  <si>
    <t>H. sapiens SRP19</t>
  </si>
  <si>
    <t>SRP RNA</t>
  </si>
  <si>
    <t>CA:FG</t>
  </si>
  <si>
    <t>50S ribosomal protein L7Ae</t>
  </si>
  <si>
    <t>117</t>
  </si>
  <si>
    <t>box H/ACA sRNA</t>
  </si>
  <si>
    <t>S.cerevisiae poly(A) polymerase</t>
  </si>
  <si>
    <t>525</t>
  </si>
  <si>
    <t>2Y8W</t>
  </si>
  <si>
    <t>Endoribonuclease Cse3</t>
  </si>
  <si>
    <t>215</t>
  </si>
  <si>
    <t>3BSN</t>
  </si>
  <si>
    <t>Norwalk virus polymerase</t>
  </si>
  <si>
    <t>510</t>
  </si>
  <si>
    <t>8+9</t>
  </si>
  <si>
    <t>5ELH</t>
  </si>
  <si>
    <t>B:R</t>
  </si>
  <si>
    <t>UUA trimer containing RNA</t>
  </si>
  <si>
    <t>5GXH</t>
  </si>
  <si>
    <t>Gemin5</t>
  </si>
  <si>
    <t>757</t>
  </si>
  <si>
    <t>Pre-snRNAs</t>
  </si>
  <si>
    <t>5WLH</t>
  </si>
  <si>
    <t>LbaCas13a</t>
  </si>
  <si>
    <t>1440</t>
  </si>
  <si>
    <t>Pre-crRNA</t>
  </si>
  <si>
    <t>5WWW</t>
  </si>
  <si>
    <t>KH1 domain of MEX-3C</t>
  </si>
  <si>
    <t>3T5N</t>
  </si>
  <si>
    <t>Lassa virus nucleoprotein</t>
  </si>
  <si>
    <t>354</t>
  </si>
  <si>
    <t>7L6T</t>
  </si>
  <si>
    <t>SARS-CoV-2 Nsp16/10 Heterodimer</t>
  </si>
  <si>
    <t>300</t>
  </si>
  <si>
    <t>T. brucei  RNase D ribonuclease</t>
  </si>
  <si>
    <t>302</t>
  </si>
  <si>
    <t>Guide RNA U12</t>
  </si>
  <si>
    <t>4QU6</t>
  </si>
  <si>
    <t>107</t>
  </si>
  <si>
    <t>Csf5</t>
  </si>
  <si>
    <t>2ZKO</t>
  </si>
  <si>
    <t>NS1 protein of influenza A</t>
  </si>
  <si>
    <t>A-form dsRNA</t>
  </si>
  <si>
    <t>3D2S</t>
  </si>
  <si>
    <t>MBNL1 ZnF3/4</t>
  </si>
  <si>
    <t>70</t>
  </si>
  <si>
    <t>4J7M</t>
  </si>
  <si>
    <t>Dom3Z</t>
  </si>
  <si>
    <t>378</t>
  </si>
  <si>
    <t>5ZW4</t>
  </si>
  <si>
    <t>TrmR</t>
  </si>
  <si>
    <t>225</t>
  </si>
  <si>
    <t>6DU4</t>
  </si>
  <si>
    <t>hMettl16 catalytic domain</t>
  </si>
  <si>
    <t>313</t>
  </si>
  <si>
    <t>Hp1x-RNA</t>
  </si>
  <si>
    <t>6DTD</t>
  </si>
  <si>
    <t>1127</t>
  </si>
  <si>
    <t>7VKI</t>
  </si>
  <si>
    <t>H Sapiens Epithelial splicing regulatory protein 1 (ESRP1)</t>
  </si>
  <si>
    <t>119</t>
  </si>
  <si>
    <t>12-mer RNA</t>
  </si>
  <si>
    <t>2XNR</t>
  </si>
  <si>
    <t>Nab3-RRM</t>
  </si>
  <si>
    <t>UCUU recognition sequence</t>
  </si>
  <si>
    <t>4Z4D</t>
  </si>
  <si>
    <t>A:BD</t>
  </si>
  <si>
    <t>Human Argonaute-2</t>
  </si>
  <si>
    <t>859</t>
  </si>
  <si>
    <t>Guide and t1G target RNAs</t>
  </si>
  <si>
    <t>21+11</t>
  </si>
  <si>
    <t>6M6S</t>
  </si>
  <si>
    <t>C. elegans dicer Related Helicase /(DRH-3)</t>
  </si>
  <si>
    <t>170</t>
  </si>
  <si>
    <t>D. Melanogaster Upstream of N-ras, isoform A</t>
  </si>
  <si>
    <t>236</t>
  </si>
  <si>
    <t>poly(A) RNA</t>
  </si>
  <si>
    <t>H. sapiens SF3A1 ubiquitin-like domain</t>
  </si>
  <si>
    <t>U1 snRNA stem-loop 4</t>
  </si>
  <si>
    <t>S. Aureus YtqB</t>
  </si>
  <si>
    <t>195</t>
  </si>
  <si>
    <t>17+17</t>
  </si>
  <si>
    <t>5EIM</t>
  </si>
  <si>
    <t>YTH domain containing protein Mmi1</t>
  </si>
  <si>
    <t>163</t>
  </si>
  <si>
    <t>1HQ1</t>
  </si>
  <si>
    <t>E.coli SRP</t>
  </si>
  <si>
    <t>105</t>
  </si>
  <si>
    <t>4.5S RNA domain IV</t>
  </si>
  <si>
    <t>49</t>
  </si>
  <si>
    <t>2ASB</t>
  </si>
  <si>
    <t>Nus A</t>
  </si>
  <si>
    <t>251</t>
  </si>
  <si>
    <t>4MDX</t>
  </si>
  <si>
    <t>mRNA interferase MazF</t>
  </si>
  <si>
    <t>117+117</t>
  </si>
  <si>
    <t>5SZE</t>
  </si>
  <si>
    <t>Aquifex aeolicus Hfq-RNA</t>
  </si>
  <si>
    <t>1WPU</t>
  </si>
  <si>
    <t>HutP antitermination protein</t>
  </si>
  <si>
    <t>147</t>
  </si>
  <si>
    <t>hut mRNA</t>
  </si>
  <si>
    <t>7MJW</t>
  </si>
  <si>
    <t>B. uniformis tRNA-2-methylthio-N(6)-dimethylallyladenosine synthase</t>
  </si>
  <si>
    <t>457</t>
  </si>
  <si>
    <t>3PF4</t>
  </si>
  <si>
    <t>CspB</t>
  </si>
  <si>
    <t>67+67</t>
  </si>
  <si>
    <t>7K5L</t>
  </si>
  <si>
    <t>E. virus Matrix protein VP40</t>
  </si>
  <si>
    <t>8TG4</t>
  </si>
  <si>
    <t>A. PernixTpt1</t>
  </si>
  <si>
    <t xml:space="preserve"> 2'-OH RNA</t>
  </si>
  <si>
    <t>2XS2</t>
  </si>
  <si>
    <t>Murine Dazl</t>
  </si>
  <si>
    <t>102</t>
  </si>
  <si>
    <t>3'-UTRs of mRNA</t>
  </si>
  <si>
    <t>H. sapiens Ribonuclease H1</t>
  </si>
  <si>
    <t>294</t>
  </si>
  <si>
    <t>20+20</t>
  </si>
  <si>
    <t>PDB_ID</t>
  </si>
  <si>
    <t>1EC6</t>
  </si>
  <si>
    <t>RNA-BINDING PROTEIN NOVA-2</t>
  </si>
  <si>
    <t>20-MER RNA HAIRPIN</t>
  </si>
  <si>
    <t>1TFW</t>
  </si>
  <si>
    <t>A:GJ</t>
  </si>
  <si>
    <t>tRNA nucleotidyltransferase</t>
  </si>
  <si>
    <t>5'-R(*GP*CP*GP*GP*AP*UP*CP*CP*GP*CP*AP*C)-3'+5'-R(*GP*CP*GP*GP*AP*UP*CP*CP*GP*CP*AP*CP*C)-3'</t>
  </si>
  <si>
    <t>2F8K</t>
  </si>
  <si>
    <t>Protein VTS1</t>
  </si>
  <si>
    <t>5'-R(*UP*AP*AP*UP*CP*UP*UP*UP*GP*AP*CP*AP*GP*AP*UP*U)-3'</t>
  </si>
  <si>
    <t>2PO1</t>
  </si>
  <si>
    <t>Probable exosome complex exonuclease 1+2</t>
  </si>
  <si>
    <t>249+277</t>
  </si>
  <si>
    <t>10-mer poly(A)</t>
  </si>
  <si>
    <t>2X1F</t>
  </si>
  <si>
    <t>MRNA 3'-END-PROCESSING PROTEIN RNA15</t>
  </si>
  <si>
    <t>5'-R(*GP*UP*UP*GP*UP)-3'</t>
  </si>
  <si>
    <t>2XLK</t>
  </si>
  <si>
    <t>CSY4 ENDORIBONUCLEASE</t>
  </si>
  <si>
    <t>5'-R(*CP*UP*GP*CP*CP*GP*UP*AP*UP*AP*GP*GP*CP*A*DG*C)-3'</t>
  </si>
  <si>
    <t>2ZUE</t>
  </si>
  <si>
    <t>Arginyl-tRNA synthetase</t>
  </si>
  <si>
    <t>3ADD</t>
  </si>
  <si>
    <t>L-seryl-tRNA(Sec) kinase</t>
  </si>
  <si>
    <t>TRNA-Sel</t>
  </si>
  <si>
    <t>3AGV</t>
  </si>
  <si>
    <t>B:U</t>
  </si>
  <si>
    <t>Ig gamma-1 chain C region</t>
  </si>
  <si>
    <t>5'-R(*GP*GP*AP*GP*GP*(UFT)P*GP*(CFZ)P*(UFT)P*(CFZ)P*(CFZ)P*GP*AP*AP*A*GP*GP*AP*AP*(CFZ)P*(UFT)P*(CFZ)P*(CFZ)P*A)-3'</t>
  </si>
  <si>
    <t>3AHU</t>
  </si>
  <si>
    <t>ABC:X</t>
  </si>
  <si>
    <t>Protein hfq</t>
  </si>
  <si>
    <t>5'-R(*AP*GP*AP*GP*AP*G)-3'</t>
  </si>
  <si>
    <t>3AVX</t>
  </si>
  <si>
    <t>A:GT</t>
  </si>
  <si>
    <t>Elongation factor Ts, Elongation factor Tu, LINKER, Q beta replicase</t>
  </si>
  <si>
    <t>RNA (5'-R(*GP*GP*GP*UP*CP*CP*AP*UP*C)-3')+ RNA (5'-R(*AP*AP*CP*GP*AP*UP*GP*GP*AP*CP*CP*CP*A)-3')</t>
  </si>
  <si>
    <t>9+13</t>
  </si>
  <si>
    <t>3BOY</t>
  </si>
  <si>
    <t>ABC:D</t>
  </si>
  <si>
    <t>Hut operon positive regulatory protein</t>
  </si>
  <si>
    <t>5'-R(*UP*UP*UP*AP*GP*UP*UP*UP*UP*UP*AP*GP*UP*UP*UP*UP*UP*AP*GP*UP*UP*U)-3'</t>
  </si>
  <si>
    <t>3FHT</t>
  </si>
  <si>
    <t>ATP-dependent RNA helicase DDX19B</t>
  </si>
  <si>
    <t>RNA (5'-R(*UP*UP*UP*UP*UP*UP*UP*UP*UP*U)-3')</t>
  </si>
  <si>
    <t>3G9Y</t>
  </si>
  <si>
    <t>Zinc finger Ran-binding domain-containing protein 2</t>
  </si>
  <si>
    <t>RNA (5'-R(*AP*GP*GP*UP*AP*A)-3')</t>
  </si>
  <si>
    <t>3IEM</t>
  </si>
  <si>
    <t>A:GJLN</t>
  </si>
  <si>
    <t>Ribonuclease TTHA0252</t>
  </si>
  <si>
    <t>RNA (5'-R(*(SSU)P*(SSU)P*(SSU)P*(SSU)P*(SSU)P*(SSU))-3')</t>
  </si>
  <si>
    <t>3KMS</t>
  </si>
  <si>
    <t>A:CB</t>
  </si>
  <si>
    <t>3D polymerase</t>
  </si>
  <si>
    <t>RNA (5'-R(*GP*GP*CP*CP*C)-3')+ RNA (5'-R(*AP*UP*GP*GP*GP*CP*C)-3')</t>
  </si>
  <si>
    <t>5+7</t>
  </si>
  <si>
    <t>3MJ0</t>
  </si>
  <si>
    <t>Protein argonaute-2</t>
  </si>
  <si>
    <t>RNA (5'-R(*CP*GP*UP*UP*AP*CP*GP*CP*(OMU))-3')</t>
  </si>
  <si>
    <t>3O7V</t>
  </si>
  <si>
    <t>CX:AB</t>
  </si>
  <si>
    <t>Piwi-like protein 1</t>
  </si>
  <si>
    <t>124+124</t>
  </si>
  <si>
    <t>RNA (5'-R(*GP*CP*GP*AP*AP*UP*AP*UP*UP*CP*GP*CP*UP*(OMU))-3')</t>
  </si>
  <si>
    <t>3OIN</t>
  </si>
  <si>
    <t>Ribosomal RNA small subunit methyltransferase NEP1</t>
  </si>
  <si>
    <t>5'-R(*GP*GP*GP*CP*UP*UP*CP*AP*AP*CP*GP*CP*CP*C)-3'</t>
  </si>
  <si>
    <t>3OVB</t>
  </si>
  <si>
    <t>CCA-Adding Enzyme</t>
  </si>
  <si>
    <t>RNA (35-MER)</t>
  </si>
  <si>
    <t>3WBM</t>
  </si>
  <si>
    <t>ABCD:XY</t>
  </si>
  <si>
    <t>DNA/RNA-binding protein Alba 1</t>
  </si>
  <si>
    <r>
      <rPr>
        <sz val="10"/>
        <rFont val="Arial"/>
        <family val="2"/>
        <charset val="1"/>
      </rPr>
      <t>97+97+97+</t>
    </r>
    <r>
      <rPr>
        <sz val="12"/>
        <rFont val="Arial"/>
        <family val="2"/>
        <charset val="1"/>
      </rPr>
      <t>97</t>
    </r>
  </si>
  <si>
    <t>RNA (25-MER)</t>
  </si>
  <si>
    <t>25+25</t>
  </si>
  <si>
    <t>4C8Y</t>
  </si>
  <si>
    <t>CRISPR-associated protein Cas6 C-terminal domain-containing protein</t>
  </si>
  <si>
    <t>R1 REPEAT RNA SUBSTRATE MIMIC</t>
  </si>
  <si>
    <t>4F02</t>
  </si>
  <si>
    <t>Polyadenylate-binding protein 1</t>
  </si>
  <si>
    <t>RNA (5'-R(*AP*AP*AP*AP*AP*AP*AP*AP*AP*AP*A)-3')</t>
  </si>
  <si>
    <t>4GV3</t>
  </si>
  <si>
    <t>Nucleoprotein</t>
  </si>
  <si>
    <t>RNA (5'-R(P*CP*GP*CP*CP*C)-3')</t>
  </si>
  <si>
    <t>5+5</t>
  </si>
  <si>
    <t>4IQX</t>
  </si>
  <si>
    <t xml:space="preserve">RNA (5'-R(*GP*GP*CP*CP*C)-3')+RNA (5'-R(*AP*UP*GP*GP*GP*CP*C)-3')
</t>
  </si>
  <si>
    <t>4JNG</t>
  </si>
  <si>
    <t>ABCD:L</t>
  </si>
  <si>
    <t>Nucleocapsid protein</t>
  </si>
  <si>
    <t>RNA (42-MER)</t>
  </si>
  <si>
    <t>4LGT</t>
  </si>
  <si>
    <t>Ribosomal large subunit pseudouridine synthase B</t>
  </si>
  <si>
    <t>stem-loop of 23S rRNA</t>
  </si>
  <si>
    <t>4LJ0</t>
  </si>
  <si>
    <t>Nab2</t>
  </si>
  <si>
    <t>polyadenosine RNA</t>
  </si>
  <si>
    <t>8+8+8</t>
  </si>
  <si>
    <t>4M4O</t>
  </si>
  <si>
    <t>Lysozyme C</t>
  </si>
  <si>
    <t>RNA (59-MER)</t>
  </si>
  <si>
    <t>4NGD</t>
  </si>
  <si>
    <t>Endoribonuclease Dicer</t>
  </si>
  <si>
    <t>5'-R(P*GP*CP*GP*AP*AP*UP*UP*CP*GP*CP*UP*U)-3'</t>
  </si>
  <si>
    <r>
      <rPr>
        <sz val="10"/>
        <rFont val="Arial"/>
        <family val="2"/>
        <charset val="1"/>
      </rPr>
      <t>12+</t>
    </r>
    <r>
      <rPr>
        <sz val="12"/>
        <rFont val="Arial"/>
        <family val="2"/>
        <charset val="1"/>
      </rPr>
      <t>12</t>
    </r>
  </si>
  <si>
    <t>4O8J</t>
  </si>
  <si>
    <t>RNA 3'-terminal phosphate cyclase</t>
  </si>
  <si>
    <t>4OAV</t>
  </si>
  <si>
    <t>BD:AC</t>
  </si>
  <si>
    <t>PROTEIN (RNase L)</t>
  </si>
  <si>
    <r>
      <rPr>
        <sz val="10"/>
        <rFont val="Arial"/>
        <family val="2"/>
        <charset val="1"/>
      </rPr>
      <t>699+</t>
    </r>
    <r>
      <rPr>
        <sz val="12"/>
        <rFont val="Arial"/>
        <family val="2"/>
        <charset val="1"/>
      </rPr>
      <t>699</t>
    </r>
  </si>
  <si>
    <t>RNA (5'-R(P*(PO4)P*(PO4)P*AP*AP*AP*AP*(PO4))-2')</t>
  </si>
  <si>
    <r>
      <rPr>
        <sz val="10"/>
        <rFont val="Arial"/>
        <family val="2"/>
        <charset val="1"/>
      </rPr>
      <t>7+</t>
    </r>
    <r>
      <rPr>
        <sz val="12"/>
        <rFont val="Arial"/>
        <family val="2"/>
        <charset val="1"/>
      </rPr>
      <t>7</t>
    </r>
  </si>
  <si>
    <t>4OOG</t>
  </si>
  <si>
    <t>Ribonuclease 3</t>
  </si>
  <si>
    <t>110+110+261</t>
  </si>
  <si>
    <t>34-mer RNA</t>
  </si>
  <si>
    <t>4QM6</t>
  </si>
  <si>
    <t>Metallophosphoesterase</t>
  </si>
  <si>
    <t>4QOZ</t>
  </si>
  <si>
    <t>Histone RNA hairpin-binding protein+3'-5' exoribonuclease 1</t>
  </si>
  <si>
    <t>120+303</t>
  </si>
  <si>
    <t>histone mRNA stem-loop</t>
  </si>
  <si>
    <t>4R8I</t>
  </si>
  <si>
    <t>C-C motif chemokine 2</t>
  </si>
  <si>
    <t>Mirror-Image RNA Oligonucleotide Aptamer NOXE36</t>
  </si>
  <si>
    <t>4RCJ</t>
  </si>
  <si>
    <t>YTH domain-containing family protein 1</t>
  </si>
  <si>
    <t>RNA (5'-R(*GP*GP*(6MZ)P*CP*U)-3')</t>
  </si>
  <si>
    <t>4RMO</t>
  </si>
  <si>
    <t>AE:BF</t>
  </si>
  <si>
    <t>CptN Toxin</t>
  </si>
  <si>
    <r>
      <rPr>
        <sz val="10"/>
        <rFont val="Arial"/>
        <family val="2"/>
        <charset val="1"/>
      </rPr>
      <t>155+</t>
    </r>
    <r>
      <rPr>
        <sz val="12"/>
        <rFont val="Arial"/>
        <family val="2"/>
        <charset val="1"/>
      </rPr>
      <t>155</t>
    </r>
  </si>
  <si>
    <t>RNA (45-MER)</t>
  </si>
  <si>
    <t>45+45</t>
  </si>
  <si>
    <t>4RWN</t>
  </si>
  <si>
    <t>2'-5'-oligoadenylate synthase 1</t>
  </si>
  <si>
    <t>RNA (5'-R(*UP*UP*CP*AP*UP*AP*AP*AP*GP*GP*UP*CP*AP*AP*AP*AP*GP*CP*C)-3')</t>
  </si>
  <si>
    <r>
      <rPr>
        <sz val="10"/>
        <rFont val="Arial"/>
        <family val="2"/>
        <charset val="1"/>
      </rPr>
      <t>19+</t>
    </r>
    <r>
      <rPr>
        <sz val="12"/>
        <rFont val="Arial"/>
        <family val="2"/>
        <charset val="1"/>
      </rPr>
      <t>19</t>
    </r>
  </si>
  <si>
    <t>4S3N</t>
  </si>
  <si>
    <t>2'-5'-oligoadenylate synthase 3</t>
  </si>
  <si>
    <t>4WAN</t>
  </si>
  <si>
    <t>Branchpoint-bridging protein</t>
  </si>
  <si>
    <t>RNA (5'-R(P*UP*AP*CP*UP*AP*AP*CP*A)-3')</t>
  </si>
  <si>
    <t>4XWW</t>
  </si>
  <si>
    <t>DR2417</t>
  </si>
  <si>
    <t>RNA (5'-D(UP*UP*UP*UP*UP*UP*U)-3')</t>
  </si>
  <si>
    <t>4YB1</t>
  </si>
  <si>
    <t>U1 small nuclear ribonucleoprotein A</t>
  </si>
  <si>
    <t>RNA (91-MER)</t>
  </si>
  <si>
    <t>4YCO</t>
  </si>
  <si>
    <t>tRNA-dihydrouridine synthase C</t>
  </si>
  <si>
    <t>tRNAphe</t>
  </si>
  <si>
    <t>4YYE</t>
  </si>
  <si>
    <t>Threonine--tRNA ligase, mitochondrial</t>
  </si>
  <si>
    <t>4Z0C</t>
  </si>
  <si>
    <t>Toll-like receptor 13</t>
  </si>
  <si>
    <t>DNA (5'-R(P*AP*CP*GP*GP*AP*AP*AP*GP*AP*CP*CP*CP*C)-3')</t>
  </si>
  <si>
    <t>5A0T</t>
  </si>
  <si>
    <t>RIBONUCLEASE J</t>
  </si>
  <si>
    <t>5'-R(*CP*GP*CP*CP*UP)-3'</t>
  </si>
  <si>
    <t>5AXM</t>
  </si>
  <si>
    <t>AB:P</t>
  </si>
  <si>
    <t>tRNA(His)-5'-guanylyltransferase (Thg1) like protein</t>
  </si>
  <si>
    <t>tRNA-His</t>
  </si>
  <si>
    <t>5BUD</t>
  </si>
  <si>
    <t>Decapping nuclease RAI1</t>
  </si>
  <si>
    <t>RNA (5'-R(P*UP*UP*UP*U)-3')</t>
  </si>
  <si>
    <t>5BZ1</t>
  </si>
  <si>
    <t>Suppressor protein MPT5</t>
  </si>
  <si>
    <t>RNA (5'-R(*UP*GP*UP*AP*UP*UP*UP*GP*UP*A)-3')</t>
  </si>
  <si>
    <t>5C0Y</t>
  </si>
  <si>
    <t>Exosome complex exonuclease RRP6</t>
  </si>
  <si>
    <t>poly U RNA</t>
  </si>
  <si>
    <t>5CCB</t>
  </si>
  <si>
    <t>AB:N</t>
  </si>
  <si>
    <t>tRNA (adenine(58)-N(1))-methyltransferase catalytic subunit TRMT61A + non-catalytic subunit TRM6</t>
  </si>
  <si>
    <t>289+497</t>
  </si>
  <si>
    <t>tRNA-Lys</t>
  </si>
  <si>
    <t>5D0A</t>
  </si>
  <si>
    <t>Epoxyqueuosine reductase</t>
  </si>
  <si>
    <t xml:space="preserve">cleaved tRNA-Tyr anticodon stem loop </t>
  </si>
  <si>
    <t>5GUH</t>
  </si>
  <si>
    <t>PIWI</t>
  </si>
  <si>
    <t>5HAB</t>
  </si>
  <si>
    <t>Ribonuclease J</t>
  </si>
  <si>
    <t>RNA (5'-R(P*AP*AP*AP*AP*A)-3')</t>
  </si>
  <si>
    <t>5HJZ</t>
  </si>
  <si>
    <t>Endoribonuclease MazF9</t>
  </si>
  <si>
    <t>RNA (5'-R(*CP*AP*UP*C)-D(P*U)-R(P*AP*CP*CP*UP*GP*A)-3')</t>
  </si>
  <si>
    <t>5JAJ</t>
  </si>
  <si>
    <t>A:XY</t>
  </si>
  <si>
    <t>LGP2</t>
  </si>
  <si>
    <t>RNA (5'-R(P*GP*GP*UP*AP*CP*GP*UP*AP*CP*CP*C)-3')+RNA (5'-R(P*GP*GP*UP*AP*CP*GP*UP*AP*CP*C)-3')</t>
  </si>
  <si>
    <t>11+10</t>
  </si>
  <si>
    <t>5JRC</t>
  </si>
  <si>
    <t>ABCD:EJ</t>
  </si>
  <si>
    <t>NEQ131</t>
  </si>
  <si>
    <t>5L2L</t>
  </si>
  <si>
    <t>ABEF:CDGH</t>
  </si>
  <si>
    <t>Nab2p</t>
  </si>
  <si>
    <r>
      <rPr>
        <sz val="10"/>
        <rFont val="Arial"/>
        <family val="2"/>
        <charset val="1"/>
      </rPr>
      <t>77+77+77+</t>
    </r>
    <r>
      <rPr>
        <sz val="12"/>
        <rFont val="Arial"/>
        <family val="2"/>
        <charset val="1"/>
      </rPr>
      <t>77</t>
    </r>
  </si>
  <si>
    <t>RNA (5'-R(*AP*AP*AP*AP*AP*AP*AP*AP*AP*G)-3')</t>
  </si>
  <si>
    <t>12+12+12+12</t>
  </si>
  <si>
    <t>5M0I</t>
  </si>
  <si>
    <t>SWI5-dependent HO expression protein 2</t>
  </si>
  <si>
    <t>ASH1-E3 element RNA</t>
  </si>
  <si>
    <r>
      <rPr>
        <sz val="10"/>
        <rFont val="Arial"/>
        <family val="2"/>
        <charset val="1"/>
      </rPr>
      <t>28+</t>
    </r>
    <r>
      <rPr>
        <sz val="12"/>
        <rFont val="Arial"/>
        <family val="2"/>
        <charset val="1"/>
      </rPr>
      <t>28</t>
    </r>
  </si>
  <si>
    <t>5M3H</t>
  </si>
  <si>
    <t>ABC:RV</t>
  </si>
  <si>
    <t>Polymerase acidic protein+RNA-directed RNA polymerase catalytic subunit+Polymerase basic protein 2</t>
  </si>
  <si>
    <t>728+776+797</t>
  </si>
  <si>
    <t>RNA 5'-pAGUAGUAACAAGAGGG+RNA (5'-R(*UP*AP*UP*AP*CP*CP*UP*CP*UP*GP*CP*UP*U)-3')</t>
  </si>
  <si>
    <t>16, 18</t>
  </si>
  <si>
    <t>6CMN</t>
  </si>
  <si>
    <t>TAR-Binding Protein 6.7</t>
  </si>
  <si>
    <t>Trans-Activation Response RNA Element</t>
  </si>
  <si>
    <t>6GVY</t>
  </si>
  <si>
    <t>Genome polyprotein</t>
  </si>
  <si>
    <t>RNA (5'-R(*UP*UP*UP*UP*UP*A)-3')</t>
  </si>
  <si>
    <t>5+8</t>
  </si>
  <si>
    <t>6PPQ</t>
  </si>
  <si>
    <t>ABCD:H</t>
  </si>
  <si>
    <t>U6 snRNA-associated Sm-like protein Lsm1,2,3,4</t>
  </si>
  <si>
    <t>synthetic construct</t>
  </si>
  <si>
    <t>6XH2</t>
  </si>
  <si>
    <t>TAR-BINDING PROTEIN 6.6</t>
  </si>
  <si>
    <t>TRANS-ACTIVATION RESPONSE ELEMENT</t>
  </si>
  <si>
    <t>6ZM2</t>
  </si>
  <si>
    <t>Putative mRNA splicing factor</t>
  </si>
  <si>
    <t>RNA (5'-R(P*UP*UP*UP*UP*UP*UP*U)-3')</t>
  </si>
  <si>
    <t>7D8O</t>
  </si>
  <si>
    <t>ACE:BDF</t>
  </si>
  <si>
    <t>Type III toxin-antitoxin system ToxN/AbiQ family toxin</t>
  </si>
  <si>
    <t>Pseudoknot Antitoxin RNA (Toxl)</t>
  </si>
  <si>
    <t>8G9Z</t>
  </si>
  <si>
    <t>O-phosphoseryl-tRNA(Sec) selenium transferase</t>
  </si>
  <si>
    <r>
      <rPr>
        <sz val="10"/>
        <rFont val="Arial"/>
        <family val="2"/>
        <charset val="1"/>
      </rPr>
      <t>521+</t>
    </r>
    <r>
      <rPr>
        <sz val="12"/>
        <rFont val="Arial"/>
        <family val="2"/>
        <charset val="1"/>
      </rPr>
      <t>521</t>
    </r>
  </si>
  <si>
    <t>8OIV</t>
  </si>
  <si>
    <t>Cap-specific mRNA (nucleoside-2'-O-)-methyltransferase</t>
  </si>
  <si>
    <t>mGpppGAAAAA</t>
  </si>
  <si>
    <t>8RBJ</t>
  </si>
  <si>
    <t>tRNA ligase</t>
  </si>
  <si>
    <t xml:space="preserve">pre-tRNA exon </t>
  </si>
  <si>
    <t>9AVR</t>
  </si>
  <si>
    <t>Eukaryotic initiation factor 4A-I</t>
  </si>
  <si>
    <t>RNA oligonucleotide (AG)5</t>
  </si>
  <si>
    <t>9C68</t>
  </si>
  <si>
    <t>Adenosine deaminase domain-containing protein</t>
  </si>
  <si>
    <t>RNA (5'-R(P*AP*AP*AP*AP*AP*A)-3')</t>
  </si>
  <si>
    <t>9D9O</t>
  </si>
  <si>
    <t>Protease 3C</t>
  </si>
  <si>
    <t xml:space="preserve">RNA stem-loop D </t>
  </si>
  <si>
    <t>9F37</t>
  </si>
  <si>
    <t>Polymerase acidic protein+RNA-directed RNA polymerase catalytic subunit+Polymerase basic protein 2+Polymerase basic protein 2</t>
  </si>
  <si>
    <t>738+776+809</t>
  </si>
  <si>
    <r>
      <rPr>
        <sz val="10"/>
        <rFont val="Arial"/>
        <family val="2"/>
        <charset val="1"/>
      </rPr>
      <t>5' end and 3' end</t>
    </r>
    <r>
      <rPr>
        <sz val="12"/>
        <rFont val="Arial"/>
        <family val="2"/>
        <charset val="1"/>
      </rPr>
      <t xml:space="preserve"> of the vRNA promoter</t>
    </r>
  </si>
  <si>
    <t>16+21</t>
  </si>
  <si>
    <t>9H1K</t>
  </si>
  <si>
    <t>23S rRNA methyltransferase</t>
  </si>
  <si>
    <r>
      <rPr>
        <sz val="10"/>
        <rFont val="Arial"/>
        <family val="2"/>
        <charset val="1"/>
      </rPr>
      <t>280+</t>
    </r>
    <r>
      <rPr>
        <sz val="12"/>
        <rFont val="Arial"/>
        <family val="2"/>
        <charset val="1"/>
      </rPr>
      <t>280</t>
    </r>
  </si>
  <si>
    <t>9HX7</t>
  </si>
  <si>
    <t>Ubiquitin-like protein SMT3,Serine/arginine-rich splicing factor 6</t>
  </si>
  <si>
    <t>RNA (5'-R(P*GP*GP*A)-3')</t>
  </si>
  <si>
    <t>9JKD</t>
  </si>
  <si>
    <t>RNA dependent RNA polymerase</t>
  </si>
  <si>
    <t>30+9</t>
  </si>
  <si>
    <t>9QS9</t>
  </si>
  <si>
    <t>AB:G</t>
  </si>
  <si>
    <t>Crn4 H15A</t>
  </si>
  <si>
    <t>Cyclic polyA</t>
  </si>
  <si>
    <t>9RVP</t>
  </si>
  <si>
    <t>RNA pseudoknot</t>
  </si>
  <si>
    <t>9SFQ</t>
  </si>
  <si>
    <t>Tyrosine--tRNA ligase</t>
  </si>
  <si>
    <t>Wild-type, fully modified Thermus thermopilus tRNATyr(GUC)</t>
  </si>
  <si>
    <t>9T99</t>
  </si>
  <si>
    <t>Dicer-related helicase</t>
  </si>
  <si>
    <t>blunt end 5'P-dsRNA</t>
  </si>
  <si>
    <t>9TEL</t>
  </si>
  <si>
    <t>RNA helicase</t>
  </si>
  <si>
    <t>mismatched non-canonical duplex vRNA</t>
  </si>
  <si>
    <r>
      <rPr>
        <sz val="10"/>
        <rFont val="Arial"/>
        <family val="2"/>
        <charset val="1"/>
      </rPr>
      <t>10+</t>
    </r>
    <r>
      <rPr>
        <sz val="12"/>
        <rFont val="Arial"/>
        <family val="2"/>
        <charset val="1"/>
      </rPr>
      <t>10</t>
    </r>
  </si>
  <si>
    <t>9W2K</t>
  </si>
  <si>
    <t>AB:FI</t>
  </si>
  <si>
    <t>tRNA intron endonuclease VSENs</t>
  </si>
  <si>
    <r>
      <rPr>
        <sz val="10"/>
        <rFont val="Arial"/>
        <family val="2"/>
        <charset val="1"/>
      </rPr>
      <t>395+</t>
    </r>
    <r>
      <rPr>
        <sz val="12"/>
        <rFont val="Arial"/>
        <family val="2"/>
        <charset val="1"/>
      </rPr>
      <t>395</t>
    </r>
  </si>
  <si>
    <t>8+13</t>
  </si>
  <si>
    <t>BB16</t>
  </si>
  <si>
    <t>BBw</t>
  </si>
  <si>
    <t>BB04</t>
  </si>
  <si>
    <t>B12</t>
  </si>
  <si>
    <t>AA07</t>
  </si>
  <si>
    <t>AB06</t>
  </si>
  <si>
    <t>BB21</t>
  </si>
  <si>
    <t>miB</t>
  </si>
  <si>
    <t>IC02</t>
  </si>
  <si>
    <t>IC09</t>
  </si>
  <si>
    <t>OP29</t>
  </si>
  <si>
    <t>OP26</t>
  </si>
  <si>
    <t>BB22</t>
  </si>
  <si>
    <t>IC08</t>
  </si>
  <si>
    <t>N U 6 A 7</t>
  </si>
  <si>
    <t>D G 32 G 33</t>
  </si>
  <si>
    <t>X G 18 C 19</t>
  </si>
  <si>
    <t>B A 951 G 952</t>
  </si>
  <si>
    <t>D A 3 A 4</t>
  </si>
  <si>
    <t>D G 35 U 36</t>
  </si>
  <si>
    <t>D U 13 U 14</t>
  </si>
  <si>
    <t>B G 19 A 20</t>
  </si>
  <si>
    <t>V A 22 G 23</t>
  </si>
  <si>
    <t>I G 66 A 67</t>
  </si>
  <si>
    <t>T A 22 A 23</t>
  </si>
  <si>
    <t>F C 3 G 4</t>
  </si>
  <si>
    <t>D C 2 A 3</t>
  </si>
  <si>
    <t>F A 58 U 59</t>
  </si>
  <si>
    <t>C A 13 U 14</t>
  </si>
  <si>
    <t>F U 8 A 9</t>
  </si>
  <si>
    <t>D U 48 U 49</t>
  </si>
  <si>
    <t>D U 8 U 9</t>
  </si>
  <si>
    <t>L G 13 A 14</t>
  </si>
  <si>
    <t>C G 2548 G 2549</t>
  </si>
  <si>
    <t>L U 8 U 9</t>
  </si>
  <si>
    <t>J A 31 A 32</t>
  </si>
  <si>
    <t>E A 5 A 6</t>
  </si>
  <si>
    <t>F C 17 G 18</t>
  </si>
  <si>
    <t>AB07</t>
  </si>
  <si>
    <t>OP33</t>
  </si>
  <si>
    <t>Chain ID</t>
  </si>
  <si>
    <t>RNA molecules</t>
  </si>
  <si>
    <t>Length</t>
  </si>
  <si>
    <t>Method</t>
  </si>
  <si>
    <t>Release_Date</t>
  </si>
  <si>
    <t>Title</t>
  </si>
  <si>
    <t>Sequence</t>
  </si>
  <si>
    <t>1DUH</t>
  </si>
  <si>
    <t>4.5S RNA DOMAIN IV</t>
  </si>
  <si>
    <t>X-RAY DIFFRACTION</t>
  </si>
  <si>
    <t>2000-05-08T00:00:00Z</t>
  </si>
  <si>
    <t>CRYSTAL STRUCTURE OF THE CONSERVED DOMAIN IV OF E. COLI 4.5S RNA</t>
  </si>
  <si>
    <t>CUCUGUUUACCAGGUCAGGUCCGGAAGGAAGCAGCCAAGGCAGAG</t>
  </si>
  <si>
    <t>1EHZ</t>
  </si>
  <si>
    <t>TRANSFER RNA (PHE)</t>
  </si>
  <si>
    <t>2000-10-02T00:00:00Z</t>
  </si>
  <si>
    <t>The crystal structure of yeast phenylalanine tRNA at 1.93 A resolution</t>
  </si>
  <si>
    <t>GCGGAUUUAGCUCAGUUGGGAGAGCGCCAGACUGAAGAUCUGGAGGUCCUGUGUUCGAUCCACAGAAUUCGCACCA</t>
  </si>
  <si>
    <t>1ET4</t>
  </si>
  <si>
    <t>RNA APTAMER, 35-MER</t>
  </si>
  <si>
    <t>2000-11-13T00:00:00Z</t>
  </si>
  <si>
    <t>CRYSTAL STRUCTURE OF A VITAMIN B12 BINDING RNA APTAMER WITH LIGAND AT 2.3 A</t>
  </si>
  <si>
    <t>GGAACCGGUGCGCAUAACCACCUCAGUGCGAGCAA</t>
  </si>
  <si>
    <t>1F1T</t>
  </si>
  <si>
    <t>MALACHITE GREEN APTAMER RNA</t>
  </si>
  <si>
    <t>2000-09-04T00:00:00Z</t>
  </si>
  <si>
    <t>CRYSTAL STRUCTURE OF THE MALACHITE GREEN APTAMER COMPLEXED WITH TETRAMETHYL-ROSAMINE</t>
  </si>
  <si>
    <t>GGAUCCCGACUGGCGAGAGCCAGGUAACGAAUGGAUCC</t>
  </si>
  <si>
    <t>1KH6</t>
  </si>
  <si>
    <t>JIIIabc</t>
  </si>
  <si>
    <t>2002-04-26T00:00:00Z</t>
  </si>
  <si>
    <t>Crystal Structure of an RNA Tertiary Domain Essential to HCV IRES-mediated Translation Initiation.</t>
  </si>
  <si>
    <t>GGCGGAACCGGUGAGUACACCGGAAUCCGAAAGGAUUUGGGCGUGCCCCCGCC</t>
  </si>
  <si>
    <t>1KXK</t>
  </si>
  <si>
    <t>ai5g group II Self-splicing intron</t>
  </si>
  <si>
    <t>2002-03-22T00:00:00Z</t>
  </si>
  <si>
    <t>Crystal Structure of a RNA Molecule Containing Domain 5 and 6 of the Yeast ai5g Group II Self-splicing Intron</t>
  </si>
  <si>
    <t>GUCUACCUAUCGGGCUAAGGAGCCGUAUGCGAUGAAAGUCGCACGUACGGUUCUAUGCCCGGGGGAAAAC</t>
  </si>
  <si>
    <t>1L2X</t>
  </si>
  <si>
    <t>Atomic Resolution Crystal Structure of a Viral RNA Pseudoknot</t>
  </si>
  <si>
    <t>GGCGCGGCACCGUCCGCGGAACAAACGG</t>
  </si>
  <si>
    <t>1U9S</t>
  </si>
  <si>
    <t>RIBONUCLEASE P</t>
  </si>
  <si>
    <t>2004-10-26T00:00:00Z</t>
  </si>
  <si>
    <t>Crystal structure of the specificity domain of Ribonuclease P of the A-type</t>
  </si>
  <si>
    <t>GGGUGCCAGGUAACGCCUGGGCGGGGUAACCCGACGGAAAGUGCCACAGAGAAGAGACCGCCAGCGGCCGGGGCUUCCCCCGGUGCGGGCAAGGGUGAAACGGCGGGGUAAGAGCCCACCGCCUGGCCUGGCAACAGGCCGGGGCACGGCAAACCCCACCC</t>
  </si>
  <si>
    <t>1XJR</t>
  </si>
  <si>
    <t>s2m RNA</t>
  </si>
  <si>
    <t>2005-02-01T00:00:00Z</t>
  </si>
  <si>
    <t>The Structure of a Rigorously Conserved RNA Element Within the SARS Virus Genome</t>
  </si>
  <si>
    <t>GGAGUUCACCGAGGCCACGCGGAGUACGAUCGAGGGUACAGUGAAUU</t>
  </si>
  <si>
    <t>1YFG</t>
  </si>
  <si>
    <t>YEAST INITIATOR TRNA</t>
  </si>
  <si>
    <t>1997-09-03T00:00:00Z</t>
  </si>
  <si>
    <t>AGCGCCGUGGCGCAGUGGAAGCGCGCAGGGCUCAUAACCCUGAUGUCCUCGGAUCGAAACCGAGCGGCGCUACCA</t>
  </si>
  <si>
    <t>1Z43</t>
  </si>
  <si>
    <t>RNA (101-MER)</t>
  </si>
  <si>
    <t>2005-06-14T00:00:00Z</t>
  </si>
  <si>
    <t>Crystal structure of 7S.S SRP RNA of M. jannaschii</t>
  </si>
  <si>
    <t>GCUCGGCGGUGGGGGAGCAUCUCCUGUAGGGGAGAUGUAACCCCCUUUACCUGCCGAACCCCGCCAGGCCCGGAAGGGAGCAACGGUAGGCAGGACGUCGG</t>
  </si>
  <si>
    <t>2EEW</t>
  </si>
  <si>
    <t>Guanine riboswitch</t>
  </si>
  <si>
    <t>2007-11-13T00:00:00Z</t>
  </si>
  <si>
    <t>Guanine Riboswitch U47C mutant bound to hypoxanthine</t>
  </si>
  <si>
    <t>GGACAUAUAAUCGCGUGGAUAUGGCACGCAAGCUUCUACCGGGCACCGUAAAUGUCCGACUAUGUCC</t>
  </si>
  <si>
    <t>2OIU</t>
  </si>
  <si>
    <t>P</t>
  </si>
  <si>
    <t>L1 Ribozyme RNA Ligase</t>
  </si>
  <si>
    <t>2007-03-13T00:00:00Z</t>
  </si>
  <si>
    <t>L1 Ribozyme Ligase circular adduct</t>
  </si>
  <si>
    <t>GGACCUCGGCGAAAGCCGUUCGACCAGCGAAAGCUCUUAGACAGGAGGUUAGGUGCUCCGAAAGGAGCACU</t>
  </si>
  <si>
    <t>2QBZ</t>
  </si>
  <si>
    <t>X</t>
  </si>
  <si>
    <t>M-Box RNA, ykoK riboswitch aptamer</t>
  </si>
  <si>
    <t>2007-09-18T00:00:00Z</t>
  </si>
  <si>
    <t>Structure of the M-Box Riboswitch Aptamer Domain</t>
  </si>
  <si>
    <t>GGGCUUCGUUAGGUGAGGCUCCUGUAUGGAGAUACGCUGCUGCCCAAAAAUGUCCAAAGACGCCAAUGGGUCAACAGAAAUCAUCGACAUAAGGUGAUUUUUAAUGCAGCUGGAUGCUUGUCCUAUGCCAUACAGUGCUAAAGCUCUACGAUUGAAGCCCA</t>
  </si>
  <si>
    <t>2QWY</t>
  </si>
  <si>
    <t>SAM-II riboswitch</t>
  </si>
  <si>
    <t>2008-01-22T00:00:00Z</t>
  </si>
  <si>
    <t>SAM-II riboswitch bound to S-adenosylmethionine</t>
  </si>
  <si>
    <t>GCGCGGCGAUUUAACCGUAUUGCAGUCGCGUGAUAAAUGUAGCUAAAAAGGA</t>
  </si>
  <si>
    <t>2ZY6</t>
  </si>
  <si>
    <t>phenylalanyl transfer RNA</t>
  </si>
  <si>
    <t>2009-06-30T00:00:00Z</t>
  </si>
  <si>
    <t>Crystal structure of a truncated tRNA, TPHE39A</t>
  </si>
  <si>
    <t>GCCCGGAUAGUGUCCUUGGGAAACCGAGUCCGGGCACCA</t>
  </si>
  <si>
    <t>3D0X</t>
  </si>
  <si>
    <t>RNA (161-MER)</t>
  </si>
  <si>
    <t>2008-07-01T00:00:00Z</t>
  </si>
  <si>
    <t>Crystal Structure of the unbound lysine riboswitch</t>
  </si>
  <si>
    <t>GGACGGAGGCGCGCCCGAGAUGAGUAGGCUGUCCCAUCAGGGGAGGAAUCGGGGACGGCUGAAAGGCGAGGGCGCCGAAGCGAGCAGAGUUCCUCCCGCUCUGCUUGGCUGGGGGUGAGGGGAAUACCCUUACCACUGUCGCGAAAGCGGAGAGCCGUCCA</t>
  </si>
  <si>
    <t>3D2V</t>
  </si>
  <si>
    <t>TPP-specific riboswitch</t>
  </si>
  <si>
    <t>Structure of the eukaryotic TPP-specific riboswitch bound to the antibacterial compound pyrithiamine pyrophosphate</t>
  </si>
  <si>
    <t>GGGACCAGGGGUGCUUGUUCACAGGCUGAGAAAGUCCCUUUGAACCUGAACAGGGUAAUGCCUGCGCAGGGAGUGUC</t>
  </si>
  <si>
    <t>3E5C</t>
  </si>
  <si>
    <t>SMK box (SAM-III) Riboswitch</t>
  </si>
  <si>
    <t>2008-10-07T00:00:00Z</t>
  </si>
  <si>
    <t>Crystal Structure of the SMK box (SAM-III) Riboswitch with SAM</t>
  </si>
  <si>
    <t>GUUCCCGAAAGGAUGGCGGAAACGCCAGAUGCCUUGUAACCGAAAGGGGGAAU</t>
  </si>
  <si>
    <t>3FU2</t>
  </si>
  <si>
    <t>PreQ1 riboswitch</t>
  </si>
  <si>
    <t>2009-03-03T00:00:00Z</t>
  </si>
  <si>
    <t>Cocrystal structure of a class-I preQ1 riboswitch</t>
  </si>
  <si>
    <t>AGAGGUUCUAGCUACACCCUCUAUAAAAAACUAA</t>
  </si>
  <si>
    <t>3GOG</t>
  </si>
  <si>
    <t>2009-06-23T00:00:00Z</t>
  </si>
  <si>
    <t>Guanine riboswitch A21G,U75C mutant bound to 6-chloroguanine</t>
  </si>
  <si>
    <t>GGACAUGUAAUCGCGUGGAUAUGGCACGCAAGUUUCUACCGGGCACCGUAAAUGUCCGACCAUGUCC</t>
  </si>
  <si>
    <t>3K1V</t>
  </si>
  <si>
    <t>2009-10-06T00:00:00Z</t>
  </si>
  <si>
    <t>Cocrystal structure of a mutant class-I preQ1 riboswitch</t>
  </si>
  <si>
    <t>AGAGGUUCUAGCACAUCCCUCUAUAAAAAACUAA</t>
  </si>
  <si>
    <t>3L0U</t>
  </si>
  <si>
    <t>Unmodified tRNAPhe</t>
  </si>
  <si>
    <t>2010-03-16T00:00:00Z</t>
  </si>
  <si>
    <t>The crystal structure of unmodified tRNAPhe from Escherichia coli</t>
  </si>
  <si>
    <t>GCGCGGAUAGCUCAGUCGGUAGAGCAGGGGAUUGAAAAUCCCCGUGUCCUUGGUUCGAUUCCGAGUCCGCGCACCA</t>
  </si>
  <si>
    <t>3LA5</t>
  </si>
  <si>
    <t>Adenosine RIboswitch</t>
  </si>
  <si>
    <t>2010-01-26T00:00:00Z</t>
  </si>
  <si>
    <t>X-ray crystal structure of mc6 RNA Riboswitch bound to azacytosine</t>
  </si>
  <si>
    <t>GGCUUCAUAUAAUCCGAAUGAUAUGGUUUCGGAGCUUCCACCAAGAGCCUUAAACUCUUGACUAUGGAGUC</t>
  </si>
  <si>
    <t>3NPN</t>
  </si>
  <si>
    <t>S-ADENOSYLHOMOCYSTEINE RIBOSWITCH</t>
  </si>
  <si>
    <t>2010-10-06T00:00:00Z</t>
  </si>
  <si>
    <t>Structure of the s-adenosylhomocysteine riboswitch at 3.0A</t>
  </si>
  <si>
    <t>GGACGAGGAGCGUUGCAAGCGAAAGCCCAGGCUAGUCCGUUCAAACGGCGCUCA</t>
  </si>
  <si>
    <t>3NPQ</t>
  </si>
  <si>
    <t>Structure of the S-adenosylhomocysteine riboswitch at 2.18 A</t>
  </si>
  <si>
    <t>GGACGAGGAGCGCUGCAAGCGAGAGCCCAGGCUCGUCCGUUCAAACGGCGCUCA</t>
  </si>
  <si>
    <t>3Q3Z</t>
  </si>
  <si>
    <t>V</t>
  </si>
  <si>
    <t>c-di-GMP-II riboswitch</t>
  </si>
  <si>
    <t>2011-05-11T00:00:00Z</t>
  </si>
  <si>
    <t>Structure of a c-di-GMP-II riboswitch from C. acetobutylicum bound to c-di-GMP</t>
  </si>
  <si>
    <t>GCGCGGAAACAAUGAUGAAUGGGUUUAAAUUGGGCACUUGACUCAUUUUGAGUUAGUAGUGCAACCGACCGUGCU</t>
  </si>
  <si>
    <t>3RG5</t>
  </si>
  <si>
    <t>tRNA(Sec)</t>
  </si>
  <si>
    <t>2011-06-08T00:00:00Z</t>
  </si>
  <si>
    <t>Crystal Structure of Mouse tRNA(Sec)</t>
  </si>
  <si>
    <t>GCCCGGAUGAUCCUCAGUGGUCUGGGGUGCAGGCUUCAAACCUGUAGCUGUUUAGCGACAGAGUGGUUCAAUUCCACCUUUCGGGC</t>
  </si>
  <si>
    <t>3RKF</t>
  </si>
  <si>
    <t>2011-08-17T00:00:00Z</t>
  </si>
  <si>
    <t>Crystal structure of guanine riboswitch C61U/G37A double mutant bound to thio-guanine</t>
  </si>
  <si>
    <t>GGCCAUAUAACUGCGUGGAUAUAGCACGCAGGUUUCUACCGGGCACUGUAAAUGUCCGACUAUGGUC</t>
  </si>
  <si>
    <t>3SKZ</t>
  </si>
  <si>
    <t>RNA (68-MER)</t>
  </si>
  <si>
    <t>Crystal structure of the 2'- deoxyguanosine riboswitch bound to guanosine</t>
  </si>
  <si>
    <t>GGCCUUAUACAGGGUAGCAUAAUGGGCUACUGACCCCGCCUUCAAACCUAUUUGGAGACUAUAAGGUC</t>
  </si>
  <si>
    <t>3SUH</t>
  </si>
  <si>
    <t>Riboswitch</t>
  </si>
  <si>
    <t>2011-09-14T00:00:00Z</t>
  </si>
  <si>
    <t>Crystal structure of THF riboswitch, bound with 5-formyl-THF</t>
  </si>
  <si>
    <t>GGACAGAGUAGGUAAACGUGCGUAAAGUGCCUGAGGGACGGGGAGUUGUCCUCAGGACGAACACCGAAAGGUGGCGGUACGUUUACCGCAUCUCGCUGUUC</t>
  </si>
  <si>
    <t>3TRA</t>
  </si>
  <si>
    <t>TRNAASP</t>
  </si>
  <si>
    <t>1987-11-06T00:00:00Z</t>
  </si>
  <si>
    <t>RESTRAINED REFINEMENT OF TWO CRYSTALLINE FORMS OF YEAST ASPARTIC ACID AND PHENYLALANINE TRANSFER RNA CRYSTALS</t>
  </si>
  <si>
    <t>UCCGUGAUAGUUUAAUGGUCAGAAUGGGCGCUUGUCGCGUGCCAGAUCGGGGUUCAAUUCCCCGUCGCGGAGCCA</t>
  </si>
  <si>
    <t>430D</t>
  </si>
  <si>
    <t>SARCIN/RICIN LOOP FROM RAT 28S R-RNA</t>
  </si>
  <si>
    <t>1998-10-07T00:00:00Z</t>
  </si>
  <si>
    <t>STRUCTURE OF SARCIN/RICIN LOOP FROM RAT 28S RRNA</t>
  </si>
  <si>
    <t>GGGUGCUCAGUACGAGAGGAACCGCACCC</t>
  </si>
  <si>
    <t>4AOB</t>
  </si>
  <si>
    <t>SAM-I RIBOSWITCH</t>
  </si>
  <si>
    <t>2012-05-09T00:00:00Z</t>
  </si>
  <si>
    <t>SAM-I riboswitch containing the T. solenopsae Kt-23 in complex with S- adenosyl methionine</t>
  </si>
  <si>
    <t>GGCUUAUCAAGAGAGGGCAAGAGACUGGCUUGAUGACCCCCGGCAACCAAAAAUGGUGCCAAUUCCUGCAGAGGAAACGUUGAAAGAUGAGCCA</t>
  </si>
  <si>
    <t>4ENA</t>
  </si>
  <si>
    <t>Fluoride riboswitch</t>
  </si>
  <si>
    <t>Crystal structure of fluoride riboswitch, soaked in Cs+</t>
  </si>
  <si>
    <t>GGGCGAUGAGGCCCGCCCAAACUGCCCUGAAAAGGGCUGAUGGCCUCUACUG</t>
  </si>
  <si>
    <t>4FRG</t>
  </si>
  <si>
    <t>cobalamin riboswitch aptamer domain</t>
  </si>
  <si>
    <t>2012-10-17T00:00:00Z</t>
  </si>
  <si>
    <t>Crystal structure of the cobalamin riboswitch aptamer domain</t>
  </si>
  <si>
    <t>GGCCUAAAAGCAUAGUGGGAAAGUGACGUGAAAUUCGUCCAGAUGCGAAAGCAUACGGUUAUACUCCGAAUGCCACCUAGGCCA</t>
  </si>
  <si>
    <t>4JRC</t>
  </si>
  <si>
    <t>Distal Stem I region of the glyQS T box leader RNA</t>
  </si>
  <si>
    <t>2013-04-24T00:00:00Z</t>
  </si>
  <si>
    <t>Distal Stem I region from G. kaustophilus glyQS T box RNA</t>
  </si>
  <si>
    <t>GGAACCCUCUCUUCCGAAGCGAGCCGGGGGCGGUGGGAGCCCGGUGAAGACGGUUCC</t>
  </si>
  <si>
    <t>4K27</t>
  </si>
  <si>
    <t>U</t>
  </si>
  <si>
    <t>Myotonic Dystrophy Type 2 RNA</t>
  </si>
  <si>
    <t>2013-11-27T00:00:00Z</t>
  </si>
  <si>
    <t>Myotonic Dystrophy Type 2 RNA: Structural Studies and Designed Small Molecules that Modulate RNA Function</t>
  </si>
  <si>
    <t>GCCCCUGCCUGCCUGCAGCUAAGGAUGAAAGUCUAUGCUGCCUGCCUGCCUGGGC</t>
  </si>
  <si>
    <t>4L81</t>
  </si>
  <si>
    <t>SAM-I/IV variant riboswitch aptamer domain</t>
  </si>
  <si>
    <t>2014-05-28T00:00:00Z</t>
  </si>
  <si>
    <t>Structure of the SAM-I/IV riboswitch (env87(deltaU92, deltaG93))</t>
  </si>
  <si>
    <t>GGAUCACGAGGGGGAGACCCCGGCAACCUGGGACGGACACCCAAGGUGCUCACACCGGAGACGGUGGAUCCGGCCCGAGAGGGCAACGAAGUCCGU</t>
  </si>
  <si>
    <t>4LW0</t>
  </si>
  <si>
    <t>THF riboswitch</t>
  </si>
  <si>
    <t>2014-03-19T00:00:00Z</t>
  </si>
  <si>
    <t>Structure of the THF riboswitch bound to adenine</t>
  </si>
  <si>
    <t>GGAGAGUAGAUGAUUCGCGUUAAGUGUGUGUGAAUGGGAUGUCGUCACACAACGAAGCGAGAGCGCGGUGAAUCAUUGCAUCCGCUCCA</t>
  </si>
  <si>
    <t>4NYD</t>
  </si>
  <si>
    <t>thiM TPP riboswitch</t>
  </si>
  <si>
    <t>2014-06-04T00:00:00Z</t>
  </si>
  <si>
    <t>Crystal structure of the E. coli thiM riboswitch in complex with hypoxanthine</t>
  </si>
  <si>
    <t>GCGACUCGGGGUGCCCUUCUGCGUGAAGGCUGAGAAAUACCCGUAUCACCUGAUCUGGAUAAUGCCAGCGUAGGGAAGUCGCA</t>
  </si>
  <si>
    <t>4OJI</t>
  </si>
  <si>
    <t>RNA (52-MER)</t>
  </si>
  <si>
    <t>2014-07-23T00:00:00Z</t>
  </si>
  <si>
    <t>Crystal Structure of Twister Ribozyme</t>
  </si>
  <si>
    <t>CCGCCUAACACUGCCAAUGCCGGUCCCAAGCCCGGAUAAAAGUGGAGGGGGCGG</t>
  </si>
  <si>
    <t>4P5J</t>
  </si>
  <si>
    <t>Turnip yellow mosaic virus mRNA for the coat protein</t>
  </si>
  <si>
    <t>Crystal structure of the tRNA-like structure from Turnip Yellow Mosaic Virus (TYMV), a tRNA mimicking RNA</t>
  </si>
  <si>
    <t>UUAGCUCGCCAGUUAGCGAGGUCUGUCUCGACACGACAGAUAAUCGGGUGCAACUCCCGCCCCUCUUCCGAGGGUCAUCGGAACCA</t>
  </si>
  <si>
    <t>4PCJ</t>
  </si>
  <si>
    <t>trCUG-3('5)</t>
  </si>
  <si>
    <t>2014-10-29T00:00:00Z</t>
  </si>
  <si>
    <t>Modifications to toxic CUG RNAs induce structural stability and rescue mis-splicing in Myotonic Dystrophy</t>
  </si>
  <si>
    <t>CUGCUGGCUAAGGCAUGAAAGUGCUAUGCCUGCUG</t>
  </si>
  <si>
    <t>4PQV</t>
  </si>
  <si>
    <t>XRN1-resistant flaviviral RNA</t>
  </si>
  <si>
    <t>2014-04-30T00:00:00Z</t>
  </si>
  <si>
    <t>Crystal structure of an Xrn1-resistant RNA from the 3' untranslated region of a flavivirus (Murray Valley Encephalitis virus)</t>
  </si>
  <si>
    <t>GGGUCAGAUCGGCGAAAGUCGCCACUUCGCCGAGGAGUGCAAUCUGUGAGGCCCCAGGAGGACUGGGU</t>
  </si>
  <si>
    <t>4QLM</t>
  </si>
  <si>
    <t>RNA (108-MER)</t>
  </si>
  <si>
    <t>2014-08-13T00:00:00Z</t>
  </si>
  <si>
    <t>ydao riboswitch binding to c-di-AMP</t>
  </si>
  <si>
    <t>GGAUCGCUGAACCCGAAAGGGGCGGGGGACCCAGAAAUGGGGCGAAUCUCUUCCGAAAGGAAGAGUAGGGUUACUCCUUCGACCCGAGCCCGUCAGCUAACCUCGCAAGCGUCCGAAGGAGAAUC</t>
  </si>
  <si>
    <t>4RGE</t>
  </si>
  <si>
    <t>env22 twister ribozyme</t>
  </si>
  <si>
    <t>2014-12-03T00:00:00Z</t>
  </si>
  <si>
    <t>Crystal structure of the in-line aligned env22 twister ribozyme</t>
  </si>
  <si>
    <t>UUUUUAAUGAAGCCACAGGCCUGUGAGGGUCCUAAGCCCCUAAUUCAGAAGGGAAA</t>
  </si>
  <si>
    <t>4RUM</t>
  </si>
  <si>
    <t>NiCo riboswitch RNA</t>
  </si>
  <si>
    <t>2015-04-08T00:00:00Z</t>
  </si>
  <si>
    <t>Crystal structure of the NiCo transition-metal riboswitch bound to cobalt</t>
  </si>
  <si>
    <t>GGGAACUGAGCAGGCAAUGACCAGAGCGGUCAUGCAGCCGGGCUGCGAAAGCGGCAACAGAUGAUUACACGCACAUCUGUGGGACAGUUCCCAC</t>
  </si>
  <si>
    <t>4RZD</t>
  </si>
  <si>
    <t>PreQ1-III Riboswitch (Class 3)</t>
  </si>
  <si>
    <t>2015-07-01T00:00:00Z</t>
  </si>
  <si>
    <t>Crystal Structure of a PreQ1 Riboswitch</t>
  </si>
  <si>
    <t>GAGCAACUUAGGAUUUUAGGCUCCCCGGCGUGUCUCGAACCAUGCCGGGCCAAACCCAUAGGGCUGGCGGUCCCUGUGCGGUCAAAAUUCAUCCGCCGGAG</t>
  </si>
  <si>
    <t>4TS2</t>
  </si>
  <si>
    <t>XY</t>
  </si>
  <si>
    <t>Spinach aptamer RNA, bimolecular construct</t>
  </si>
  <si>
    <t>Crystal structure of the Spinach RNA aptamer in complex with DFHBI, magnesium ions</t>
  </si>
  <si>
    <t>GACGCGACCGAAUGAAAUGGUGAAGGACGGGUCCAGCCGGCUGC</t>
  </si>
  <si>
    <t>4WFL</t>
  </si>
  <si>
    <t>2014-10-15T00:00:00Z</t>
  </si>
  <si>
    <t>Structure of the complete bacterial SRP Alu domain</t>
  </si>
  <si>
    <t>GGCCGUGCUAAGCGGGGAGGUAGCGGUGCCCUGUACCUGCAAUCCGCUCUAGCAGGGCCGAAUCCCUUCUCGAGGUUCGGUAACGAAUCGACAGAAGGUGCACGGUC</t>
  </si>
  <si>
    <t>4XWF</t>
  </si>
  <si>
    <t>pfl RNA</t>
  </si>
  <si>
    <t>2015-09-09T00:00:00Z</t>
  </si>
  <si>
    <t>Crystal structure of the ZMP riboswitch at 1.80 angstrom</t>
  </si>
  <si>
    <t>GGGUCGUGACUGGCGAACAGGUGGGAAACCACCGGGGAGCGACCCUUGCCGCCCGCCUGGGCAA</t>
  </si>
  <si>
    <t>4Y1M</t>
  </si>
  <si>
    <t>E. coli yybP-ykoY riboswitch</t>
  </si>
  <si>
    <t>An Escherichia coli yybP-ykoY Mn riboswitch in the Mn2+-free state</t>
  </si>
  <si>
    <t>GAUUUGGGGAGUAGCCGAUUUCCGAAAGGAAAUGUACGUGUCAACAUUUUCGUUGAAAAACGUGGCACGUACGGACUGAAGAAAUUCAGUCAGGCGAGACCAUAUCC</t>
  </si>
  <si>
    <t>4YB0</t>
  </si>
  <si>
    <t>R</t>
  </si>
  <si>
    <t>RNA (84-MER)</t>
  </si>
  <si>
    <t>2015-04-15T00:00:00Z</t>
  </si>
  <si>
    <t>3',3'-cGAMP riboswitch bound with c-di-GMP</t>
  </si>
  <si>
    <t>GUACACGACAAUACUAAACCAUCCGCGAGGAUGGGGCGGAAAGCCUAAGGGUCUCCCUGAGACAGCCGGGCUGCCGAAAUAUC</t>
  </si>
  <si>
    <t>4ZNP</t>
  </si>
  <si>
    <t>pfI Riboswitch</t>
  </si>
  <si>
    <t>2015-08-26T00:00:00Z</t>
  </si>
  <si>
    <t>The structure of A pfI Riboswitch Bound to ZMP</t>
  </si>
  <si>
    <t>GGGAUACAGGACUGGCGGAUUAGUGGGAAACCACGUGGACUGUAUCCGAAAAAAAGCCGACCGCCUGGGCAUC</t>
  </si>
  <si>
    <t>5BTM</t>
  </si>
  <si>
    <t>RNA (55-mer)</t>
  </si>
  <si>
    <t>2015-07-15T00:00:00Z</t>
  </si>
  <si>
    <t>Crystal structure of AUUCU repeating RNA that causes spinocerebellar ataxia type 10 (SCA10)</t>
  </si>
  <si>
    <t>GUCAUUCUAUUCUAUCGGCUAAGGAUGAAAGUCUAUGCCGAUUCUAUUCUAUGGC</t>
  </si>
  <si>
    <t>5BTP</t>
  </si>
  <si>
    <t>RNA (62-MER)</t>
  </si>
  <si>
    <t>2015-08-12T00:00:00Z</t>
  </si>
  <si>
    <t>Fusobacterium ulcerans ZTP riboswitch bound to ZMP</t>
  </si>
  <si>
    <t>UAUCAGUUAUAUGACUGACGGAACGUGGAAUUAACCACAUGAAGUAUAACGAUGACAAUGCCGACCGUCUGGGCG</t>
  </si>
  <si>
    <t>5D5L</t>
  </si>
  <si>
    <t>PreQ1-II riboswitch</t>
  </si>
  <si>
    <t>2016-08-10T00:00:00Z</t>
  </si>
  <si>
    <t>PreQ1-II riboswitch with an engineered G-U wobble pair bound to Cs+</t>
  </si>
  <si>
    <t>GGAAGGCCGAAAGGUCUUCCACGACGAUACUUAUUUCCUUUGAUCGUCGUUAUUACUGGCUUCGGCCACAAAGGAGA</t>
  </si>
  <si>
    <t>5FJC</t>
  </si>
  <si>
    <t>2016-05-25T00:00:00Z</t>
  </si>
  <si>
    <t>SAM-I riboswitch bearing the H. marismortui Kt-7 variant C-2bU</t>
  </si>
  <si>
    <t>GGCUUAUCAAGAGAGGGGGAGUGACUGGCGCGAAGAACCCCGGCAACCAGAAAUGGUGCCAAUUCCUGCAGCGGAAACGUUGAAAGAUGAGCCG</t>
  </si>
  <si>
    <t>5KPY</t>
  </si>
  <si>
    <t>5-hydroxytryptophan RNA aptamer</t>
  </si>
  <si>
    <t>2017-01-11T00:00:00Z</t>
  </si>
  <si>
    <t>Structure of a 5-hydroxytryptophan aptamer</t>
  </si>
  <si>
    <t>GGACACUGAUGAUCGCGUGGAUAUGGCACGCAUUGAAUUGUUGGACACCGUAAAUGUCCUAACACGUGUCC</t>
  </si>
  <si>
    <t>5L4O</t>
  </si>
  <si>
    <t>tRNA (76-MER)</t>
  </si>
  <si>
    <t>2017-03-01T00:00:00Z</t>
  </si>
  <si>
    <t>Structure of an E.coli initiator tRNAfMet A1-U72 variant</t>
  </si>
  <si>
    <t>AGCGGGGUGGAGCAGCCUGGUAGCUCGUCGGGCUCAUAACCCGAAGAUCGUCGGUUCAAAUCCGGCCCCCGCUACCA</t>
  </si>
  <si>
    <t>5LYU</t>
  </si>
  <si>
    <t>7SK RNA</t>
  </si>
  <si>
    <t>2017-01-25T00:00:00Z</t>
  </si>
  <si>
    <t>The native crystal structure of 7SK 5'-hairpin</t>
  </si>
  <si>
    <t>GGGGAUCUGUCACCCCAUUGAUCGCCUUCGGGCUGAUCUGGCUGGCUAGGCGGGUCCC</t>
  </si>
  <si>
    <t>5M0H</t>
  </si>
  <si>
    <t>ASH1 E3 (42 nt-TL/TLR)</t>
  </si>
  <si>
    <t>2017-01-18T00:00:00Z</t>
  </si>
  <si>
    <t>Crystal structure of the central flexible region of ASH1 mRNA E3-localization element</t>
  </si>
  <si>
    <t>GAUAACUGAAUCGCUAAGGAUGAAAGUCUAUGCGACAUUAUC</t>
  </si>
  <si>
    <t>5NWQ</t>
  </si>
  <si>
    <t>Guanidine III riboswitch</t>
  </si>
  <si>
    <t>2017-10-18T00:00:00Z</t>
  </si>
  <si>
    <t>The structure of the thermobifida fusca guanidine III riboswitch with guanidine.</t>
  </si>
  <si>
    <t>CCGGACGAGGUGCGCCGUACCCGGUCAGGACAAGACGGCGC</t>
  </si>
  <si>
    <t>5OB3</t>
  </si>
  <si>
    <t>RNA aptamer (69-MER)</t>
  </si>
  <si>
    <t>2017-10-04T00:00:00Z</t>
  </si>
  <si>
    <t>iSpinach aptamer</t>
  </si>
  <si>
    <t>GGGAGUACGGUGAGGGUCGGGUCCAGUAGGUACGCCUACUGUUGAGUAGAGUGUGGGCUCCGUACUCCC</t>
  </si>
  <si>
    <t>5SWE</t>
  </si>
  <si>
    <t>Vibrio vulnificus strain 93U204 chromosome II, adenine riboswitch aptamer domain</t>
  </si>
  <si>
    <t>2016-11-23T00:00:00Z</t>
  </si>
  <si>
    <t>Ligand-bound structure of adenine riboswitch aptamer domain converted in crystal from its ligand-free state using ligand mixing serial femtosecond crystallography</t>
  </si>
  <si>
    <t>GGGAAGAUAUAAUCCUAAUGAUAUGGUUUGGGAGUUUCUACCAAGAGCCUUAAACUCUUGAUUAUCUUCCC</t>
  </si>
  <si>
    <t>5T83</t>
  </si>
  <si>
    <t>RNA (95-MER)</t>
  </si>
  <si>
    <t>Structure of a guanidine-I riboswitch from S. acidophilus</t>
  </si>
  <si>
    <t>GUCUAAAGUUUGCUAGGGUUCCGCGUCAUAGGUGGUCUGGUCCAAGAGCAAACGGCUUUCACAAAGCCACACGGAAGGAUAAAAGCCUGGGAGAU</t>
  </si>
  <si>
    <t>5TPY</t>
  </si>
  <si>
    <t>RNA (71-MER)</t>
  </si>
  <si>
    <t>2016-12-14T00:00:00Z</t>
  </si>
  <si>
    <t>Crystal structure of an exonuclease resistant RNA from Zika virus</t>
  </si>
  <si>
    <t>GGGUCAGGCCGGCGAAAGUCGCCACAGUUUGGGGAAAGCUGUGCAGCCUGUAACCCCCCCACGAAAGUGGG</t>
  </si>
  <si>
    <t>5U3G</t>
  </si>
  <si>
    <t>ykkC riboswitch</t>
  </si>
  <si>
    <t>2017-02-01T00:00:00Z</t>
  </si>
  <si>
    <t>Structure of the Dickeya dadantii ykkC riboswitch bound to guanidinium</t>
  </si>
  <si>
    <t>GGUGACUAGGGUUCCGGCGAAAGCCGGUCCGAGAGUUACCGACCGCCGAAAGGCGGUUACACGGCGGGAAAAAAGCCCGGGAGGA</t>
  </si>
  <si>
    <t>5UNE</t>
  </si>
  <si>
    <t>AB</t>
  </si>
  <si>
    <t>RNA (47-MER)</t>
  </si>
  <si>
    <t>2017-03-29T00:00:00Z</t>
  </si>
  <si>
    <t>Dimerized Structure Gives Further Insight Into the Function of the Novel RNA Gene: HAR1</t>
  </si>
  <si>
    <t>GGGAAAUGAUGGGCGUAGACGCACGUCAGCGGCGGAAAUGGUUUCCC</t>
  </si>
  <si>
    <t>5V3F</t>
  </si>
  <si>
    <t>RNA (31-MER)</t>
  </si>
  <si>
    <t>2017-05-24T00:00:00Z</t>
  </si>
  <si>
    <t>Co-crystal structure of the fluorogenic RNA Mango</t>
  </si>
  <si>
    <t>GUGCGAAGGGACGGUGCGGAGAGGAGAGCAC</t>
  </si>
  <si>
    <t>6CB3</t>
  </si>
  <si>
    <t>RNA (99-MER)</t>
  </si>
  <si>
    <t>2018-06-13T00:00:00Z</t>
  </si>
  <si>
    <t>Crystal structure of the L.Lactis YkoY riboswitch bound to cadmium</t>
  </si>
  <si>
    <t>GAAAGGGGAGUAGCGUCGGGAAACCGAAACAAAGUCGUCAAUUCGUGAGGAAACUCACCGGCUUUGUUGACAUACGAAAGUAUGUUUAGCAAGACCUUUCC</t>
  </si>
  <si>
    <t>6CK5</t>
  </si>
  <si>
    <t>PRPP riboswitch</t>
  </si>
  <si>
    <t>2018-06-20T00:00:00Z</t>
  </si>
  <si>
    <t>PRPP riboswitch from T. mathranii bound to PRPP</t>
  </si>
  <si>
    <t>GUGAAAGUGUACCUAGGGUUCCAGCCUAUUUGUAGGUGUUCGGACCGAGCGGUACAGGUAUAUUUUUAUAUACCACACCUUAGGGACAAAAGCCCGGGAGGAUAGGUUUCACUCGUA</t>
  </si>
  <si>
    <t>6CU1</t>
  </si>
  <si>
    <t>YrlA effector-binding module</t>
  </si>
  <si>
    <t>2018-10-31T00:00:00Z</t>
  </si>
  <si>
    <t>X-ray structure of the S. typhimurium YrlA effector-binding module</t>
  </si>
  <si>
    <t>GGGUGGCUCUACAUUUGUUGCGGGUUCGAGACCCGUCAGAGCGAAAGCUCUGUAGCUCAAUGGUAGAGCGGUGUAGUCACC</t>
  </si>
  <si>
    <t>6D3P</t>
  </si>
  <si>
    <t>Crystal structure of an exoribonuclease-resistant RNA from Sweet clover necrotic mosaic virus (SCNMV)</t>
  </si>
  <si>
    <t>GGGCGUAACCUCCAUCCGAGUUGCAAGAGAGGGAAACGCAGUCUC</t>
  </si>
  <si>
    <t>6DMC</t>
  </si>
  <si>
    <t>ppGpp Riboswitch</t>
  </si>
  <si>
    <t>2018-11-14T00:00:00Z</t>
  </si>
  <si>
    <t>ppGpp Riboswitch bound to ppGpp, native structure</t>
  </si>
  <si>
    <t>GGAAGUGUACCUAGGGAUCCACCUCGAGAGAGGAAGGACCAAGCGGUACAGGCCUACUUCGGUAGGUUACACCGUGGGGAUAAAAGACCCGUGGCAAGUUUC</t>
  </si>
  <si>
    <t>6DNR</t>
  </si>
  <si>
    <t>PRPP Riboswitch</t>
  </si>
  <si>
    <t>PRPP Riboswitch bound to PRPP, ligand-free structure</t>
  </si>
  <si>
    <t>GGAAAGUGUGUCUAGGGUUCCGCGUGCUUCGGCACGGACUGGUCCAAGUGACACAGACGCAUUCGUGCGUUACACCGGAGGGAUAGAAGCCCAGGCGGGUAGGUUUC</t>
  </si>
  <si>
    <t>6DVK</t>
  </si>
  <si>
    <t>H</t>
  </si>
  <si>
    <t>2019-06-26T00:00:00Z</t>
  </si>
  <si>
    <t>Computationally designed mini tetraloop-tetraloop receptor by the RNAMake program - construct 6 (miniTTR 6)</t>
  </si>
  <si>
    <t>GUUGAUAUGGAUUUACUCCGAGGAGACGAACUACCACGAACAGGGGAAACUCUACCCGUGGCGUCUCCGUUUGACGAGUAAGUCCUAAGUCAACA</t>
  </si>
  <si>
    <t>RNA (36-MER)</t>
  </si>
  <si>
    <t>2019-07-31T00:00:00Z</t>
  </si>
  <si>
    <t>Crystal structure of the Corn aptamer in complex with TO</t>
  </si>
  <si>
    <t>GGCGCGAGGAAGGAGGUCUGAGGAGGUCACUGCGCC</t>
  </si>
  <si>
    <t>6E8S</t>
  </si>
  <si>
    <t>iMango-III aptamer</t>
  </si>
  <si>
    <t>2019-04-17T00:00:00Z</t>
  </si>
  <si>
    <t>Structure of the iMango-III aptamer bound to TO1-Biotin</t>
  </si>
  <si>
    <t>GCUACGAAGGAAGGAUUGGUAUGUGGUAUAUUCGUAGC</t>
  </si>
  <si>
    <t>6E8T</t>
  </si>
  <si>
    <t>Structure of the Mango-III (A10U) aptamer bound to TO1-Biotin</t>
  </si>
  <si>
    <t>GUACGAAGGAAGGUUUGGUAUGUGGUAUAUUCGUAC</t>
  </si>
  <si>
    <t>6FZ0</t>
  </si>
  <si>
    <t>metY SAM V  (53-MER)</t>
  </si>
  <si>
    <t>2018-07-04T00:00:00Z</t>
  </si>
  <si>
    <t>Crystal structure of the metY SAM V riboswitch</t>
  </si>
  <si>
    <t>AGGCGCAUUUGAACUGUAUUGUACGCCUUGCAUAAAGCAAAAGUACUAAAAAA</t>
  </si>
  <si>
    <t>6GYV</t>
  </si>
  <si>
    <t>Lariat-capping ribozyme</t>
  </si>
  <si>
    <t>2018-08-22T00:00:00Z</t>
  </si>
  <si>
    <t>Lariat-capping ribozyme (circular permutation form)</t>
  </si>
  <si>
    <t>CAUCCGGUAUCCCAAGACAAUCUUCGGGUUGGGUUGGGAAGUAUCAUGGCUAAUCACCAUGAUGCAAUCGGGUUGAACACUUAAUUGGGUUAAAACGGUGGGGGACGAUCCCGUAACAUCCGUCCUAACGGCGACAGACUGCACGGCCCUGCCUCUUAGGUGUGUCCAAUGAACAGUCGUUCCGAAAGGAAG</t>
  </si>
  <si>
    <t>6H0R</t>
  </si>
  <si>
    <t>SRS2 fragment of Rgs4 3' UTR, RNA (31-MER)</t>
  </si>
  <si>
    <t>X-ray structure of SRS2 fragment of Rgs4 3' UTR</t>
  </si>
  <si>
    <t>ACAUGCACAUGCAAUUUGUGUAUGUGUAUGU</t>
  </si>
  <si>
    <t>6JQ5</t>
  </si>
  <si>
    <t>RNA (82-MER)</t>
  </si>
  <si>
    <t>2019-06-12T00:00:00Z</t>
  </si>
  <si>
    <t>The structure of Hatchet Ribozyme</t>
  </si>
  <si>
    <t>UUACUGUGAGAAUCAGUAACAAACAUGUGGGGCUUAUAUCUAAUCGAAAGAUUAGUAUUAGUGCAGACGUUAAAACCAUGUC</t>
  </si>
  <si>
    <t>6N2V</t>
  </si>
  <si>
    <t>X. oryzae Mn riboswitch optimized construct</t>
  </si>
  <si>
    <t>2019-10-02T00:00:00Z</t>
  </si>
  <si>
    <t>Manganese riboswitch from Xanthmonas oryzae bound to Mn(II)</t>
  </si>
  <si>
    <t>GGCUUGGGGAGUAGCCUGCUUUCGGAAACGAAAGCGCCUGUAUCAACAUACUCGGCGAAAGCCGUGGUGCAGGACCGAAAGGUCUGGCGAGACCAGGCC</t>
  </si>
  <si>
    <t>6N5O</t>
  </si>
  <si>
    <t>RNA (126-MER)</t>
  </si>
  <si>
    <t>2019-11-27T00:00:00Z</t>
  </si>
  <si>
    <t>Structure of Human pir-miRNA-202 Apical Loop and One-base-pair Fused to the YdaO Riboswitch Scaffold</t>
  </si>
  <si>
    <t>GGUUGCCGAAUCCGAUCUGGCGGUACGGAGGAACCGCUUUUUGGGGUUAAUCUGCAGUGAAGCUGCAGUAGGGAUACCUUCUGUCCCGCACCCGACAGCUAACUCCGGAGGCAAUAAAGGAAGGAG</t>
  </si>
  <si>
    <t>6OL3</t>
  </si>
  <si>
    <t>Adenovirus Virus-Associated (VA) RNA I apical and central domains</t>
  </si>
  <si>
    <t>2019-07-03T00:00:00Z</t>
  </si>
  <si>
    <t>Crystal structure of an adenovirus virus-associated RNA</t>
  </si>
  <si>
    <t>GGACCUCGCAAGGGUAUCAUGGCGGACGACCGGGGUUCGAACCCCGGAUCCGGCCGUCCGCCGUGAUCCAUGCGGUUACCGCCCGCGUGUCGAACCCAGGUGUGCGAGGUCC</t>
  </si>
  <si>
    <t>6P2H</t>
  </si>
  <si>
    <t>RNA (69-MER)</t>
  </si>
  <si>
    <t>2019-10-23T00:00:00Z</t>
  </si>
  <si>
    <t>Structural basis for 2'-deoxyguanosine recognition by the 2'-dG-II class of riboswitches</t>
  </si>
  <si>
    <t>GGGUGUAAUCUCCAAAAUAUGGUUGGGGAGCCUCCACCAGUGAACCGUAAAAUCGCUGUCACCACCCAG</t>
  </si>
  <si>
    <t>6PMO</t>
  </si>
  <si>
    <t>tRNA-Gly</t>
  </si>
  <si>
    <t>2019-11-20T00:00:00Z</t>
  </si>
  <si>
    <t>Co-crystal structure of the Geobacillus kaustophilus glyQ T-box riboswitch discriminator domain in complex with tRNA-Gly</t>
  </si>
  <si>
    <t>GCGGAAGUAGUUCAGUGGUAGAACACCACCUUGCCAAGGUGGGGGUCGCGGGUUCGAAUCCCGUCUUCCGCUCCA</t>
  </si>
  <si>
    <t>6PQ7</t>
  </si>
  <si>
    <t>RNA (37-MER)</t>
  </si>
  <si>
    <t>Structure of the iMango-III fluorescent aptamer at room temperature.</t>
  </si>
  <si>
    <t>GUACGAAGGAAGGUUUGGUAUGGGGUAGUUGUCGUAC</t>
  </si>
  <si>
    <t>6PRV</t>
  </si>
  <si>
    <t>2020-01-08T00:00:00Z</t>
  </si>
  <si>
    <t>58nt RNA L11-binding domain from E. coli 23S rRNA</t>
  </si>
  <si>
    <t>GCCAGGAUGUUGGCUUAGAAGCAGCCAUCAUUUAAAGAAAGCGUAAUAGCUCACUGGU</t>
  </si>
  <si>
    <t>6QN3</t>
  </si>
  <si>
    <t>RNA (51-MER)</t>
  </si>
  <si>
    <t>Structure of the Glutamine II Riboswitch</t>
  </si>
  <si>
    <t>CGUUCACCCUUCGGGGCGCAUGAAAUGGGAGUAGGGAACGGGAUUCUCAU</t>
  </si>
  <si>
    <t>6TFG</t>
  </si>
  <si>
    <t>Chains: A</t>
  </si>
  <si>
    <t>2020-09-23T00:00:00Z</t>
  </si>
  <si>
    <t>Crystal structure of the ADP-binding domain of the NAD+ riboswitch with Adenosine 3-phosphate 5-phosphosulfate (APPS)</t>
  </si>
  <si>
    <t>GGCUUCAACAACCCCGUAGGUUGGGCCGAAAGGCAGCGAAUCUACUGGAGCC</t>
  </si>
  <si>
    <t>6UFG</t>
  </si>
  <si>
    <t>RNA (77-MER)</t>
  </si>
  <si>
    <t>Co-crystal structure of M. tuberculosis ileS T-box in complex with tRNA-3'-OH</t>
  </si>
  <si>
    <t>GGGCCUAUAGCUCAGGCGGUUAGAGCGCUUCGCUGAUAACGAAGAGGUCGGAGGUUCAAGUCCUCCUAGGCCCGCCA</t>
  </si>
  <si>
    <t>6UGG</t>
  </si>
  <si>
    <t>tRNAasp</t>
  </si>
  <si>
    <t>2020-01-01T00:00:00Z</t>
  </si>
  <si>
    <t>Structure of unmodified E. coli tRNA(Asp)</t>
  </si>
  <si>
    <t>GGAGCGGUAGUUCAGUCGGUUAGAAUACCUGCCUGUCACGCAGGGGGUCGCGGGUUCGAGUCCCGUCCGUUCCGCCA</t>
  </si>
  <si>
    <t>6UGJ</t>
  </si>
  <si>
    <t>tRNA(Asp) acceptor stem/T stem-loop</t>
  </si>
  <si>
    <t>Crystal structure of a fragment of E. coli tRNA(Asp) consisting of its acceptor stem/T stem-loop. Short unit cell.</t>
  </si>
  <si>
    <t>GGAGCGGGCGGGUUCGAGUCCCGUCCGUUCC</t>
  </si>
  <si>
    <t>6V9B</t>
  </si>
  <si>
    <t>BD</t>
  </si>
  <si>
    <t>RNA (28-MER)</t>
  </si>
  <si>
    <t>2020-05-20T00:00:00Z</t>
  </si>
  <si>
    <t>Co-crystal structure of the fluorogenic Mango-IV homodimer bound to TO1-Biotin</t>
  </si>
  <si>
    <t>AUCGAGGGAGUGGUGAGGAUGAGGCGAU</t>
  </si>
  <si>
    <t>6YL5</t>
  </si>
  <si>
    <t>ABCDEFGHIJKL</t>
  </si>
  <si>
    <t>Chains: A,B,C,D,E,F,G,H,I,J,K,L</t>
  </si>
  <si>
    <t>2020-07-22T00:00:00Z</t>
  </si>
  <si>
    <t>Crystal structure of the SAM-SAH riboswitch with SAH</t>
  </si>
  <si>
    <t>GGUCACAACGGCUUCCUGGCGUGACCAUUGGAGCA</t>
  </si>
  <si>
    <t>7D7W</t>
  </si>
  <si>
    <t>18GAAA (52-MER)</t>
  </si>
  <si>
    <t>2020-11-25T00:00:00Z</t>
  </si>
  <si>
    <t>Crystal Structure of the Domain1 of NAD+ Riboswitch with nicotinamide adenine dinucleotide (NAD+)</t>
  </si>
  <si>
    <t>GCUUCAACAACCCCGUAGGUGGGGACGAAAGUCAGCGCACCUACUGGAGCC</t>
  </si>
  <si>
    <t>7D82</t>
  </si>
  <si>
    <t>832GAAA (50-MER)</t>
  </si>
  <si>
    <t>Crystal Structure of the Domain2 of NAD+ Riboswitch with nicotinamide adenine dinucleotide (NAD+), soaked in Mn2+</t>
  </si>
  <si>
    <t>GGUUUCAACAUCCCCGUUCGGCGCUCGAAAGAGGUGGCCGGACUGAAGCC</t>
  </si>
  <si>
    <t>7E9I</t>
  </si>
  <si>
    <t>33-mer RNA</t>
  </si>
  <si>
    <t>2021-11-17T00:00:00Z</t>
  </si>
  <si>
    <t>Crystal structure of a class I PreQ1 riboswitch aptamer (wild-type) complexed with a cognate ligand-derived photoaffinity probe</t>
  </si>
  <si>
    <t>CUGGGUCGCAGUAACCCCAGUUAACAAAACAAG</t>
  </si>
  <si>
    <t>7ELR</t>
  </si>
  <si>
    <t>NMT1 (46-MER)</t>
  </si>
  <si>
    <t>2021-06-30T00:00:00Z</t>
  </si>
  <si>
    <t>Crystal structure of xanthine riboswitch with xanthine</t>
  </si>
  <si>
    <t>GAGUAGAAGCGUUCAGCGGCCGAAAGGCCGCCCGGAAAUUGCUCC</t>
  </si>
  <si>
    <t>7EON</t>
  </si>
  <si>
    <t>Pepper (49-MER)</t>
  </si>
  <si>
    <t>2021-11-24T00:00:00Z</t>
  </si>
  <si>
    <t>Crystal structure of the Pepper aptamer in complex with HBC514</t>
  </si>
  <si>
    <t>GCGCACUGGCGCUGCGCCUUCGGGCGCCAAUCGUAGCGUGUCGGCGCC</t>
  </si>
  <si>
    <t>7EQJ</t>
  </si>
  <si>
    <t>RNA (76-MER)</t>
  </si>
  <si>
    <t>2022-01-19T00:00:00Z</t>
  </si>
  <si>
    <t>crystal structure of E. coli Valine tRNA</t>
  </si>
  <si>
    <t>GGGUGAUUAGCUCAGCUGGGAGAGCACCUCCCUUACAAGGAGGGGGUCGGCGGUUCGAUCCCGUCAUCACCCACCA</t>
  </si>
  <si>
    <t>7JJU</t>
  </si>
  <si>
    <t>Potato leafroll virus xrRNA</t>
  </si>
  <si>
    <t>2020-09-09T00:00:00Z</t>
  </si>
  <si>
    <t>Crystal structure of en exoribonuclease-resistant RNA (xrRNA) from Potato leafroll virus (PLRV)</t>
  </si>
  <si>
    <t>GGAACUAGCUCAGCAUACACGAGUUGCAAGCAUGGGAAGUUCAAGCCUCGU</t>
  </si>
  <si>
    <t>7JRR</t>
  </si>
  <si>
    <t>RNA (50-MER)</t>
  </si>
  <si>
    <t>2021-09-08T00:00:00Z</t>
  </si>
  <si>
    <t>Crystal structures of artificially designed homomeric RNA nanoarchitectures</t>
  </si>
  <si>
    <t>GGACGGGAGCUGAACCAUCCAGCGAAGAACGUCCCGACGGAUGGUUCGUCG</t>
  </si>
  <si>
    <t>7KGA</t>
  </si>
  <si>
    <t>RNA (90-MER)</t>
  </si>
  <si>
    <t>2021-06-23T00:00:00Z</t>
  </si>
  <si>
    <t>Crystal structure of a mosquito-borne flavivirus dumbbell RNA</t>
  </si>
  <si>
    <t>GGGGGCCAGAUGUCAUGUCUCUCAAGCCUAGGAGACACUAGACACUCUGGACUAUCGGUUAGAGGAAACCCCCCCAAAAAUGUAUAGGCU</t>
  </si>
  <si>
    <t>7KVT</t>
  </si>
  <si>
    <t>Squash RNA aptamer bound to DFHBI-1T with iridium (III) ions</t>
  </si>
  <si>
    <t>Crystal structure of Squash RNA aptamer in complex with DFHBI-1T with iridium (III) ions</t>
  </si>
  <si>
    <t>GGGAAGAUACAAGGUGAGCCCAAUAAUAUGGUUUGGGUUAGGAUAGGAAGUAGAGCCUUAAACUCUCUAAGCGGUAUCUUCCC</t>
  </si>
  <si>
    <t>7MKY</t>
  </si>
  <si>
    <t>RNA (66-MER)</t>
  </si>
  <si>
    <t>2021-05-26T00:00:00Z</t>
  </si>
  <si>
    <t>SARS-CoV-2 frameshifting pseudoknot RNA</t>
  </si>
  <si>
    <t>CGGUGUAAGUGCAGCCCGUCUUACACCGUGCGGCACAGCGGAAACGCUGAUGUCGUAUACAGGGCU</t>
  </si>
  <si>
    <t>7MLW</t>
  </si>
  <si>
    <t>F</t>
  </si>
  <si>
    <t>Guanidine-I riboswitch</t>
  </si>
  <si>
    <t>2022-01-12T00:00:00Z</t>
  </si>
  <si>
    <t>Burkholderia sp. TJI49 Guanidine-I riboswitch</t>
  </si>
  <si>
    <t>GGAUCGCUAGGGUUCCGGUCGUGCGGCGUUCGCGCCGCACGAUGCUGGUCCGAGAGCAAUCCGGUCUUGCCUUCGCCUCGUUCGCGAGGAAACGGCGAGGCUCCACGGAGGGAUAAAAGCCCGGGAGG</t>
  </si>
  <si>
    <t>7OA3</t>
  </si>
  <si>
    <t>Chili RNA Aptamer</t>
  </si>
  <si>
    <t>2021-06-16T00:00:00Z</t>
  </si>
  <si>
    <t>Crystal structure of Chili RNA aptamer in complex with DMHBO+ (Iridium hexammine co-crystallized form)</t>
  </si>
  <si>
    <t>GGCUAGCUGGAGGGGCGCCAGUUCGCUGGUGGUUGGGUGCGGUCGGCUAGCC</t>
  </si>
  <si>
    <t>7UQ6</t>
  </si>
  <si>
    <t>RNA (86-MER)</t>
  </si>
  <si>
    <t>2022-06-15T00:00:00Z</t>
  </si>
  <si>
    <t>tRNA T-box antiterminator fusion, construct #4</t>
  </si>
  <si>
    <t>GCGGAAGUAGUUCAGUGGUAGAACACCGGGUGGAACCCCAGGAAACUGGCCCGGGUCGCGCGGGUUCGAGUCCCGUCUUCCGCUCC</t>
  </si>
  <si>
    <t>7UR5</t>
  </si>
  <si>
    <t>vwy</t>
  </si>
  <si>
    <t>allo-tRNAUTu1</t>
  </si>
  <si>
    <t>ELECTRON MICROSCOPY</t>
  </si>
  <si>
    <t>2022-08-10T00:00:00Z</t>
  </si>
  <si>
    <t>allo-tRNAUTu1 in the A, P, and E sites of the E. coli ribosome</t>
  </si>
  <si>
    <t>GGAGGGGAACUUCUAUCUGGUGAUAGACGGGAACUCUAAAUUCCUUGAAAUGCCUCGCCGCAUUGGGUUCGAUUCCCUUCCCCUCCGCCA</t>
  </si>
  <si>
    <t>7V9E</t>
  </si>
  <si>
    <t>2022-03-23T00:00:00Z</t>
  </si>
  <si>
    <t>Crystal structure of a methyl transferase ribozyme</t>
  </si>
  <si>
    <t>CGGGCUGACCGACCCCCCGAGUUCGCUCGGGGACAACUAGACAUACAGUAUGAAAAUACUGAGCCCGC</t>
  </si>
  <si>
    <t>7WIE</t>
  </si>
  <si>
    <t>2023-01-18T00:00:00Z</t>
  </si>
  <si>
    <t>The THF-II riboswitch bound to 7DG</t>
  </si>
  <si>
    <t>GGCGUGGUCCGUUCAACUCGUUCCUCGAAAGAGGAACUACGGGAGACGCC</t>
  </si>
  <si>
    <t>8D2B</t>
  </si>
  <si>
    <t>RNA (33-MER)</t>
  </si>
  <si>
    <t>2022-11-30T00:00:00Z</t>
  </si>
  <si>
    <t>Crystal structure of theophylline aptamer in complex with TAL2</t>
  </si>
  <si>
    <t>GGCGAUACCAGCCGAAAGGCCCUUGGCAGCGCC</t>
  </si>
  <si>
    <t>8EYU</t>
  </si>
  <si>
    <t>RNA (49-MER)</t>
  </si>
  <si>
    <t>2023-05-31T00:00:00Z</t>
  </si>
  <si>
    <t>Structure of Beetroot dimer bound to DFAME</t>
  </si>
  <si>
    <t>GCGCCGGUUAGGCAGAGGUGGGUGGUGUGGAGGAGUAUCUGUCCGGCGC</t>
  </si>
  <si>
    <t>8F0N</t>
  </si>
  <si>
    <t>Wobble Beetroot (A16U-U38G) dimer bound to DFHO</t>
  </si>
  <si>
    <t>GCGCCGGUUAGGCAGUGGUGGGUGGUGUGGAGGAGUAGCUGUCCGGCGC</t>
  </si>
  <si>
    <t>8FZA</t>
  </si>
  <si>
    <t>PreQ1 Riboswitch (30-MER)</t>
  </si>
  <si>
    <t>2023-08-30T00:00:00Z</t>
  </si>
  <si>
    <t>Class I type III preQ1 riboswitch from E. coli</t>
  </si>
  <si>
    <t>UUGGGUUCCCUCACCCCAAUCAUAAAAAGG</t>
  </si>
  <si>
    <t>8HB8</t>
  </si>
  <si>
    <t>RNA (55-MER)</t>
  </si>
  <si>
    <t>2023-03-22T00:00:00Z</t>
  </si>
  <si>
    <t>Crystal structure of NAD-II riboswitch (single strand) with NMN</t>
  </si>
  <si>
    <t>GCGGCGUUGCGUCCGAAAGUCUAAACAGACACGGCCGCUUAAAAACAAAAGGAGA</t>
  </si>
  <si>
    <t>8HZE</t>
  </si>
  <si>
    <t>2024-06-19T00:00:00Z</t>
  </si>
  <si>
    <t>A new fluorescent RNA aptamer bound with N</t>
  </si>
  <si>
    <t>GAAGAUUGUAAACAUGCCGAAAGGCAGACACUUCC</t>
  </si>
  <si>
    <t>8ITS</t>
  </si>
  <si>
    <t>RNA (46-MER)</t>
  </si>
  <si>
    <t>2024-03-27T00:00:00Z</t>
  </si>
  <si>
    <t>Crystal structure of DUF-3268 k-junction</t>
  </si>
  <si>
    <t>GGGAGUUAGACUCGCGAAAGCGAGGAACUGCGAAAGCAGUACUUCC</t>
  </si>
  <si>
    <t>8K30</t>
  </si>
  <si>
    <t>RNA (56-MER)</t>
  </si>
  <si>
    <t>2025-01-15T00:00:00Z</t>
  </si>
  <si>
    <t>Crystal structure of a medaka mascRNA U23G</t>
  </si>
  <si>
    <t>GACGCCGGUGGUGGCACUCCUGGUUUUCAGGACGGGGUUCAAUUCCCUGCGGUGUC</t>
  </si>
  <si>
    <t>8K7W</t>
  </si>
  <si>
    <t>2025-01-29T00:00:00Z</t>
  </si>
  <si>
    <t>Crystal structure of Broccoli aptamer with DFHBI-1T</t>
  </si>
  <si>
    <t>GGGACGGUCGGGUCCAGAUAUUCGUAUCUGUCGAGUAGAGUGUGGGCUC</t>
  </si>
  <si>
    <t>8K85</t>
  </si>
  <si>
    <t>2025-02-12T00:00:00Z</t>
  </si>
  <si>
    <t>Crystal structure of Red Broccoli aptamer with OBI</t>
  </si>
  <si>
    <t>GGAGACGGUCGGGUCCAGUCGCAACGAUGUUGGCUGUUGAGUAGUGUGUGGGCUCC</t>
  </si>
  <si>
    <t>8KED</t>
  </si>
  <si>
    <t>RNA (72-MER)</t>
  </si>
  <si>
    <t>2025-02-19T00:00:00Z</t>
  </si>
  <si>
    <t>Crystal structure of 2'-dG-III riboswitch with guanine</t>
  </si>
  <si>
    <t>GGAUUCGUAUAUCCUUAAUGAUAUGGUUUAAGGGCAAUACAUAGAGACCACAAAUUUCUUACUGCGAAUUCU</t>
  </si>
  <si>
    <t>8SA3</t>
  </si>
  <si>
    <t>adenosylcobalamin riboswitch form 2</t>
  </si>
  <si>
    <t>2023-07-26T00:00:00Z</t>
  </si>
  <si>
    <t>Adenosylcobalamin-bound riboswitch dimer, form 2</t>
  </si>
  <si>
    <t>GGUUAAAGCCUUAUGGUCGCUACCAUUGCACUCCGGUAGCGUUAAAAGGGAAGACGGGUGAGAAUCCCGCGCAGCCCCCGCUACUGUGAGGGAGGACGAAGCCCUAGUAAGCCACUGCCGAAAGGUGGGAAGGCAGGGUGGAGGAUGAGUCCCGAGCCAGGAGACCUGCCAUAAGGUUUUAGAAGUUCGCCUUCGGGGGGAAGGUGAACA</t>
  </si>
  <si>
    <t>8SP9</t>
  </si>
  <si>
    <t>tRNA scaffold,CVB3 Cloverleaf RNA</t>
  </si>
  <si>
    <t>2023-08-09T00:00:00Z</t>
  </si>
  <si>
    <t>Crystal Structure of Coxsackievirus B3 (CVB3) Cloverleaf RNA with tRNA scaffold</t>
  </si>
  <si>
    <t>GCCCGGAUAGCUCAGUCGGUAGAGCAGCGGUAAAACAGCCUGUGGGUUGAUCCCACCCACAGGGCCCAUUGGGCGCUAGCACUCUGGUAUCACGGUACCUUUGUGCGCCUGUUUUACCGCGGGUCCAGGGUUCAAGUCCCUGUUCGGGCGCCA</t>
  </si>
  <si>
    <t>8T5O</t>
  </si>
  <si>
    <t>RNA Device 43</t>
  </si>
  <si>
    <t>Cryo-EM structure of RNA device 43, holo state</t>
  </si>
  <si>
    <t>GUGAGGUGCAGGUACAUCCAGCUGAUGAGUCCCAAAUAGGACAAAAAGGGAGAGGUGAAGAAUACGACCACCUAGGCUCGAAAGAGCCUAAAACAUACCUUUCCUGGAUUCCACUGCUAUCCAC</t>
  </si>
  <si>
    <t>8U5J</t>
  </si>
  <si>
    <t>Mango III variant</t>
  </si>
  <si>
    <t>Structure of Mango III variant aptamer bound to T01-07M-B</t>
  </si>
  <si>
    <t>GUACGAAGGAAGGUUUGGUAUGUGGUAGAUUCGUAC</t>
  </si>
  <si>
    <t>8U5Z</t>
  </si>
  <si>
    <t>Mango II variant</t>
  </si>
  <si>
    <t>Structure of Mango II variant aptamer bound to T01-7M-B</t>
  </si>
  <si>
    <t>GCGUACGAAGGUGAGGAGAGGCGAGGAAGAGUACGC</t>
  </si>
  <si>
    <t>8UO6</t>
  </si>
  <si>
    <t>HIV-1 Rev Response Element Stem-Loop II with tRNA scaffold</t>
  </si>
  <si>
    <t>2024-06-05T00:00:00Z</t>
  </si>
  <si>
    <t>HIV-1 Rev Response Element (RRE) Stem-Loop II (SLII)</t>
  </si>
  <si>
    <t>GCCCGGAUAGCUCAGUCGGUAGAGCAGCGGGCACUAUGGGCGCAGUGUCAAUGGACGCUGACGGUACAGGCCAGACAAUUAUUGUCUGGUAUAGUGCCCGCGGGUCCAGGGUUCAAGUCCCUGUUCGGGCGCCA</t>
  </si>
  <si>
    <t>8UPT</t>
  </si>
  <si>
    <t>2024-01-10T00:00:00Z</t>
  </si>
  <si>
    <t>Candidatus Methanomethylophilus alvus tRNAPyl in A-site of ribosome</t>
  </si>
  <si>
    <t>GGGGGACGGUCCGGCGACCAGCGGGUCUCUAAAACCUAGCCAGCGGGGUUCGACGCCCCGGUCUCUCGCCA</t>
  </si>
  <si>
    <t>8UPY</t>
  </si>
  <si>
    <t>2024-09-04T00:00:00Z</t>
  </si>
  <si>
    <t>Methanosarcine mazei tRNAPyl in A-site of ribosome</t>
  </si>
  <si>
    <t>GGAAACCUGAUCAUGUAGAUCGAAUGGACUCUAAAUCCGUUCAGCCGGGUUAGAUUCCCGGGGUUUCCGCCA</t>
  </si>
  <si>
    <t>8V1H</t>
  </si>
  <si>
    <t>pre-mascRNA</t>
  </si>
  <si>
    <t>2024-07-10T00:00:00Z</t>
  </si>
  <si>
    <t>Crystal structure of human pre-mascRNA</t>
  </si>
  <si>
    <t>GGCCCGGACGAUGCUGGUGGUUGGCACUCCUGGUUUCCAGGACGGGGUUCAAAUCCCUGCGGCGUCGUCCGGGCC</t>
  </si>
  <si>
    <t>8VT5</t>
  </si>
  <si>
    <t>menRNA</t>
  </si>
  <si>
    <t>2024-07-24T00:00:00Z</t>
  </si>
  <si>
    <t>Crystal structure of human menRNA</t>
  </si>
  <si>
    <t>GGGCGCUGGUGGUGGCACGUCCAGCACGGCUGGGCCGGGGUUCGAGUCCCCGCAGUGUUC</t>
  </si>
  <si>
    <t>8VXZ</t>
  </si>
  <si>
    <t>Chains: A,B,C</t>
  </si>
  <si>
    <t>Mango II bound to 365A-084</t>
  </si>
  <si>
    <t>GCGUACGAAGGAGAGGAGAGGAAGAGGAGAGUACGC</t>
  </si>
  <si>
    <t>8XZQ</t>
  </si>
  <si>
    <t>RNA (53-MER)</t>
  </si>
  <si>
    <t>Crystal structure of folE riboswitch with 8-N Guanine</t>
  </si>
  <si>
    <t>GGGUGUGUACCGUUCAACUCGUCCCAGCUUCGACUGGGACUACGGGAGCGCCU</t>
  </si>
  <si>
    <t>8Z8U</t>
  </si>
  <si>
    <t>RNA (41-MER)</t>
  </si>
  <si>
    <t>2025-03-19T00:00:00Z</t>
  </si>
  <si>
    <t>Crystal structure of LINE-1 ribozyme mutant - C39U</t>
  </si>
  <si>
    <t>GGGCAGAGCCCAACACAGCGAAAGCUGUGGCUAGACUGUCC</t>
  </si>
  <si>
    <t>9BUN</t>
  </si>
  <si>
    <t>RNA (48-MER)</t>
  </si>
  <si>
    <t>RhoBAST aptamer RNA in complex with 5(6)-carboxytetramethylrhodamine</t>
  </si>
  <si>
    <t>GGACUCGGAAACGUGAAGGAGAGGCGCAAGGUUAACCGCCUCAGUCCA</t>
  </si>
  <si>
    <t>9BZ1</t>
  </si>
  <si>
    <t>2024-11-27T00:00:00Z</t>
  </si>
  <si>
    <t>Cocrystal structure of Clostridium beijerinckii ZTP riboswitch with AICA</t>
  </si>
  <si>
    <t>UAGUCAUAUGACUGACGGAAGUGGAGUUACCACAUGAAGUAUGACUAGGCAUAUUAUCUUAUAUGCCACAAAAAGCCGACCGUCUGGGC</t>
  </si>
  <si>
    <t>9C6I</t>
  </si>
  <si>
    <t>Group IIC Intron</t>
  </si>
  <si>
    <t>2024-12-04T00:00:00Z</t>
  </si>
  <si>
    <t>Cryo-EM structure of a group IIC intron RNA</t>
  </si>
  <si>
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UGAGAGGAGUUCGCUCUACUCUAU</t>
  </si>
  <si>
    <t>9CBU</t>
  </si>
  <si>
    <t>N</t>
  </si>
  <si>
    <t>RNA (387-MER)</t>
  </si>
  <si>
    <t>2024-11-20T00:00:00Z</t>
  </si>
  <si>
    <t>Tetrahymena ribozyme with consensus water and magnesium ions</t>
  </si>
  <si>
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</si>
  <si>
    <t>9DE6</t>
  </si>
  <si>
    <t>RNA (57-MER)</t>
  </si>
  <si>
    <t>2025-03-12T00:00:00Z</t>
  </si>
  <si>
    <t>Structure of full-length HIV TAR RNA</t>
  </si>
  <si>
    <t>GGUCUCUCUGGUUAGACCAGAUCUGAGCCGAAAAGCUCUCUGGCUAACUAGGGAACC</t>
  </si>
  <si>
    <t>All RNA</t>
  </si>
  <si>
    <t>AA</t>
  </si>
  <si>
    <t>AU</t>
  </si>
  <si>
    <t>AG</t>
  </si>
  <si>
    <t>AC</t>
  </si>
  <si>
    <t>UA</t>
  </si>
  <si>
    <t>UU</t>
  </si>
  <si>
    <t>UG</t>
  </si>
  <si>
    <t>UC</t>
  </si>
  <si>
    <t>GA</t>
  </si>
  <si>
    <t>GU</t>
  </si>
  <si>
    <t>GG</t>
  </si>
  <si>
    <t>GC</t>
  </si>
  <si>
    <t>CA</t>
  </si>
  <si>
    <t>CU</t>
  </si>
  <si>
    <t>CG</t>
  </si>
  <si>
    <t>Number in NtC</t>
  </si>
  <si>
    <t>Number of expected</t>
  </si>
  <si>
    <t>total count in NtC * (total count in a sequence/number of all steps(6626))</t>
  </si>
  <si>
    <t>total count in NtC * (total count in a sequence/number of all steps(4218))</t>
  </si>
  <si>
    <t>total count in NtC * (total count in a sequence/number of all steps(2408))</t>
  </si>
  <si>
    <t>chi square values</t>
  </si>
  <si>
    <t>total count in NtC * (total count in a sequence/number of all steps(12686))</t>
  </si>
  <si>
    <t>Table S3 C: Observed counts in NtC classes and 16 sequences of dinucleotides for non-redundant set of RNP dinucleotides (Non-Interface)</t>
  </si>
  <si>
    <t>δ1</t>
  </si>
  <si>
    <t>ε1</t>
  </si>
  <si>
    <t>ζ1</t>
  </si>
  <si>
    <t>α2</t>
  </si>
  <si>
    <t>β2</t>
  </si>
  <si>
    <t>γ2</t>
  </si>
  <si>
    <t>δ2</t>
  </si>
  <si>
    <t>χ1</t>
  </si>
  <si>
    <t>χ2</t>
  </si>
  <si>
    <t>μ</t>
  </si>
  <si>
    <r>
      <rPr>
        <b/>
        <vertAlign val="superscript"/>
        <sz val="10"/>
        <rFont val="Arial"/>
        <family val="2"/>
      </rPr>
      <t>a</t>
    </r>
    <r>
      <rPr>
        <b/>
        <sz val="10"/>
        <rFont val="Arial"/>
        <family val="2"/>
      </rPr>
      <t>NtC</t>
    </r>
  </si>
  <si>
    <r>
      <rPr>
        <b/>
        <vertAlign val="superscript"/>
        <sz val="10"/>
        <rFont val="Arial"/>
        <family val="2"/>
      </rPr>
      <t>b</t>
    </r>
    <r>
      <rPr>
        <b/>
        <sz val="10"/>
        <rFont val="Arial"/>
        <family val="2"/>
      </rPr>
      <t>CANA</t>
    </r>
  </si>
  <si>
    <r>
      <t>d</t>
    </r>
    <r>
      <rPr>
        <b/>
        <sz val="10"/>
        <rFont val="Arial"/>
        <family val="2"/>
      </rPr>
      <t>NtC steps</t>
    </r>
  </si>
  <si>
    <r>
      <t>c</t>
    </r>
    <r>
      <rPr>
        <b/>
        <sz val="10"/>
        <rFont val="Arial"/>
        <family val="2"/>
      </rPr>
      <t>PDB ID</t>
    </r>
  </si>
  <si>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>Sugar Pucker_1</t>
    </r>
  </si>
  <si>
    <r>
      <rPr>
        <b/>
        <vertAlign val="superscript"/>
        <sz val="10"/>
        <rFont val="Arial"/>
        <family val="2"/>
      </rPr>
      <t>f</t>
    </r>
    <r>
      <rPr>
        <b/>
        <sz val="10"/>
        <rFont val="Arial"/>
        <family val="2"/>
      </rPr>
      <t>Sugar Pucker_1</t>
    </r>
  </si>
  <si>
    <r>
      <rPr>
        <b/>
        <vertAlign val="superscript"/>
        <sz val="10"/>
        <rFont val="Arial"/>
        <family val="2"/>
      </rPr>
      <t>g</t>
    </r>
    <r>
      <rPr>
        <b/>
        <sz val="10"/>
        <rFont val="Arial"/>
        <family val="2"/>
      </rPr>
      <t>Glycosidic Bond_1</t>
    </r>
  </si>
  <si>
    <r>
      <rPr>
        <b/>
        <vertAlign val="superscript"/>
        <sz val="10"/>
        <rFont val="Arial"/>
        <family val="2"/>
      </rPr>
      <t>h</t>
    </r>
    <r>
      <rPr>
        <b/>
        <sz val="10"/>
        <rFont val="Arial"/>
        <family val="2"/>
      </rPr>
      <t>Glycosidic Bond_2</t>
    </r>
  </si>
  <si>
    <r>
      <rPr>
        <b/>
        <vertAlign val="superscript"/>
        <sz val="10"/>
        <rFont val="Arial"/>
        <family val="2"/>
      </rPr>
      <t>i</t>
    </r>
    <r>
      <rPr>
        <b/>
        <sz val="10"/>
        <rFont val="Arial"/>
        <family val="2"/>
      </rPr>
      <t>SS_1</t>
    </r>
  </si>
  <si>
    <r>
      <rPr>
        <b/>
        <vertAlign val="superscript"/>
        <sz val="10"/>
        <rFont val="Arial"/>
        <family val="2"/>
      </rPr>
      <t>j</t>
    </r>
    <r>
      <rPr>
        <b/>
        <sz val="10"/>
        <rFont val="Arial"/>
        <family val="2"/>
      </rPr>
      <t>SS_2</t>
    </r>
  </si>
  <si>
    <r>
      <rPr>
        <b/>
        <vertAlign val="superscript"/>
        <sz val="10"/>
        <rFont val="Arial"/>
        <family val="2"/>
      </rPr>
      <t>k</t>
    </r>
    <r>
      <rPr>
        <b/>
        <sz val="10"/>
        <rFont val="Arial"/>
        <family val="2"/>
      </rPr>
      <t>Bfac_mean</t>
    </r>
  </si>
  <si>
    <r>
      <rPr>
        <b/>
        <vertAlign val="superscript"/>
        <sz val="10"/>
        <rFont val="Arial"/>
        <family val="2"/>
      </rPr>
      <t>l</t>
    </r>
    <r>
      <rPr>
        <b/>
        <sz val="10"/>
        <rFont val="Arial"/>
        <family val="2"/>
      </rPr>
      <t>Bfac_std</t>
    </r>
  </si>
  <si>
    <r>
      <rPr>
        <b/>
        <vertAlign val="superscript"/>
        <sz val="10"/>
        <rFont val="Arial"/>
        <family val="2"/>
      </rPr>
      <t>m</t>
    </r>
    <r>
      <rPr>
        <b/>
        <sz val="10"/>
        <rFont val="Arial"/>
        <family val="2"/>
      </rPr>
      <t>Cluster</t>
    </r>
  </si>
  <si>
    <t>Table S2 A: Observed counts in NtC classes and 16 sequences of dinucleotides for 263 non-redundant set of RNP dinucleotides</t>
  </si>
  <si>
    <t>Table S2 B: Observed counts in NtC classes and 16 sequences of dinucleotides for non-redundant set of RNP dinucleotides (Interface)</t>
  </si>
  <si>
    <t>Table S3 A: Standardized Pearson Residuals, 263 prtein-RNA complexes</t>
  </si>
  <si>
    <t>Table S3 B: Table S Standardized Pearson Residuals for interface of 263 prtein-RNA complexes</t>
  </si>
  <si>
    <t>Table S3 C: Standardized Pearson Residuals for non-interface of 263 prtein-RNA complexes</t>
  </si>
  <si>
    <t>Table S4 A: Observed counts in NtC classes and 16 sequences of dinucleotides for 145 non-redundant dataset of free-RNA dinucleotides</t>
  </si>
  <si>
    <t>Table S4 B: Standardized Pearson Residuals, 145 free-RNA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</si>
</sst>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name val="Arial"/>
      <family val="2"/>
      <charset val="1"/>
    </font>
    <font>
      <sz val="10.5"/>
      <name val="Arial"/>
      <family val="2"/>
      <charset val="1"/>
    </font>
    <font>
      <b/>
      <sz val="10.5"/>
      <name val="Arial"/>
      <family val="2"/>
      <charset val="1"/>
    </font>
    <font>
      <sz val="12"/>
      <name val="Arial"/>
      <family val="2"/>
      <charset val="1"/>
    </font>
    <font>
      <sz val="14"/>
      <name val="Arial"/>
      <family val="2"/>
      <charset val="1"/>
    </font>
    <font>
      <sz val="16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sz val="14"/>
      <name val="Times New Roman"/>
      <family val="1"/>
    </font>
    <font>
      <sz val="16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/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Fill="1" applyAlignment="1">
      <alignment horizontal="center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0" fillId="0" borderId="0" xfId="0" applyNumberFormat="1"/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6" fillId="0" borderId="1" xfId="0" applyFont="1" applyBorder="1"/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/>
    <xf numFmtId="0" fontId="7" fillId="0" borderId="1" xfId="0" applyFont="1" applyBorder="1" applyAlignment="1"/>
    <xf numFmtId="2" fontId="7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/>
    <xf numFmtId="0" fontId="6" fillId="0" borderId="1" xfId="0" applyFont="1" applyBorder="1" applyAlignment="1"/>
    <xf numFmtId="0" fontId="0" fillId="0" borderId="0" xfId="0" applyFont="1" applyAlignment="1">
      <alignment horizontal="center"/>
    </xf>
    <xf numFmtId="3" fontId="4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Font="1" applyBorder="1"/>
    <xf numFmtId="3" fontId="4" fillId="2" borderId="0" xfId="0" applyNumberFormat="1" applyFont="1" applyFill="1" applyAlignment="1">
      <alignment horizontal="left" vertical="center"/>
    </xf>
    <xf numFmtId="3" fontId="4" fillId="2" borderId="0" xfId="0" applyNumberFormat="1" applyFont="1" applyFill="1" applyAlignment="1">
      <alignment horizontal="center" vertical="center"/>
    </xf>
    <xf numFmtId="3" fontId="9" fillId="2" borderId="0" xfId="0" applyNumberFormat="1" applyFont="1" applyFill="1" applyAlignment="1">
      <alignment horizontal="left" vertical="center"/>
    </xf>
    <xf numFmtId="3" fontId="9" fillId="2" borderId="0" xfId="0" applyNumberFormat="1" applyFont="1" applyFill="1" applyAlignment="1">
      <alignment horizontal="left" vertical="center"/>
    </xf>
    <xf numFmtId="3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/>
    </xf>
    <xf numFmtId="3" fontId="10" fillId="2" borderId="0" xfId="0" applyNumberFormat="1" applyFont="1" applyFill="1" applyAlignment="1">
      <alignment horizontal="left" vertical="center"/>
    </xf>
    <xf numFmtId="3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/>
    </xf>
    <xf numFmtId="0" fontId="9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65A4"/>
      <rgbColor rgb="FF33CCCC"/>
      <rgbColor rgb="FFBBE33D"/>
      <rgbColor rgb="FFFFCC00"/>
      <rgbColor rgb="FFFF8000"/>
      <rgbColor rgb="FFFF6600"/>
      <rgbColor rgb="FF5983B0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233083</xdr:colOff>
      <xdr:row>0</xdr:row>
      <xdr:rowOff>35859</xdr:rowOff>
    </xdr:from>
    <xdr:to>
      <xdr:col>24</xdr:col>
      <xdr:colOff>0</xdr:colOff>
      <xdr:row>0</xdr:row>
      <xdr:rowOff>403412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4EE92B-C860-470B-88AC-2776C8151783}"/>
            </a:ext>
          </a:extLst>
        </xdr:cNvPr>
        <xdr:cNvSpPr txBox="1"/>
      </xdr:nvSpPr>
      <xdr:spPr>
        <a:xfrm>
          <a:off x="2052918" y="35859"/>
          <a:ext cx="13016753" cy="3675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Supplementary Table S1.</a:t>
          </a:r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Representative dinucleotide conformers at the non-interface of protein-RNA complexes close to their cluster mean.</a:t>
          </a:r>
        </a:p>
      </xdr:txBody>
    </xdr:sp>
    <xdr:clientData/>
  </xdr:twoCellAnchor>
  <xdr:oneCellAnchor>
    <xdr:from>
      <xdr:col>0</xdr:col>
      <xdr:colOff>0</xdr:colOff>
      <xdr:row>31</xdr:row>
      <xdr:rowOff>0</xdr:rowOff>
    </xdr:from>
    <xdr:ext cx="14210557" cy="277640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DC2719-5F69-4DD8-BB51-87C843425266}"/>
            </a:ext>
          </a:extLst>
        </xdr:cNvPr>
        <xdr:cNvSpPr txBox="1"/>
      </xdr:nvSpPr>
      <xdr:spPr>
        <a:xfrm>
          <a:off x="0" y="5602941"/>
          <a:ext cx="14210557" cy="27764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NtC: diNucleotide Conformers. Newly identified conformers are indicated in </a:t>
          </a:r>
          <a:r>
            <a:rPr lang="en-IN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bold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</a:p>
        <a:p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CANA: Conformational Alphabet of Nucleic Acids.</a:t>
          </a:r>
        </a:p>
        <a:p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PDB ID: Protein Data Bank ID of the complex from which the representative of the cluster is taken.</a:t>
          </a:r>
        </a:p>
        <a:p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NtC steps: Chain ID of the first nucleotide, name of the first nucleobase, serial number of the first nucleotide in PDB, name of the 2</a:t>
          </a:r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nd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nucleobase, serial number of the second nucleotide in PDB. </a:t>
          </a:r>
        </a:p>
        <a:p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Sugar Pucker_1: The sugar conformation of the 1</a:t>
          </a:r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nucleotide in the di-nucleotide.</a:t>
          </a:r>
        </a:p>
        <a:p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Sugar Pucker_2: The sugar conformation of the 2</a:t>
          </a:r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nd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nucleotide in the di-nucleotide.</a:t>
          </a:r>
        </a:p>
        <a:p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Glycosidic Bond_1: Side-chain rotation around glycosidic torsion angle of the 1</a:t>
          </a:r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nucleotide in the di-nucleotide.</a:t>
          </a:r>
        </a:p>
        <a:p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Glycosidic Bond_2: Side-chain rotation around glycosidic torsion angle of the 2</a:t>
          </a:r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nd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nucleotide in the di-nucleotide.</a:t>
          </a:r>
        </a:p>
        <a:p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SS_1: RNA secondary structure of the 1</a:t>
          </a:r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nucleotide in the di-nucleotide.</a:t>
          </a:r>
        </a:p>
        <a:p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SS_2: RNA secondary structure of the 2</a:t>
          </a:r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nd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nucleotide in the di-nucleotide.</a:t>
          </a:r>
        </a:p>
        <a:p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Bfac_mean: Mean B factors of dinucleotide steps.</a:t>
          </a:r>
        </a:p>
        <a:p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Bfac_std: B factors Standard deviation of dinucleotide steps.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aseline="30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</a:t>
          </a:r>
          <a:r>
            <a:rPr lang="en-I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Clusters obtained after clustering using the DBSCAN algorithm. A total of 28 clusters identified in this study. Each refer to a unique conformation.</a:t>
          </a:r>
          <a:endParaRPr lang="en-IN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I1264"/>
  <sheetViews>
    <sheetView zoomScale="110" zoomScaleNormal="110" workbookViewId="0">
      <pane ySplit="1" topLeftCell="A29" activePane="bottomLeft" state="frozen"/>
      <selection pane="bottomLeft" activeCell="L2" sqref="L2"/>
    </sheetView>
  </sheetViews>
  <sheetFormatPr defaultColWidth="11.5546875" defaultRowHeight="13.8" x14ac:dyDescent="0.25"/>
  <cols>
    <col min="1" max="1" width="11.5546875" style="2"/>
    <col min="2" max="2" width="15.44140625" style="2" customWidth="1"/>
    <col min="3" max="3" width="29.88671875" style="3" customWidth="1"/>
    <col min="4" max="4" width="17.44140625" style="2" customWidth="1"/>
    <col min="5" max="5" width="26.21875" style="3" customWidth="1"/>
    <col min="6" max="7" width="11.5546875" style="2"/>
    <col min="8" max="8" width="19.77734375" style="2" customWidth="1"/>
    <col min="9" max="11" width="11.5546875" style="2"/>
    <col min="12" max="1023" width="11.5546875" style="3"/>
  </cols>
  <sheetData>
    <row r="1" spans="1:11" x14ac:dyDescent="0.25">
      <c r="A1" s="4" t="s">
        <v>845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5" t="s">
        <v>90</v>
      </c>
      <c r="H1" s="4" t="s">
        <v>91</v>
      </c>
      <c r="I1" s="4" t="s">
        <v>92</v>
      </c>
      <c r="J1" s="4" t="s">
        <v>93</v>
      </c>
      <c r="K1" s="4" t="s">
        <v>94</v>
      </c>
    </row>
    <row r="2" spans="1:11" x14ac:dyDescent="0.25">
      <c r="A2" s="41" t="s">
        <v>205</v>
      </c>
      <c r="B2" s="41" t="s">
        <v>206</v>
      </c>
      <c r="C2" s="42" t="s">
        <v>207</v>
      </c>
      <c r="D2" s="41" t="s">
        <v>208</v>
      </c>
      <c r="E2" s="42" t="s">
        <v>209</v>
      </c>
      <c r="F2" s="41" t="s">
        <v>210</v>
      </c>
      <c r="G2" s="43">
        <v>2.54</v>
      </c>
      <c r="H2" s="41" t="s">
        <v>99</v>
      </c>
      <c r="I2" s="41">
        <v>10949</v>
      </c>
      <c r="J2" s="41">
        <v>5154</v>
      </c>
      <c r="K2" s="41">
        <v>5795</v>
      </c>
    </row>
    <row r="3" spans="1:11" x14ac:dyDescent="0.25">
      <c r="A3" s="41" t="s">
        <v>211</v>
      </c>
      <c r="B3" s="41" t="s">
        <v>160</v>
      </c>
      <c r="C3" s="42" t="s">
        <v>212</v>
      </c>
      <c r="D3" s="41" t="s">
        <v>189</v>
      </c>
      <c r="E3" s="42" t="s">
        <v>213</v>
      </c>
      <c r="F3" s="41" t="s">
        <v>180</v>
      </c>
      <c r="G3" s="43">
        <v>2.5</v>
      </c>
      <c r="H3" s="41" t="s">
        <v>117</v>
      </c>
      <c r="I3" s="41">
        <v>5603</v>
      </c>
      <c r="J3" s="41">
        <v>2777</v>
      </c>
      <c r="K3" s="41">
        <v>2826</v>
      </c>
    </row>
    <row r="4" spans="1:11" x14ac:dyDescent="0.25">
      <c r="A4" s="41" t="s">
        <v>214</v>
      </c>
      <c r="B4" s="41" t="s">
        <v>95</v>
      </c>
      <c r="C4" s="42" t="s">
        <v>215</v>
      </c>
      <c r="D4" s="41" t="s">
        <v>216</v>
      </c>
      <c r="E4" s="42" t="s">
        <v>125</v>
      </c>
      <c r="F4" s="41" t="s">
        <v>217</v>
      </c>
      <c r="G4" s="43">
        <v>2.5</v>
      </c>
      <c r="H4" s="41" t="s">
        <v>96</v>
      </c>
      <c r="I4" s="41">
        <v>3245</v>
      </c>
      <c r="J4" s="41">
        <v>1558</v>
      </c>
      <c r="K4" s="41">
        <v>1686</v>
      </c>
    </row>
    <row r="5" spans="1:11" x14ac:dyDescent="0.25">
      <c r="A5" s="41" t="s">
        <v>218</v>
      </c>
      <c r="B5" s="41" t="s">
        <v>109</v>
      </c>
      <c r="C5" s="42" t="s">
        <v>219</v>
      </c>
      <c r="D5" s="41" t="s">
        <v>220</v>
      </c>
      <c r="E5" s="42" t="s">
        <v>221</v>
      </c>
      <c r="F5" s="41" t="s">
        <v>182</v>
      </c>
      <c r="G5" s="43">
        <v>2.5</v>
      </c>
      <c r="H5" s="41" t="s">
        <v>99</v>
      </c>
      <c r="I5" s="41">
        <v>1162</v>
      </c>
      <c r="J5" s="41">
        <v>543</v>
      </c>
      <c r="K5" s="41">
        <v>619</v>
      </c>
    </row>
    <row r="6" spans="1:11" x14ac:dyDescent="0.25">
      <c r="A6" s="41" t="s">
        <v>222</v>
      </c>
      <c r="B6" s="41" t="s">
        <v>100</v>
      </c>
      <c r="C6" s="42" t="s">
        <v>223</v>
      </c>
      <c r="D6" s="41" t="s">
        <v>224</v>
      </c>
      <c r="E6" s="42" t="s">
        <v>125</v>
      </c>
      <c r="F6" s="41" t="s">
        <v>225</v>
      </c>
      <c r="G6" s="43">
        <v>2.5</v>
      </c>
      <c r="H6" s="41" t="s">
        <v>96</v>
      </c>
      <c r="I6" s="41">
        <v>2150</v>
      </c>
      <c r="J6" s="41">
        <v>985</v>
      </c>
      <c r="K6" s="41">
        <v>1165</v>
      </c>
    </row>
    <row r="7" spans="1:11" x14ac:dyDescent="0.25">
      <c r="A7" s="41" t="s">
        <v>226</v>
      </c>
      <c r="B7" s="41" t="s">
        <v>227</v>
      </c>
      <c r="C7" s="42" t="s">
        <v>228</v>
      </c>
      <c r="D7" s="41" t="s">
        <v>229</v>
      </c>
      <c r="E7" s="42" t="s">
        <v>154</v>
      </c>
      <c r="F7" s="41" t="s">
        <v>230</v>
      </c>
      <c r="G7" s="43">
        <v>2.5</v>
      </c>
      <c r="H7" s="41" t="s">
        <v>96</v>
      </c>
      <c r="I7" s="41">
        <v>4175</v>
      </c>
      <c r="J7" s="41">
        <v>1999</v>
      </c>
      <c r="K7" s="41">
        <v>2176</v>
      </c>
    </row>
    <row r="8" spans="1:11" x14ac:dyDescent="0.25">
      <c r="A8" s="41" t="s">
        <v>231</v>
      </c>
      <c r="B8" s="41" t="s">
        <v>232</v>
      </c>
      <c r="C8" s="42" t="s">
        <v>233</v>
      </c>
      <c r="D8" s="41" t="s">
        <v>234</v>
      </c>
      <c r="E8" s="42" t="s">
        <v>150</v>
      </c>
      <c r="F8" s="41" t="s">
        <v>119</v>
      </c>
      <c r="G8" s="43">
        <v>2.5</v>
      </c>
      <c r="H8" s="41" t="s">
        <v>99</v>
      </c>
      <c r="I8" s="41">
        <v>751</v>
      </c>
      <c r="J8" s="41">
        <v>331</v>
      </c>
      <c r="K8" s="41">
        <v>420</v>
      </c>
    </row>
    <row r="9" spans="1:11" x14ac:dyDescent="0.25">
      <c r="A9" s="41" t="s">
        <v>235</v>
      </c>
      <c r="B9" s="41" t="s">
        <v>236</v>
      </c>
      <c r="C9" s="42" t="s">
        <v>237</v>
      </c>
      <c r="D9" s="41" t="s">
        <v>238</v>
      </c>
      <c r="E9" s="42" t="s">
        <v>239</v>
      </c>
      <c r="F9" s="41" t="s">
        <v>240</v>
      </c>
      <c r="G9" s="43">
        <v>2.5</v>
      </c>
      <c r="H9" s="41" t="s">
        <v>96</v>
      </c>
      <c r="I9" s="41">
        <v>2298</v>
      </c>
      <c r="J9" s="41">
        <v>1098</v>
      </c>
      <c r="K9" s="41">
        <v>1201</v>
      </c>
    </row>
    <row r="10" spans="1:11" x14ac:dyDescent="0.25">
      <c r="A10" s="41" t="s">
        <v>40</v>
      </c>
      <c r="B10" s="41" t="s">
        <v>160</v>
      </c>
      <c r="C10" s="42" t="s">
        <v>241</v>
      </c>
      <c r="D10" s="41" t="s">
        <v>242</v>
      </c>
      <c r="E10" s="42" t="s">
        <v>243</v>
      </c>
      <c r="F10" s="41" t="s">
        <v>244</v>
      </c>
      <c r="G10" s="43">
        <v>2.5</v>
      </c>
      <c r="H10" s="41" t="s">
        <v>99</v>
      </c>
      <c r="I10" s="41">
        <v>7748</v>
      </c>
      <c r="J10" s="41">
        <v>3646</v>
      </c>
      <c r="K10" s="41">
        <v>4102</v>
      </c>
    </row>
    <row r="11" spans="1:11" x14ac:dyDescent="0.25">
      <c r="A11" s="41" t="s">
        <v>52</v>
      </c>
      <c r="B11" s="41" t="s">
        <v>245</v>
      </c>
      <c r="C11" s="42" t="s">
        <v>246</v>
      </c>
      <c r="D11" s="41" t="s">
        <v>247</v>
      </c>
      <c r="E11" s="42" t="s">
        <v>179</v>
      </c>
      <c r="F11" s="41" t="s">
        <v>124</v>
      </c>
      <c r="G11" s="43">
        <v>2.48</v>
      </c>
      <c r="H11" s="41" t="s">
        <v>96</v>
      </c>
      <c r="I11" s="41">
        <v>7076</v>
      </c>
      <c r="J11" s="41">
        <v>3272</v>
      </c>
      <c r="K11" s="41">
        <v>3804</v>
      </c>
    </row>
    <row r="12" spans="1:11" x14ac:dyDescent="0.25">
      <c r="A12" s="41" t="s">
        <v>248</v>
      </c>
      <c r="B12" s="41" t="s">
        <v>249</v>
      </c>
      <c r="C12" s="42" t="s">
        <v>250</v>
      </c>
      <c r="D12" s="41" t="s">
        <v>251</v>
      </c>
      <c r="E12" s="42" t="s">
        <v>252</v>
      </c>
      <c r="F12" s="41" t="s">
        <v>141</v>
      </c>
      <c r="G12" s="43">
        <v>2.4700000000000002</v>
      </c>
      <c r="H12" s="41" t="s">
        <v>117</v>
      </c>
      <c r="I12" s="41">
        <v>1996</v>
      </c>
      <c r="J12" s="41">
        <v>868</v>
      </c>
      <c r="K12" s="41">
        <v>1127</v>
      </c>
    </row>
    <row r="13" spans="1:11" x14ac:dyDescent="0.25">
      <c r="A13" s="41" t="s">
        <v>253</v>
      </c>
      <c r="B13" s="41" t="s">
        <v>160</v>
      </c>
      <c r="C13" s="42" t="s">
        <v>254</v>
      </c>
      <c r="D13" s="41" t="s">
        <v>255</v>
      </c>
      <c r="E13" s="42" t="s">
        <v>256</v>
      </c>
      <c r="F13" s="41" t="s">
        <v>185</v>
      </c>
      <c r="G13" s="43">
        <v>2.46</v>
      </c>
      <c r="H13" s="41" t="s">
        <v>99</v>
      </c>
      <c r="I13" s="41">
        <v>7843</v>
      </c>
      <c r="J13" s="41">
        <v>3665</v>
      </c>
      <c r="K13" s="41">
        <v>4178</v>
      </c>
    </row>
    <row r="14" spans="1:11" x14ac:dyDescent="0.25">
      <c r="A14" s="41" t="s">
        <v>257</v>
      </c>
      <c r="B14" s="41" t="s">
        <v>258</v>
      </c>
      <c r="C14" s="42" t="s">
        <v>259</v>
      </c>
      <c r="D14" s="41" t="s">
        <v>260</v>
      </c>
      <c r="E14" s="42" t="s">
        <v>261</v>
      </c>
      <c r="F14" s="41" t="s">
        <v>141</v>
      </c>
      <c r="G14" s="43">
        <v>2.4500000000000002</v>
      </c>
      <c r="H14" s="41" t="s">
        <v>99</v>
      </c>
      <c r="I14" s="41">
        <v>1921</v>
      </c>
      <c r="J14" s="41">
        <v>762</v>
      </c>
      <c r="K14" s="41">
        <v>1159</v>
      </c>
    </row>
    <row r="15" spans="1:11" x14ac:dyDescent="0.25">
      <c r="A15" s="41" t="s">
        <v>262</v>
      </c>
      <c r="B15" s="41" t="s">
        <v>131</v>
      </c>
      <c r="C15" s="42" t="s">
        <v>263</v>
      </c>
      <c r="D15" s="41" t="s">
        <v>264</v>
      </c>
      <c r="E15" s="42" t="s">
        <v>265</v>
      </c>
      <c r="F15" s="41" t="s">
        <v>266</v>
      </c>
      <c r="G15" s="43">
        <v>2.4500000000000002</v>
      </c>
      <c r="H15" s="41" t="s">
        <v>96</v>
      </c>
      <c r="I15" s="41">
        <v>1910</v>
      </c>
      <c r="J15" s="41">
        <v>996</v>
      </c>
      <c r="K15" s="41">
        <v>913</v>
      </c>
    </row>
    <row r="16" spans="1:11" x14ac:dyDescent="0.25">
      <c r="A16" s="41" t="s">
        <v>267</v>
      </c>
      <c r="B16" s="41" t="s">
        <v>109</v>
      </c>
      <c r="C16" s="42" t="s">
        <v>268</v>
      </c>
      <c r="D16" s="41" t="s">
        <v>269</v>
      </c>
      <c r="E16" s="42" t="s">
        <v>270</v>
      </c>
      <c r="F16" s="41" t="s">
        <v>141</v>
      </c>
      <c r="G16" s="43">
        <v>2.4500000000000002</v>
      </c>
      <c r="H16" s="41" t="s">
        <v>99</v>
      </c>
      <c r="I16" s="41">
        <v>1878</v>
      </c>
      <c r="J16" s="41">
        <v>761</v>
      </c>
      <c r="K16" s="41">
        <v>1117</v>
      </c>
    </row>
    <row r="17" spans="1:11" x14ac:dyDescent="0.25">
      <c r="A17" s="41" t="s">
        <v>271</v>
      </c>
      <c r="B17" s="41" t="s">
        <v>109</v>
      </c>
      <c r="C17" s="42" t="s">
        <v>272</v>
      </c>
      <c r="D17" s="41" t="s">
        <v>273</v>
      </c>
      <c r="E17" s="42" t="s">
        <v>274</v>
      </c>
      <c r="F17" s="41" t="s">
        <v>193</v>
      </c>
      <c r="G17" s="43">
        <v>2.4500000000000002</v>
      </c>
      <c r="H17" s="41" t="s">
        <v>96</v>
      </c>
      <c r="I17" s="41">
        <v>4201</v>
      </c>
      <c r="J17" s="41">
        <v>1923</v>
      </c>
      <c r="K17" s="41">
        <v>2278</v>
      </c>
    </row>
    <row r="18" spans="1:11" x14ac:dyDescent="0.25">
      <c r="A18" s="41" t="s">
        <v>275</v>
      </c>
      <c r="B18" s="41" t="s">
        <v>106</v>
      </c>
      <c r="C18" s="42" t="s">
        <v>276</v>
      </c>
      <c r="D18" s="41" t="s">
        <v>277</v>
      </c>
      <c r="E18" s="42" t="s">
        <v>278</v>
      </c>
      <c r="F18" s="41" t="s">
        <v>279</v>
      </c>
      <c r="G18" s="43">
        <v>2.44</v>
      </c>
      <c r="H18" s="41" t="s">
        <v>96</v>
      </c>
      <c r="I18" s="41">
        <v>1754</v>
      </c>
      <c r="J18" s="41">
        <v>801</v>
      </c>
      <c r="K18" s="41">
        <v>953</v>
      </c>
    </row>
    <row r="19" spans="1:11" x14ac:dyDescent="0.25">
      <c r="A19" s="41" t="s">
        <v>280</v>
      </c>
      <c r="B19" s="41" t="s">
        <v>131</v>
      </c>
      <c r="C19" s="42" t="s">
        <v>281</v>
      </c>
      <c r="D19" s="41" t="s">
        <v>282</v>
      </c>
      <c r="E19" s="42" t="s">
        <v>283</v>
      </c>
      <c r="F19" s="41" t="s">
        <v>284</v>
      </c>
      <c r="G19" s="43">
        <v>2.4300000000000002</v>
      </c>
      <c r="H19" s="41" t="s">
        <v>96</v>
      </c>
      <c r="I19" s="41">
        <v>2230</v>
      </c>
      <c r="J19" s="41">
        <v>982</v>
      </c>
      <c r="K19" s="41">
        <v>1249</v>
      </c>
    </row>
    <row r="20" spans="1:11" x14ac:dyDescent="0.25">
      <c r="A20" s="41" t="s">
        <v>285</v>
      </c>
      <c r="B20" s="41" t="s">
        <v>131</v>
      </c>
      <c r="C20" s="42" t="s">
        <v>286</v>
      </c>
      <c r="D20" s="41" t="s">
        <v>287</v>
      </c>
      <c r="E20" s="42" t="s">
        <v>288</v>
      </c>
      <c r="F20" s="41" t="s">
        <v>202</v>
      </c>
      <c r="G20" s="43">
        <v>2.4300000000000002</v>
      </c>
      <c r="H20" s="41" t="s">
        <v>96</v>
      </c>
      <c r="I20" s="41">
        <v>2664</v>
      </c>
      <c r="J20" s="41">
        <v>1169</v>
      </c>
      <c r="K20" s="41">
        <v>1495</v>
      </c>
    </row>
    <row r="21" spans="1:11" x14ac:dyDescent="0.25">
      <c r="A21" s="41" t="s">
        <v>54</v>
      </c>
      <c r="B21" s="41" t="s">
        <v>160</v>
      </c>
      <c r="C21" s="42" t="s">
        <v>289</v>
      </c>
      <c r="D21" s="41" t="s">
        <v>290</v>
      </c>
      <c r="E21" s="42" t="s">
        <v>125</v>
      </c>
      <c r="F21" s="41" t="s">
        <v>284</v>
      </c>
      <c r="G21" s="43">
        <v>2.4300000000000002</v>
      </c>
      <c r="H21" s="41" t="s">
        <v>96</v>
      </c>
      <c r="I21" s="41">
        <v>1068</v>
      </c>
      <c r="J21" s="41">
        <v>581</v>
      </c>
      <c r="K21" s="41">
        <v>487</v>
      </c>
    </row>
    <row r="22" spans="1:11" x14ac:dyDescent="0.25">
      <c r="A22" s="41" t="s">
        <v>291</v>
      </c>
      <c r="B22" s="41" t="s">
        <v>292</v>
      </c>
      <c r="C22" s="42" t="s">
        <v>293</v>
      </c>
      <c r="D22" s="41" t="s">
        <v>294</v>
      </c>
      <c r="E22" s="42" t="s">
        <v>295</v>
      </c>
      <c r="F22" s="41" t="s">
        <v>173</v>
      </c>
      <c r="G22" s="43">
        <v>2.42</v>
      </c>
      <c r="H22" s="41" t="s">
        <v>99</v>
      </c>
      <c r="I22" s="41">
        <v>3683</v>
      </c>
      <c r="J22" s="41">
        <v>1813</v>
      </c>
      <c r="K22" s="41">
        <v>1870</v>
      </c>
    </row>
    <row r="23" spans="1:11" x14ac:dyDescent="0.25">
      <c r="A23" s="41" t="s">
        <v>296</v>
      </c>
      <c r="B23" s="41" t="s">
        <v>109</v>
      </c>
      <c r="C23" s="42" t="s">
        <v>297</v>
      </c>
      <c r="D23" s="41" t="s">
        <v>298</v>
      </c>
      <c r="E23" s="42" t="s">
        <v>129</v>
      </c>
      <c r="F23" s="41" t="s">
        <v>111</v>
      </c>
      <c r="G23" s="43">
        <v>2.4</v>
      </c>
      <c r="H23" s="41" t="s">
        <v>112</v>
      </c>
      <c r="I23" s="41">
        <v>4180</v>
      </c>
      <c r="J23" s="41">
        <v>2006</v>
      </c>
      <c r="K23" s="41">
        <v>2174</v>
      </c>
    </row>
    <row r="24" spans="1:11" x14ac:dyDescent="0.25">
      <c r="A24" s="41" t="s">
        <v>299</v>
      </c>
      <c r="B24" s="41" t="s">
        <v>204</v>
      </c>
      <c r="C24" s="42" t="s">
        <v>300</v>
      </c>
      <c r="D24" s="41" t="s">
        <v>301</v>
      </c>
      <c r="E24" s="42" t="s">
        <v>302</v>
      </c>
      <c r="F24" s="41" t="s">
        <v>119</v>
      </c>
      <c r="G24" s="43">
        <v>2.4</v>
      </c>
      <c r="H24" s="41" t="s">
        <v>99</v>
      </c>
      <c r="I24" s="41">
        <v>719</v>
      </c>
      <c r="J24" s="41">
        <v>281</v>
      </c>
      <c r="K24" s="41">
        <v>438</v>
      </c>
    </row>
    <row r="25" spans="1:11" x14ac:dyDescent="0.25">
      <c r="A25" s="41" t="s">
        <v>303</v>
      </c>
      <c r="B25" s="41" t="s">
        <v>304</v>
      </c>
      <c r="C25" s="42" t="s">
        <v>305</v>
      </c>
      <c r="D25" s="41" t="s">
        <v>306</v>
      </c>
      <c r="E25" s="42" t="s">
        <v>132</v>
      </c>
      <c r="F25" s="41" t="s">
        <v>128</v>
      </c>
      <c r="G25" s="43">
        <v>2.4</v>
      </c>
      <c r="H25" s="41" t="s">
        <v>112</v>
      </c>
      <c r="I25" s="41">
        <v>4266</v>
      </c>
      <c r="J25" s="41">
        <v>2056</v>
      </c>
      <c r="K25" s="41">
        <v>2210</v>
      </c>
    </row>
    <row r="26" spans="1:11" x14ac:dyDescent="0.25">
      <c r="A26" s="41" t="s">
        <v>307</v>
      </c>
      <c r="B26" s="41" t="s">
        <v>188</v>
      </c>
      <c r="C26" s="42" t="s">
        <v>308</v>
      </c>
      <c r="D26" s="41" t="s">
        <v>309</v>
      </c>
      <c r="E26" s="42" t="s">
        <v>176</v>
      </c>
      <c r="F26" s="41" t="s">
        <v>182</v>
      </c>
      <c r="G26" s="43">
        <v>2.4</v>
      </c>
      <c r="H26" s="41" t="s">
        <v>99</v>
      </c>
      <c r="I26" s="41">
        <v>2006</v>
      </c>
      <c r="J26" s="41">
        <v>937</v>
      </c>
      <c r="K26" s="41">
        <v>1069</v>
      </c>
    </row>
    <row r="27" spans="1:11" x14ac:dyDescent="0.25">
      <c r="A27" s="41" t="s">
        <v>310</v>
      </c>
      <c r="B27" s="41" t="s">
        <v>311</v>
      </c>
      <c r="C27" s="42" t="s">
        <v>312</v>
      </c>
      <c r="D27" s="41" t="s">
        <v>313</v>
      </c>
      <c r="E27" s="42" t="s">
        <v>125</v>
      </c>
      <c r="F27" s="41" t="s">
        <v>185</v>
      </c>
      <c r="G27" s="43">
        <v>2.4</v>
      </c>
      <c r="H27" s="41" t="s">
        <v>96</v>
      </c>
      <c r="I27" s="41">
        <v>1664</v>
      </c>
      <c r="J27" s="41">
        <v>799</v>
      </c>
      <c r="K27" s="41">
        <v>864</v>
      </c>
    </row>
    <row r="28" spans="1:11" x14ac:dyDescent="0.25">
      <c r="A28" s="41" t="s">
        <v>78</v>
      </c>
      <c r="B28" s="41" t="s">
        <v>109</v>
      </c>
      <c r="C28" s="42" t="s">
        <v>314</v>
      </c>
      <c r="D28" s="41" t="s">
        <v>315</v>
      </c>
      <c r="E28" s="42" t="s">
        <v>316</v>
      </c>
      <c r="F28" s="41" t="s">
        <v>103</v>
      </c>
      <c r="G28" s="43">
        <v>2.4</v>
      </c>
      <c r="H28" s="41" t="s">
        <v>112</v>
      </c>
      <c r="I28" s="41">
        <v>1354</v>
      </c>
      <c r="J28" s="41">
        <v>690</v>
      </c>
      <c r="K28" s="41">
        <v>664</v>
      </c>
    </row>
    <row r="29" spans="1:11" x14ac:dyDescent="0.25">
      <c r="A29" s="41" t="s">
        <v>317</v>
      </c>
      <c r="B29" s="41" t="s">
        <v>183</v>
      </c>
      <c r="C29" s="42" t="s">
        <v>318</v>
      </c>
      <c r="D29" s="41" t="s">
        <v>319</v>
      </c>
      <c r="E29" s="42" t="s">
        <v>320</v>
      </c>
      <c r="F29" s="41" t="s">
        <v>98</v>
      </c>
      <c r="G29" s="43">
        <v>2.4</v>
      </c>
      <c r="H29" s="41" t="s">
        <v>96</v>
      </c>
      <c r="I29" s="41">
        <v>1995</v>
      </c>
      <c r="J29" s="41">
        <v>914</v>
      </c>
      <c r="K29" s="41">
        <v>1081</v>
      </c>
    </row>
    <row r="30" spans="1:11" x14ac:dyDescent="0.25">
      <c r="A30" s="41" t="s">
        <v>50</v>
      </c>
      <c r="B30" s="41" t="s">
        <v>188</v>
      </c>
      <c r="C30" s="42" t="s">
        <v>321</v>
      </c>
      <c r="D30" s="41" t="s">
        <v>322</v>
      </c>
      <c r="E30" s="42" t="s">
        <v>323</v>
      </c>
      <c r="F30" s="41" t="s">
        <v>128</v>
      </c>
      <c r="G30" s="43">
        <v>2.4</v>
      </c>
      <c r="H30" s="41" t="s">
        <v>112</v>
      </c>
      <c r="I30" s="41">
        <v>3451</v>
      </c>
      <c r="J30" s="41">
        <v>1643</v>
      </c>
      <c r="K30" s="41">
        <v>1808</v>
      </c>
    </row>
    <row r="31" spans="1:11" x14ac:dyDescent="0.25">
      <c r="A31" s="41" t="s">
        <v>324</v>
      </c>
      <c r="B31" s="41" t="s">
        <v>166</v>
      </c>
      <c r="C31" s="42" t="s">
        <v>325</v>
      </c>
      <c r="D31" s="41" t="s">
        <v>326</v>
      </c>
      <c r="E31" s="42" t="s">
        <v>327</v>
      </c>
      <c r="F31" s="41" t="s">
        <v>182</v>
      </c>
      <c r="G31" s="43">
        <v>2.4</v>
      </c>
      <c r="H31" s="41" t="s">
        <v>99</v>
      </c>
      <c r="I31" s="41">
        <v>761</v>
      </c>
      <c r="J31" s="41">
        <v>363</v>
      </c>
      <c r="K31" s="41">
        <v>398</v>
      </c>
    </row>
    <row r="32" spans="1:11" x14ac:dyDescent="0.25">
      <c r="A32" s="41" t="s">
        <v>69</v>
      </c>
      <c r="B32" s="41" t="s">
        <v>198</v>
      </c>
      <c r="C32" s="42" t="s">
        <v>328</v>
      </c>
      <c r="D32" s="41" t="s">
        <v>329</v>
      </c>
      <c r="E32" s="42" t="s">
        <v>330</v>
      </c>
      <c r="F32" s="41" t="s">
        <v>177</v>
      </c>
      <c r="G32" s="43">
        <v>2.4</v>
      </c>
      <c r="H32" s="41" t="s">
        <v>112</v>
      </c>
      <c r="I32" s="41">
        <v>935</v>
      </c>
      <c r="J32" s="41">
        <v>443</v>
      </c>
      <c r="K32" s="41">
        <v>492</v>
      </c>
    </row>
    <row r="33" spans="1:11" x14ac:dyDescent="0.25">
      <c r="A33" s="41" t="s">
        <v>331</v>
      </c>
      <c r="B33" s="41" t="s">
        <v>102</v>
      </c>
      <c r="C33" s="42" t="s">
        <v>332</v>
      </c>
      <c r="D33" s="41" t="s">
        <v>333</v>
      </c>
      <c r="E33" s="42" t="s">
        <v>150</v>
      </c>
      <c r="F33" s="41" t="s">
        <v>334</v>
      </c>
      <c r="G33" s="43">
        <v>2.38</v>
      </c>
      <c r="H33" s="41" t="s">
        <v>96</v>
      </c>
      <c r="I33" s="41">
        <v>5116</v>
      </c>
      <c r="J33" s="41">
        <v>2471</v>
      </c>
      <c r="K33" s="41">
        <v>2645</v>
      </c>
    </row>
    <row r="34" spans="1:11" x14ac:dyDescent="0.25">
      <c r="A34" s="41" t="s">
        <v>335</v>
      </c>
      <c r="B34" s="41" t="s">
        <v>109</v>
      </c>
      <c r="C34" s="42" t="s">
        <v>336</v>
      </c>
      <c r="D34" s="41" t="s">
        <v>203</v>
      </c>
      <c r="E34" s="42" t="s">
        <v>337</v>
      </c>
      <c r="F34" s="41" t="s">
        <v>159</v>
      </c>
      <c r="G34" s="43">
        <v>2.38</v>
      </c>
      <c r="H34" s="41" t="s">
        <v>99</v>
      </c>
      <c r="I34" s="41">
        <v>830</v>
      </c>
      <c r="J34" s="41">
        <v>379</v>
      </c>
      <c r="K34" s="41">
        <v>451</v>
      </c>
    </row>
    <row r="35" spans="1:11" x14ac:dyDescent="0.25">
      <c r="A35" s="41" t="s">
        <v>56</v>
      </c>
      <c r="B35" s="41" t="s">
        <v>131</v>
      </c>
      <c r="C35" s="42" t="s">
        <v>338</v>
      </c>
      <c r="D35" s="41" t="s">
        <v>339</v>
      </c>
      <c r="E35" s="42" t="s">
        <v>340</v>
      </c>
      <c r="F35" s="41" t="s">
        <v>158</v>
      </c>
      <c r="G35" s="43">
        <v>2.35</v>
      </c>
      <c r="H35" s="41" t="s">
        <v>112</v>
      </c>
      <c r="I35" s="41">
        <v>2334</v>
      </c>
      <c r="J35" s="41">
        <v>1175</v>
      </c>
      <c r="K35" s="41">
        <v>1159</v>
      </c>
    </row>
    <row r="36" spans="1:11" x14ac:dyDescent="0.25">
      <c r="A36" s="41" t="s">
        <v>341</v>
      </c>
      <c r="B36" s="41" t="s">
        <v>131</v>
      </c>
      <c r="C36" s="42" t="s">
        <v>342</v>
      </c>
      <c r="D36" s="41" t="s">
        <v>343</v>
      </c>
      <c r="E36" s="42" t="s">
        <v>344</v>
      </c>
      <c r="F36" s="41" t="s">
        <v>119</v>
      </c>
      <c r="G36" s="43">
        <v>2.35</v>
      </c>
      <c r="H36" s="41" t="s">
        <v>99</v>
      </c>
      <c r="I36" s="41">
        <v>2431</v>
      </c>
      <c r="J36" s="41">
        <v>1149</v>
      </c>
      <c r="K36" s="41">
        <v>1283</v>
      </c>
    </row>
    <row r="37" spans="1:11" x14ac:dyDescent="0.25">
      <c r="A37" s="41" t="s">
        <v>345</v>
      </c>
      <c r="B37" s="41" t="s">
        <v>106</v>
      </c>
      <c r="C37" s="42" t="s">
        <v>346</v>
      </c>
      <c r="D37" s="41" t="s">
        <v>347</v>
      </c>
      <c r="E37" s="42" t="s">
        <v>174</v>
      </c>
      <c r="F37" s="41" t="s">
        <v>164</v>
      </c>
      <c r="G37" s="43">
        <v>2.33</v>
      </c>
      <c r="H37" s="41" t="s">
        <v>99</v>
      </c>
      <c r="I37" s="41">
        <v>1533</v>
      </c>
      <c r="J37" s="41">
        <v>693</v>
      </c>
      <c r="K37" s="41">
        <v>840</v>
      </c>
    </row>
    <row r="38" spans="1:11" x14ac:dyDescent="0.25">
      <c r="A38" s="41" t="s">
        <v>348</v>
      </c>
      <c r="B38" s="41" t="s">
        <v>95</v>
      </c>
      <c r="C38" s="42" t="s">
        <v>349</v>
      </c>
      <c r="D38" s="41" t="s">
        <v>350</v>
      </c>
      <c r="E38" s="42" t="s">
        <v>351</v>
      </c>
      <c r="F38" s="41" t="s">
        <v>352</v>
      </c>
      <c r="G38" s="43">
        <v>2.2999999999999998</v>
      </c>
      <c r="H38" s="41" t="s">
        <v>117</v>
      </c>
      <c r="I38" s="41">
        <v>1595</v>
      </c>
      <c r="J38" s="41">
        <v>790</v>
      </c>
      <c r="K38" s="41">
        <v>806</v>
      </c>
    </row>
    <row r="39" spans="1:11" x14ac:dyDescent="0.25">
      <c r="A39" s="41" t="s">
        <v>41</v>
      </c>
      <c r="B39" s="41" t="s">
        <v>109</v>
      </c>
      <c r="C39" s="42" t="s">
        <v>353</v>
      </c>
      <c r="D39" s="41" t="s">
        <v>354</v>
      </c>
      <c r="E39" s="42" t="s">
        <v>355</v>
      </c>
      <c r="F39" s="41" t="s">
        <v>151</v>
      </c>
      <c r="G39" s="43">
        <v>2.2999999999999998</v>
      </c>
      <c r="H39" s="41" t="s">
        <v>99</v>
      </c>
      <c r="I39" s="41">
        <v>2776</v>
      </c>
      <c r="J39" s="41">
        <v>1322</v>
      </c>
      <c r="K39" s="41">
        <v>1454</v>
      </c>
    </row>
    <row r="40" spans="1:11" x14ac:dyDescent="0.25">
      <c r="A40" s="41" t="s">
        <v>356</v>
      </c>
      <c r="B40" s="41" t="s">
        <v>109</v>
      </c>
      <c r="C40" s="42" t="s">
        <v>357</v>
      </c>
      <c r="D40" s="41" t="s">
        <v>358</v>
      </c>
      <c r="E40" s="42" t="s">
        <v>359</v>
      </c>
      <c r="F40" s="41" t="s">
        <v>360</v>
      </c>
      <c r="G40" s="43">
        <v>2.2999999999999998</v>
      </c>
      <c r="H40" s="41" t="s">
        <v>99</v>
      </c>
      <c r="I40" s="41">
        <v>2367</v>
      </c>
      <c r="J40" s="41">
        <v>1145</v>
      </c>
      <c r="K40" s="41">
        <v>1223</v>
      </c>
    </row>
    <row r="41" spans="1:11" x14ac:dyDescent="0.25">
      <c r="A41" s="41" t="s">
        <v>30</v>
      </c>
      <c r="B41" s="41" t="s">
        <v>143</v>
      </c>
      <c r="C41" s="42" t="s">
        <v>361</v>
      </c>
      <c r="D41" s="41" t="s">
        <v>362</v>
      </c>
      <c r="E41" s="42" t="s">
        <v>122</v>
      </c>
      <c r="F41" s="41" t="s">
        <v>144</v>
      </c>
      <c r="G41" s="43">
        <v>2.2999999999999998</v>
      </c>
      <c r="H41" s="41" t="s">
        <v>112</v>
      </c>
      <c r="I41" s="41">
        <v>4558</v>
      </c>
      <c r="J41" s="41">
        <v>2152</v>
      </c>
      <c r="K41" s="41">
        <v>2406</v>
      </c>
    </row>
    <row r="42" spans="1:11" x14ac:dyDescent="0.25">
      <c r="A42" s="41" t="s">
        <v>363</v>
      </c>
      <c r="B42" s="41" t="s">
        <v>120</v>
      </c>
      <c r="C42" s="42" t="s">
        <v>364</v>
      </c>
      <c r="D42" s="41" t="s">
        <v>168</v>
      </c>
      <c r="E42" s="42" t="s">
        <v>365</v>
      </c>
      <c r="F42" s="41" t="s">
        <v>366</v>
      </c>
      <c r="G42" s="43">
        <v>2.2999999999999998</v>
      </c>
      <c r="H42" s="41" t="s">
        <v>99</v>
      </c>
      <c r="I42" s="41">
        <v>938</v>
      </c>
      <c r="J42" s="41">
        <v>452</v>
      </c>
      <c r="K42" s="41">
        <v>486</v>
      </c>
    </row>
    <row r="43" spans="1:11" x14ac:dyDescent="0.25">
      <c r="A43" s="41" t="s">
        <v>367</v>
      </c>
      <c r="B43" s="41" t="s">
        <v>109</v>
      </c>
      <c r="C43" s="42" t="s">
        <v>368</v>
      </c>
      <c r="D43" s="41" t="s">
        <v>369</v>
      </c>
      <c r="E43" s="42" t="s">
        <v>365</v>
      </c>
      <c r="F43" s="41" t="s">
        <v>366</v>
      </c>
      <c r="G43" s="43">
        <v>2.2999999999999998</v>
      </c>
      <c r="H43" s="41" t="s">
        <v>96</v>
      </c>
      <c r="I43" s="41">
        <v>1300</v>
      </c>
      <c r="J43" s="41">
        <v>628</v>
      </c>
      <c r="K43" s="41">
        <v>673</v>
      </c>
    </row>
    <row r="44" spans="1:11" x14ac:dyDescent="0.25">
      <c r="A44" s="41" t="s">
        <v>370</v>
      </c>
      <c r="B44" s="41" t="s">
        <v>371</v>
      </c>
      <c r="C44" s="42" t="s">
        <v>372</v>
      </c>
      <c r="D44" s="41" t="s">
        <v>373</v>
      </c>
      <c r="E44" s="42" t="s">
        <v>374</v>
      </c>
      <c r="F44" s="41" t="s">
        <v>151</v>
      </c>
      <c r="G44" s="43">
        <v>2.2999999999999998</v>
      </c>
      <c r="H44" s="41" t="s">
        <v>99</v>
      </c>
      <c r="I44" s="41">
        <v>3166</v>
      </c>
      <c r="J44" s="41">
        <v>1455</v>
      </c>
      <c r="K44" s="41">
        <v>1712</v>
      </c>
    </row>
    <row r="45" spans="1:11" x14ac:dyDescent="0.25">
      <c r="A45" s="41" t="s">
        <v>68</v>
      </c>
      <c r="B45" s="41" t="s">
        <v>375</v>
      </c>
      <c r="C45" s="42" t="s">
        <v>376</v>
      </c>
      <c r="D45" s="41" t="s">
        <v>377</v>
      </c>
      <c r="E45" s="42" t="s">
        <v>378</v>
      </c>
      <c r="F45" s="41" t="s">
        <v>379</v>
      </c>
      <c r="G45" s="43">
        <v>2.2999999999999998</v>
      </c>
      <c r="H45" s="41" t="s">
        <v>96</v>
      </c>
      <c r="I45" s="41">
        <v>2699</v>
      </c>
      <c r="J45" s="41">
        <v>1319</v>
      </c>
      <c r="K45" s="41">
        <v>1380</v>
      </c>
    </row>
    <row r="46" spans="1:11" x14ac:dyDescent="0.25">
      <c r="A46" s="41" t="s">
        <v>380</v>
      </c>
      <c r="B46" s="41" t="s">
        <v>123</v>
      </c>
      <c r="C46" s="42" t="s">
        <v>381</v>
      </c>
      <c r="D46" s="41" t="s">
        <v>382</v>
      </c>
      <c r="E46" s="42" t="s">
        <v>383</v>
      </c>
      <c r="F46" s="41" t="s">
        <v>119</v>
      </c>
      <c r="G46" s="43">
        <v>2.2999999999999998</v>
      </c>
      <c r="H46" s="41" t="s">
        <v>99</v>
      </c>
      <c r="I46" s="41">
        <v>1237</v>
      </c>
      <c r="J46" s="41">
        <v>482</v>
      </c>
      <c r="K46" s="41">
        <v>755</v>
      </c>
    </row>
    <row r="47" spans="1:11" x14ac:dyDescent="0.25">
      <c r="A47" s="41" t="s">
        <v>45</v>
      </c>
      <c r="B47" s="41" t="s">
        <v>384</v>
      </c>
      <c r="C47" s="42" t="s">
        <v>152</v>
      </c>
      <c r="D47" s="41" t="s">
        <v>385</v>
      </c>
      <c r="E47" s="42" t="s">
        <v>150</v>
      </c>
      <c r="F47" s="41" t="s">
        <v>119</v>
      </c>
      <c r="G47" s="43">
        <v>2.2999999999999998</v>
      </c>
      <c r="H47" s="41" t="s">
        <v>99</v>
      </c>
      <c r="I47" s="41">
        <v>1269</v>
      </c>
      <c r="J47" s="41">
        <v>590</v>
      </c>
      <c r="K47" s="41">
        <v>679</v>
      </c>
    </row>
    <row r="48" spans="1:11" x14ac:dyDescent="0.25">
      <c r="A48" s="41" t="s">
        <v>386</v>
      </c>
      <c r="B48" s="41" t="s">
        <v>109</v>
      </c>
      <c r="C48" s="42" t="s">
        <v>387</v>
      </c>
      <c r="D48" s="41" t="s">
        <v>388</v>
      </c>
      <c r="E48" s="42" t="s">
        <v>389</v>
      </c>
      <c r="F48" s="41" t="s">
        <v>158</v>
      </c>
      <c r="G48" s="43">
        <v>2.2999999999999998</v>
      </c>
      <c r="H48" s="41" t="s">
        <v>96</v>
      </c>
      <c r="I48" s="41">
        <v>5397</v>
      </c>
      <c r="J48" s="41">
        <v>2616</v>
      </c>
      <c r="K48" s="41">
        <v>2781</v>
      </c>
    </row>
    <row r="49" spans="1:11" x14ac:dyDescent="0.25">
      <c r="A49" s="41" t="s">
        <v>390</v>
      </c>
      <c r="B49" s="41" t="s">
        <v>375</v>
      </c>
      <c r="C49" s="42" t="s">
        <v>391</v>
      </c>
      <c r="D49" s="41" t="s">
        <v>392</v>
      </c>
      <c r="E49" s="42" t="s">
        <v>288</v>
      </c>
      <c r="F49" s="41" t="s">
        <v>141</v>
      </c>
      <c r="G49" s="43">
        <v>2.2999999999999998</v>
      </c>
      <c r="H49" s="41" t="s">
        <v>99</v>
      </c>
      <c r="I49" s="41">
        <v>1734</v>
      </c>
      <c r="J49" s="41">
        <v>795</v>
      </c>
      <c r="K49" s="41">
        <v>939</v>
      </c>
    </row>
    <row r="50" spans="1:11" x14ac:dyDescent="0.25">
      <c r="A50" s="41" t="s">
        <v>42</v>
      </c>
      <c r="B50" s="41" t="s">
        <v>109</v>
      </c>
      <c r="C50" s="42" t="s">
        <v>393</v>
      </c>
      <c r="D50" s="41" t="s">
        <v>394</v>
      </c>
      <c r="E50" s="42" t="s">
        <v>395</v>
      </c>
      <c r="F50" s="41" t="s">
        <v>171</v>
      </c>
      <c r="G50" s="43">
        <v>2.2999999999999998</v>
      </c>
      <c r="H50" s="41" t="s">
        <v>99</v>
      </c>
      <c r="I50" s="41">
        <v>1578</v>
      </c>
      <c r="J50" s="41">
        <v>727</v>
      </c>
      <c r="K50" s="41">
        <v>851</v>
      </c>
    </row>
    <row r="51" spans="1:11" x14ac:dyDescent="0.25">
      <c r="A51" s="41" t="s">
        <v>396</v>
      </c>
      <c r="B51" s="41" t="s">
        <v>109</v>
      </c>
      <c r="C51" s="42" t="s">
        <v>397</v>
      </c>
      <c r="D51" s="41" t="s">
        <v>398</v>
      </c>
      <c r="E51" s="42" t="s">
        <v>399</v>
      </c>
      <c r="F51" s="41" t="s">
        <v>119</v>
      </c>
      <c r="G51" s="43">
        <v>2.2599999999999998</v>
      </c>
      <c r="H51" s="41" t="s">
        <v>99</v>
      </c>
      <c r="I51" s="41">
        <v>1167</v>
      </c>
      <c r="J51" s="41">
        <v>565</v>
      </c>
      <c r="K51" s="41">
        <v>602</v>
      </c>
    </row>
    <row r="52" spans="1:11" x14ac:dyDescent="0.25">
      <c r="A52" s="41" t="s">
        <v>57</v>
      </c>
      <c r="B52" s="41" t="s">
        <v>109</v>
      </c>
      <c r="C52" s="42" t="s">
        <v>400</v>
      </c>
      <c r="D52" s="41" t="s">
        <v>401</v>
      </c>
      <c r="E52" s="42" t="s">
        <v>402</v>
      </c>
      <c r="F52" s="41" t="s">
        <v>130</v>
      </c>
      <c r="G52" s="43">
        <v>2.25</v>
      </c>
      <c r="H52" s="41" t="s">
        <v>112</v>
      </c>
      <c r="I52" s="41">
        <v>5203</v>
      </c>
      <c r="J52" s="41">
        <v>2427</v>
      </c>
      <c r="K52" s="41">
        <v>2775</v>
      </c>
    </row>
    <row r="53" spans="1:11" x14ac:dyDescent="0.25">
      <c r="A53" s="41" t="s">
        <v>76</v>
      </c>
      <c r="B53" s="41" t="s">
        <v>403</v>
      </c>
      <c r="C53" s="42" t="s">
        <v>404</v>
      </c>
      <c r="D53" s="41" t="s">
        <v>405</v>
      </c>
      <c r="E53" s="42" t="s">
        <v>125</v>
      </c>
      <c r="F53" s="41" t="s">
        <v>406</v>
      </c>
      <c r="G53" s="43">
        <v>2.25</v>
      </c>
      <c r="H53" s="41" t="s">
        <v>96</v>
      </c>
      <c r="I53" s="41">
        <v>769</v>
      </c>
      <c r="J53" s="41">
        <v>363</v>
      </c>
      <c r="K53" s="41">
        <v>406</v>
      </c>
    </row>
    <row r="54" spans="1:11" x14ac:dyDescent="0.25">
      <c r="A54" s="41" t="s">
        <v>407</v>
      </c>
      <c r="B54" s="41" t="s">
        <v>100</v>
      </c>
      <c r="C54" s="42" t="s">
        <v>408</v>
      </c>
      <c r="D54" s="41" t="s">
        <v>409</v>
      </c>
      <c r="E54" s="42" t="s">
        <v>410</v>
      </c>
      <c r="F54" s="41" t="s">
        <v>406</v>
      </c>
      <c r="G54" s="43">
        <v>2.25</v>
      </c>
      <c r="H54" s="41" t="s">
        <v>96</v>
      </c>
      <c r="I54" s="41">
        <v>811</v>
      </c>
      <c r="J54" s="41">
        <v>386</v>
      </c>
      <c r="K54" s="41">
        <v>425</v>
      </c>
    </row>
    <row r="55" spans="1:11" x14ac:dyDescent="0.25">
      <c r="A55" s="41" t="s">
        <v>411</v>
      </c>
      <c r="B55" s="41" t="s">
        <v>131</v>
      </c>
      <c r="C55" s="42" t="s">
        <v>412</v>
      </c>
      <c r="D55" s="41" t="s">
        <v>413</v>
      </c>
      <c r="E55" s="42" t="s">
        <v>414</v>
      </c>
      <c r="F55" s="41" t="s">
        <v>116</v>
      </c>
      <c r="G55" s="43">
        <v>2.2400000000000002</v>
      </c>
      <c r="H55" s="41" t="s">
        <v>99</v>
      </c>
      <c r="I55" s="41">
        <v>3082</v>
      </c>
      <c r="J55" s="41">
        <v>1316</v>
      </c>
      <c r="K55" s="41">
        <v>1766</v>
      </c>
    </row>
    <row r="56" spans="1:11" x14ac:dyDescent="0.25">
      <c r="A56" s="41" t="s">
        <v>48</v>
      </c>
      <c r="B56" s="41" t="s">
        <v>131</v>
      </c>
      <c r="C56" s="42" t="s">
        <v>415</v>
      </c>
      <c r="D56" s="41" t="s">
        <v>416</v>
      </c>
      <c r="E56" s="42" t="s">
        <v>417</v>
      </c>
      <c r="F56" s="41" t="s">
        <v>104</v>
      </c>
      <c r="G56" s="43">
        <v>2.23</v>
      </c>
      <c r="H56" s="41" t="s">
        <v>96</v>
      </c>
      <c r="I56" s="41">
        <v>1618</v>
      </c>
      <c r="J56" s="41">
        <v>788</v>
      </c>
      <c r="K56" s="41">
        <v>830</v>
      </c>
    </row>
    <row r="57" spans="1:11" x14ac:dyDescent="0.25">
      <c r="A57" s="41" t="s">
        <v>418</v>
      </c>
      <c r="B57" s="41" t="s">
        <v>419</v>
      </c>
      <c r="C57" s="42" t="s">
        <v>420</v>
      </c>
      <c r="D57" s="41" t="s">
        <v>421</v>
      </c>
      <c r="E57" s="42" t="s">
        <v>422</v>
      </c>
      <c r="F57" s="41" t="s">
        <v>182</v>
      </c>
      <c r="G57" s="43">
        <v>2.23</v>
      </c>
      <c r="H57" s="41" t="s">
        <v>96</v>
      </c>
      <c r="I57" s="41">
        <v>668</v>
      </c>
      <c r="J57" s="41">
        <v>316</v>
      </c>
      <c r="K57" s="41">
        <v>352</v>
      </c>
    </row>
    <row r="58" spans="1:11" x14ac:dyDescent="0.25">
      <c r="A58" s="41" t="s">
        <v>423</v>
      </c>
      <c r="B58" s="41" t="s">
        <v>106</v>
      </c>
      <c r="C58" s="42" t="s">
        <v>424</v>
      </c>
      <c r="D58" s="41" t="s">
        <v>425</v>
      </c>
      <c r="E58" s="42" t="s">
        <v>426</v>
      </c>
      <c r="F58" s="41" t="s">
        <v>119</v>
      </c>
      <c r="G58" s="43">
        <v>2.2200000000000002</v>
      </c>
      <c r="H58" s="41" t="s">
        <v>99</v>
      </c>
      <c r="I58" s="41">
        <v>1069</v>
      </c>
      <c r="J58" s="41">
        <v>503</v>
      </c>
      <c r="K58" s="41">
        <v>566</v>
      </c>
    </row>
    <row r="59" spans="1:11" x14ac:dyDescent="0.25">
      <c r="A59" s="41" t="s">
        <v>427</v>
      </c>
      <c r="B59" s="41" t="s">
        <v>109</v>
      </c>
      <c r="C59" s="42" t="s">
        <v>428</v>
      </c>
      <c r="D59" s="41" t="s">
        <v>429</v>
      </c>
      <c r="E59" s="42" t="s">
        <v>430</v>
      </c>
      <c r="F59" s="41" t="s">
        <v>431</v>
      </c>
      <c r="G59" s="43">
        <v>2.2200000000000002</v>
      </c>
      <c r="H59" s="41" t="s">
        <v>112</v>
      </c>
      <c r="I59" s="41">
        <v>1906</v>
      </c>
      <c r="J59" s="41">
        <v>861</v>
      </c>
      <c r="K59" s="41">
        <v>1045</v>
      </c>
    </row>
    <row r="60" spans="1:11" x14ac:dyDescent="0.25">
      <c r="A60" s="41" t="s">
        <v>432</v>
      </c>
      <c r="B60" s="41" t="s">
        <v>433</v>
      </c>
      <c r="C60" s="42" t="s">
        <v>434</v>
      </c>
      <c r="D60" s="41" t="s">
        <v>435</v>
      </c>
      <c r="E60" s="42" t="s">
        <v>261</v>
      </c>
      <c r="F60" s="41" t="s">
        <v>116</v>
      </c>
      <c r="G60" s="43">
        <v>2.21</v>
      </c>
      <c r="H60" s="41" t="s">
        <v>99</v>
      </c>
      <c r="I60" s="41">
        <v>1436</v>
      </c>
      <c r="J60" s="41">
        <v>591</v>
      </c>
      <c r="K60" s="41">
        <v>845</v>
      </c>
    </row>
    <row r="61" spans="1:11" x14ac:dyDescent="0.25">
      <c r="A61" s="41" t="s">
        <v>436</v>
      </c>
      <c r="B61" s="41" t="s">
        <v>166</v>
      </c>
      <c r="C61" s="42" t="s">
        <v>437</v>
      </c>
      <c r="D61" s="41" t="s">
        <v>153</v>
      </c>
      <c r="E61" s="42" t="s">
        <v>438</v>
      </c>
      <c r="F61" s="41" t="s">
        <v>439</v>
      </c>
      <c r="G61" s="43">
        <v>2.21</v>
      </c>
      <c r="H61" s="41" t="s">
        <v>96</v>
      </c>
      <c r="I61" s="41">
        <v>2625</v>
      </c>
      <c r="J61" s="41">
        <v>1209</v>
      </c>
      <c r="K61" s="41">
        <v>1416</v>
      </c>
    </row>
    <row r="62" spans="1:11" x14ac:dyDescent="0.25">
      <c r="A62" s="41" t="s">
        <v>67</v>
      </c>
      <c r="B62" s="41" t="s">
        <v>440</v>
      </c>
      <c r="C62" s="42" t="s">
        <v>441</v>
      </c>
      <c r="D62" s="41" t="s">
        <v>442</v>
      </c>
      <c r="E62" s="42" t="s">
        <v>443</v>
      </c>
      <c r="F62" s="41" t="s">
        <v>444</v>
      </c>
      <c r="G62" s="43">
        <v>2.21</v>
      </c>
      <c r="H62" s="41" t="s">
        <v>96</v>
      </c>
      <c r="I62" s="41">
        <v>10152</v>
      </c>
      <c r="J62" s="41">
        <v>4949</v>
      </c>
      <c r="K62" s="41">
        <v>5204</v>
      </c>
    </row>
    <row r="63" spans="1:11" x14ac:dyDescent="0.25">
      <c r="A63" s="41" t="s">
        <v>81</v>
      </c>
      <c r="B63" s="41" t="s">
        <v>109</v>
      </c>
      <c r="C63" s="42" t="s">
        <v>445</v>
      </c>
      <c r="D63" s="41" t="s">
        <v>446</v>
      </c>
      <c r="E63" s="42" t="s">
        <v>110</v>
      </c>
      <c r="F63" s="41" t="s">
        <v>128</v>
      </c>
      <c r="G63" s="43">
        <v>2.2000000000000002</v>
      </c>
      <c r="H63" s="41" t="s">
        <v>112</v>
      </c>
      <c r="I63" s="41">
        <v>5769</v>
      </c>
      <c r="J63" s="41">
        <v>2662</v>
      </c>
      <c r="K63" s="41">
        <v>3106</v>
      </c>
    </row>
    <row r="64" spans="1:11" x14ac:dyDescent="0.25">
      <c r="A64" s="41" t="s">
        <v>447</v>
      </c>
      <c r="B64" s="41" t="s">
        <v>448</v>
      </c>
      <c r="C64" s="42" t="s">
        <v>449</v>
      </c>
      <c r="D64" s="41" t="s">
        <v>450</v>
      </c>
      <c r="E64" s="42" t="s">
        <v>142</v>
      </c>
      <c r="F64" s="41" t="s">
        <v>130</v>
      </c>
      <c r="G64" s="43">
        <v>2.2000000000000002</v>
      </c>
      <c r="H64" s="41" t="s">
        <v>112</v>
      </c>
      <c r="I64" s="41">
        <v>4971</v>
      </c>
      <c r="J64" s="41">
        <v>2463</v>
      </c>
      <c r="K64" s="41">
        <v>2508</v>
      </c>
    </row>
    <row r="65" spans="1:11" x14ac:dyDescent="0.25">
      <c r="A65" s="41" t="s">
        <v>72</v>
      </c>
      <c r="B65" s="41" t="s">
        <v>451</v>
      </c>
      <c r="C65" s="42" t="s">
        <v>452</v>
      </c>
      <c r="D65" s="41" t="s">
        <v>453</v>
      </c>
      <c r="E65" s="42" t="s">
        <v>454</v>
      </c>
      <c r="F65" s="41" t="s">
        <v>165</v>
      </c>
      <c r="G65" s="43">
        <v>2.2000000000000002</v>
      </c>
      <c r="H65" s="41" t="s">
        <v>99</v>
      </c>
      <c r="I65" s="41">
        <v>1766</v>
      </c>
      <c r="J65" s="41">
        <v>822</v>
      </c>
      <c r="K65" s="41">
        <v>944</v>
      </c>
    </row>
    <row r="66" spans="1:11" x14ac:dyDescent="0.25">
      <c r="A66" s="41" t="s">
        <v>455</v>
      </c>
      <c r="B66" s="41" t="s">
        <v>456</v>
      </c>
      <c r="C66" s="42" t="s">
        <v>457</v>
      </c>
      <c r="D66" s="41" t="s">
        <v>184</v>
      </c>
      <c r="E66" s="42" t="s">
        <v>458</v>
      </c>
      <c r="F66" s="41" t="s">
        <v>126</v>
      </c>
      <c r="G66" s="43">
        <v>2.2000000000000002</v>
      </c>
      <c r="H66" s="41" t="s">
        <v>99</v>
      </c>
      <c r="I66" s="41">
        <v>2142</v>
      </c>
      <c r="J66" s="41">
        <v>973</v>
      </c>
      <c r="K66" s="41">
        <v>1169</v>
      </c>
    </row>
    <row r="67" spans="1:11" x14ac:dyDescent="0.25">
      <c r="A67" s="41" t="s">
        <v>459</v>
      </c>
      <c r="B67" s="41" t="s">
        <v>460</v>
      </c>
      <c r="C67" s="42" t="s">
        <v>461</v>
      </c>
      <c r="D67" s="41" t="s">
        <v>462</v>
      </c>
      <c r="E67" s="42" t="s">
        <v>463</v>
      </c>
      <c r="F67" s="41" t="s">
        <v>464</v>
      </c>
      <c r="G67" s="43">
        <v>2.2000000000000002</v>
      </c>
      <c r="H67" s="41" t="s">
        <v>96</v>
      </c>
      <c r="I67" s="41">
        <v>3496</v>
      </c>
      <c r="J67" s="41">
        <v>1652</v>
      </c>
      <c r="K67" s="41">
        <v>1844</v>
      </c>
    </row>
    <row r="68" spans="1:11" x14ac:dyDescent="0.25">
      <c r="A68" s="41" t="s">
        <v>58</v>
      </c>
      <c r="B68" s="41" t="s">
        <v>465</v>
      </c>
      <c r="C68" s="42" t="s">
        <v>466</v>
      </c>
      <c r="D68" s="41" t="s">
        <v>467</v>
      </c>
      <c r="E68" s="42" t="s">
        <v>101</v>
      </c>
      <c r="F68" s="41" t="s">
        <v>126</v>
      </c>
      <c r="G68" s="43">
        <v>2.2000000000000002</v>
      </c>
      <c r="H68" s="41" t="s">
        <v>96</v>
      </c>
      <c r="I68" s="41">
        <v>2241</v>
      </c>
      <c r="J68" s="41">
        <v>1027</v>
      </c>
      <c r="K68" s="41">
        <v>1214</v>
      </c>
    </row>
    <row r="69" spans="1:11" x14ac:dyDescent="0.25">
      <c r="A69" s="41" t="s">
        <v>468</v>
      </c>
      <c r="B69" s="41" t="s">
        <v>120</v>
      </c>
      <c r="C69" s="42" t="s">
        <v>469</v>
      </c>
      <c r="D69" s="41" t="s">
        <v>470</v>
      </c>
      <c r="E69" s="42" t="s">
        <v>374</v>
      </c>
      <c r="F69" s="41" t="s">
        <v>151</v>
      </c>
      <c r="G69" s="43">
        <v>2.2000000000000002</v>
      </c>
      <c r="H69" s="41" t="s">
        <v>99</v>
      </c>
      <c r="I69" s="41">
        <v>1193</v>
      </c>
      <c r="J69" s="41">
        <v>494</v>
      </c>
      <c r="K69" s="41">
        <v>699</v>
      </c>
    </row>
    <row r="70" spans="1:11" x14ac:dyDescent="0.25">
      <c r="A70" s="41" t="s">
        <v>70</v>
      </c>
      <c r="B70" s="41" t="s">
        <v>109</v>
      </c>
      <c r="C70" s="42" t="s">
        <v>471</v>
      </c>
      <c r="D70" s="41" t="s">
        <v>472</v>
      </c>
      <c r="E70" s="42" t="s">
        <v>261</v>
      </c>
      <c r="F70" s="41" t="s">
        <v>159</v>
      </c>
      <c r="G70" s="43">
        <v>2.2000000000000002</v>
      </c>
      <c r="H70" s="41" t="s">
        <v>99</v>
      </c>
      <c r="I70" s="41">
        <v>2597</v>
      </c>
      <c r="J70" s="41">
        <v>1177</v>
      </c>
      <c r="K70" s="41">
        <v>1420</v>
      </c>
    </row>
    <row r="71" spans="1:11" x14ac:dyDescent="0.25">
      <c r="A71" s="41" t="s">
        <v>473</v>
      </c>
      <c r="B71" s="41" t="s">
        <v>109</v>
      </c>
      <c r="C71" s="42" t="s">
        <v>474</v>
      </c>
      <c r="D71" s="41" t="s">
        <v>475</v>
      </c>
      <c r="E71" s="42" t="s">
        <v>138</v>
      </c>
      <c r="F71" s="41" t="s">
        <v>431</v>
      </c>
      <c r="G71" s="43">
        <v>2.2000000000000002</v>
      </c>
      <c r="H71" s="41" t="s">
        <v>112</v>
      </c>
      <c r="I71" s="41">
        <v>4323</v>
      </c>
      <c r="J71" s="41">
        <v>2125</v>
      </c>
      <c r="K71" s="41">
        <v>2198</v>
      </c>
    </row>
    <row r="72" spans="1:11" x14ac:dyDescent="0.25">
      <c r="A72" s="41" t="s">
        <v>476</v>
      </c>
      <c r="B72" s="41" t="s">
        <v>477</v>
      </c>
      <c r="C72" s="42" t="s">
        <v>478</v>
      </c>
      <c r="D72" s="41" t="s">
        <v>479</v>
      </c>
      <c r="E72" s="42" t="s">
        <v>480</v>
      </c>
      <c r="F72" s="41" t="s">
        <v>180</v>
      </c>
      <c r="G72" s="43">
        <v>2.2000000000000002</v>
      </c>
      <c r="H72" s="41" t="s">
        <v>96</v>
      </c>
      <c r="I72" s="41">
        <v>13074</v>
      </c>
      <c r="J72" s="41">
        <v>6149</v>
      </c>
      <c r="K72" s="41">
        <v>6925</v>
      </c>
    </row>
    <row r="73" spans="1:11" x14ac:dyDescent="0.25">
      <c r="A73" s="41" t="s">
        <v>481</v>
      </c>
      <c r="B73" s="41" t="s">
        <v>160</v>
      </c>
      <c r="C73" s="42" t="s">
        <v>482</v>
      </c>
      <c r="D73" s="41" t="s">
        <v>483</v>
      </c>
      <c r="E73" s="42" t="s">
        <v>118</v>
      </c>
      <c r="F73" s="41" t="s">
        <v>225</v>
      </c>
      <c r="G73" s="43">
        <v>2.2000000000000002</v>
      </c>
      <c r="H73" s="41" t="s">
        <v>96</v>
      </c>
      <c r="I73" s="41">
        <v>3447</v>
      </c>
      <c r="J73" s="41">
        <v>1670</v>
      </c>
      <c r="K73" s="41">
        <v>1778</v>
      </c>
    </row>
    <row r="74" spans="1:11" x14ac:dyDescent="0.25">
      <c r="A74" s="41" t="s">
        <v>484</v>
      </c>
      <c r="B74" s="41" t="s">
        <v>131</v>
      </c>
      <c r="C74" s="42" t="s">
        <v>485</v>
      </c>
      <c r="D74" s="41" t="s">
        <v>486</v>
      </c>
      <c r="E74" s="42" t="s">
        <v>487</v>
      </c>
      <c r="F74" s="41" t="s">
        <v>146</v>
      </c>
      <c r="G74" s="43">
        <v>2.2000000000000002</v>
      </c>
      <c r="H74" s="41" t="s">
        <v>99</v>
      </c>
      <c r="I74" s="41">
        <v>2698</v>
      </c>
      <c r="J74" s="41">
        <v>1132</v>
      </c>
      <c r="K74" s="41">
        <v>1567</v>
      </c>
    </row>
    <row r="75" spans="1:11" x14ac:dyDescent="0.25">
      <c r="A75" s="41" t="s">
        <v>488</v>
      </c>
      <c r="B75" s="41" t="s">
        <v>201</v>
      </c>
      <c r="C75" s="42" t="s">
        <v>489</v>
      </c>
      <c r="D75" s="41" t="s">
        <v>490</v>
      </c>
      <c r="E75" s="42" t="s">
        <v>491</v>
      </c>
      <c r="F75" s="41" t="s">
        <v>114</v>
      </c>
      <c r="G75" s="43">
        <v>2.2000000000000002</v>
      </c>
      <c r="H75" s="41" t="s">
        <v>99</v>
      </c>
      <c r="I75" s="41">
        <v>2057</v>
      </c>
      <c r="J75" s="41">
        <v>980</v>
      </c>
      <c r="K75" s="41">
        <v>1077</v>
      </c>
    </row>
    <row r="76" spans="1:11" x14ac:dyDescent="0.25">
      <c r="A76" s="41" t="s">
        <v>71</v>
      </c>
      <c r="B76" s="41" t="s">
        <v>492</v>
      </c>
      <c r="C76" s="42" t="s">
        <v>493</v>
      </c>
      <c r="D76" s="41" t="s">
        <v>494</v>
      </c>
      <c r="E76" s="42" t="s">
        <v>148</v>
      </c>
      <c r="F76" s="41" t="s">
        <v>495</v>
      </c>
      <c r="G76" s="43">
        <v>2.2000000000000002</v>
      </c>
      <c r="H76" s="41" t="s">
        <v>96</v>
      </c>
      <c r="I76" s="41">
        <v>12277</v>
      </c>
      <c r="J76" s="41">
        <v>5927</v>
      </c>
      <c r="K76" s="41">
        <v>6350</v>
      </c>
    </row>
    <row r="77" spans="1:11" x14ac:dyDescent="0.25">
      <c r="A77" s="41" t="s">
        <v>496</v>
      </c>
      <c r="B77" s="41" t="s">
        <v>131</v>
      </c>
      <c r="C77" s="42" t="s">
        <v>497</v>
      </c>
      <c r="D77" s="41" t="s">
        <v>498</v>
      </c>
      <c r="E77" s="42" t="s">
        <v>499</v>
      </c>
      <c r="F77" s="41" t="s">
        <v>182</v>
      </c>
      <c r="G77" s="43">
        <v>2.19</v>
      </c>
      <c r="H77" s="41" t="s">
        <v>99</v>
      </c>
      <c r="I77" s="41">
        <v>1356</v>
      </c>
      <c r="J77" s="41">
        <v>633</v>
      </c>
      <c r="K77" s="41">
        <v>723</v>
      </c>
    </row>
    <row r="78" spans="1:11" x14ac:dyDescent="0.25">
      <c r="A78" s="41" t="s">
        <v>500</v>
      </c>
      <c r="B78" s="41" t="s">
        <v>501</v>
      </c>
      <c r="C78" s="42" t="s">
        <v>502</v>
      </c>
      <c r="D78" s="41" t="s">
        <v>503</v>
      </c>
      <c r="E78" s="42" t="s">
        <v>157</v>
      </c>
      <c r="F78" s="41" t="s">
        <v>111</v>
      </c>
      <c r="G78" s="43">
        <v>2.19</v>
      </c>
      <c r="H78" s="41" t="s">
        <v>112</v>
      </c>
      <c r="I78" s="41">
        <v>7115</v>
      </c>
      <c r="J78" s="41">
        <v>3854</v>
      </c>
      <c r="K78" s="41">
        <v>3260</v>
      </c>
    </row>
    <row r="79" spans="1:11" x14ac:dyDescent="0.25">
      <c r="A79" s="41" t="s">
        <v>504</v>
      </c>
      <c r="B79" s="41" t="s">
        <v>188</v>
      </c>
      <c r="C79" s="42" t="s">
        <v>505</v>
      </c>
      <c r="D79" s="41" t="s">
        <v>506</v>
      </c>
      <c r="E79" s="42" t="s">
        <v>507</v>
      </c>
      <c r="F79" s="41" t="s">
        <v>171</v>
      </c>
      <c r="G79" s="43">
        <v>2.1800000000000002</v>
      </c>
      <c r="H79" s="41" t="s">
        <v>96</v>
      </c>
      <c r="I79" s="41">
        <v>1992</v>
      </c>
      <c r="J79" s="41">
        <v>929</v>
      </c>
      <c r="K79" s="41">
        <v>1063</v>
      </c>
    </row>
    <row r="80" spans="1:11" x14ac:dyDescent="0.25">
      <c r="A80" s="41" t="s">
        <v>508</v>
      </c>
      <c r="B80" s="41" t="s">
        <v>509</v>
      </c>
      <c r="C80" s="42" t="s">
        <v>510</v>
      </c>
      <c r="D80" s="41" t="s">
        <v>511</v>
      </c>
      <c r="E80" s="42" t="s">
        <v>512</v>
      </c>
      <c r="F80" s="41" t="s">
        <v>202</v>
      </c>
      <c r="G80" s="43">
        <v>2.1800000000000002</v>
      </c>
      <c r="H80" s="41" t="s">
        <v>96</v>
      </c>
      <c r="I80" s="41">
        <v>6642</v>
      </c>
      <c r="J80" s="41">
        <v>3103</v>
      </c>
      <c r="K80" s="41">
        <v>3539</v>
      </c>
    </row>
    <row r="81" spans="1:11" x14ac:dyDescent="0.25">
      <c r="A81" s="41" t="s">
        <v>513</v>
      </c>
      <c r="B81" s="41" t="s">
        <v>188</v>
      </c>
      <c r="C81" s="42" t="s">
        <v>514</v>
      </c>
      <c r="D81" s="41" t="s">
        <v>181</v>
      </c>
      <c r="E81" s="42" t="s">
        <v>186</v>
      </c>
      <c r="F81" s="41" t="s">
        <v>119</v>
      </c>
      <c r="G81" s="43">
        <v>2.15</v>
      </c>
      <c r="H81" s="41" t="s">
        <v>99</v>
      </c>
      <c r="I81" s="41">
        <v>1814</v>
      </c>
      <c r="J81" s="41">
        <v>780</v>
      </c>
      <c r="K81" s="41">
        <v>1034</v>
      </c>
    </row>
    <row r="82" spans="1:11" x14ac:dyDescent="0.25">
      <c r="A82" s="41" t="s">
        <v>515</v>
      </c>
      <c r="B82" s="41" t="s">
        <v>131</v>
      </c>
      <c r="C82" s="42" t="s">
        <v>516</v>
      </c>
      <c r="D82" s="41" t="s">
        <v>517</v>
      </c>
      <c r="E82" s="42" t="s">
        <v>518</v>
      </c>
      <c r="F82" s="41" t="s">
        <v>197</v>
      </c>
      <c r="G82" s="43">
        <v>2.15</v>
      </c>
      <c r="H82" s="41" t="s">
        <v>99</v>
      </c>
      <c r="I82" s="41">
        <v>4043</v>
      </c>
      <c r="J82" s="41">
        <v>1979</v>
      </c>
      <c r="K82" s="41">
        <v>2064</v>
      </c>
    </row>
    <row r="83" spans="1:11" x14ac:dyDescent="0.25">
      <c r="A83" s="41" t="s">
        <v>59</v>
      </c>
      <c r="B83" s="41" t="s">
        <v>97</v>
      </c>
      <c r="C83" s="42" t="s">
        <v>175</v>
      </c>
      <c r="D83" s="41" t="s">
        <v>519</v>
      </c>
      <c r="E83" s="42" t="s">
        <v>176</v>
      </c>
      <c r="F83" s="41" t="s">
        <v>170</v>
      </c>
      <c r="G83" s="43">
        <v>2.15</v>
      </c>
      <c r="H83" s="41" t="s">
        <v>99</v>
      </c>
      <c r="I83" s="41">
        <v>9039</v>
      </c>
      <c r="J83" s="41">
        <v>4386</v>
      </c>
      <c r="K83" s="41">
        <v>4653</v>
      </c>
    </row>
    <row r="84" spans="1:11" x14ac:dyDescent="0.25">
      <c r="A84" s="41" t="s">
        <v>520</v>
      </c>
      <c r="B84" s="41" t="s">
        <v>521</v>
      </c>
      <c r="C84" s="42" t="s">
        <v>522</v>
      </c>
      <c r="D84" s="41" t="s">
        <v>523</v>
      </c>
      <c r="E84" s="42" t="s">
        <v>524</v>
      </c>
      <c r="F84" s="41" t="s">
        <v>151</v>
      </c>
      <c r="G84" s="43">
        <v>2.1</v>
      </c>
      <c r="H84" s="41" t="s">
        <v>96</v>
      </c>
      <c r="I84" s="41">
        <v>5697</v>
      </c>
      <c r="J84" s="41">
        <v>2829</v>
      </c>
      <c r="K84" s="41">
        <v>2868</v>
      </c>
    </row>
    <row r="85" spans="1:11" x14ac:dyDescent="0.25">
      <c r="A85" s="41" t="s">
        <v>525</v>
      </c>
      <c r="B85" s="41" t="s">
        <v>131</v>
      </c>
      <c r="C85" s="42" t="s">
        <v>526</v>
      </c>
      <c r="D85" s="41" t="s">
        <v>527</v>
      </c>
      <c r="E85" s="42" t="s">
        <v>528</v>
      </c>
      <c r="F85" s="41" t="s">
        <v>130</v>
      </c>
      <c r="G85" s="43">
        <v>2.1</v>
      </c>
      <c r="H85" s="41" t="s">
        <v>112</v>
      </c>
      <c r="I85" s="41">
        <v>4511</v>
      </c>
      <c r="J85" s="41">
        <v>2120</v>
      </c>
      <c r="K85" s="41">
        <v>2390</v>
      </c>
    </row>
    <row r="86" spans="1:11" x14ac:dyDescent="0.25">
      <c r="A86" s="41" t="s">
        <v>529</v>
      </c>
      <c r="B86" s="41" t="s">
        <v>530</v>
      </c>
      <c r="C86" s="42" t="s">
        <v>531</v>
      </c>
      <c r="D86" s="41" t="s">
        <v>532</v>
      </c>
      <c r="E86" s="42" t="s">
        <v>533</v>
      </c>
      <c r="F86" s="41" t="s">
        <v>192</v>
      </c>
      <c r="G86" s="43">
        <v>2.1</v>
      </c>
      <c r="H86" s="41" t="s">
        <v>96</v>
      </c>
      <c r="I86" s="41">
        <v>3683</v>
      </c>
      <c r="J86" s="41">
        <v>1715</v>
      </c>
      <c r="K86" s="41">
        <v>1968</v>
      </c>
    </row>
    <row r="87" spans="1:11" x14ac:dyDescent="0.25">
      <c r="A87" s="41" t="s">
        <v>534</v>
      </c>
      <c r="B87" s="41" t="s">
        <v>109</v>
      </c>
      <c r="C87" s="42" t="s">
        <v>535</v>
      </c>
      <c r="D87" s="41" t="s">
        <v>498</v>
      </c>
      <c r="E87" s="42" t="s">
        <v>261</v>
      </c>
      <c r="F87" s="41" t="s">
        <v>103</v>
      </c>
      <c r="G87" s="43">
        <v>2.1</v>
      </c>
      <c r="H87" s="41" t="s">
        <v>117</v>
      </c>
      <c r="I87" s="41">
        <v>2401</v>
      </c>
      <c r="J87" s="41">
        <v>1164</v>
      </c>
      <c r="K87" s="41">
        <v>1237</v>
      </c>
    </row>
    <row r="88" spans="1:11" x14ac:dyDescent="0.25">
      <c r="A88" s="41" t="s">
        <v>536</v>
      </c>
      <c r="B88" s="41" t="s">
        <v>109</v>
      </c>
      <c r="C88" s="42" t="s">
        <v>537</v>
      </c>
      <c r="D88" s="41" t="s">
        <v>538</v>
      </c>
      <c r="E88" s="42" t="s">
        <v>539</v>
      </c>
      <c r="F88" s="41" t="s">
        <v>202</v>
      </c>
      <c r="G88" s="43">
        <v>2.1</v>
      </c>
      <c r="H88" s="41" t="s">
        <v>96</v>
      </c>
      <c r="I88" s="41">
        <v>1934</v>
      </c>
      <c r="J88" s="41">
        <v>812</v>
      </c>
      <c r="K88" s="41">
        <v>1122</v>
      </c>
    </row>
    <row r="89" spans="1:11" x14ac:dyDescent="0.25">
      <c r="A89" s="41" t="s">
        <v>51</v>
      </c>
      <c r="B89" s="41" t="s">
        <v>109</v>
      </c>
      <c r="C89" s="42" t="s">
        <v>540</v>
      </c>
      <c r="D89" s="41" t="s">
        <v>541</v>
      </c>
      <c r="E89" s="42" t="s">
        <v>542</v>
      </c>
      <c r="F89" s="41" t="s">
        <v>167</v>
      </c>
      <c r="G89" s="43">
        <v>2.1</v>
      </c>
      <c r="H89" s="41" t="s">
        <v>117</v>
      </c>
      <c r="I89" s="41">
        <v>3613</v>
      </c>
      <c r="J89" s="41">
        <v>1520</v>
      </c>
      <c r="K89" s="41">
        <v>2093</v>
      </c>
    </row>
    <row r="90" spans="1:11" x14ac:dyDescent="0.25">
      <c r="A90" s="41" t="s">
        <v>543</v>
      </c>
      <c r="B90" s="41" t="s">
        <v>544</v>
      </c>
      <c r="C90" s="42" t="s">
        <v>545</v>
      </c>
      <c r="D90" s="41" t="s">
        <v>546</v>
      </c>
      <c r="E90" s="42" t="s">
        <v>547</v>
      </c>
      <c r="F90" s="41" t="s">
        <v>119</v>
      </c>
      <c r="G90" s="43">
        <v>2.1</v>
      </c>
      <c r="H90" s="41" t="s">
        <v>99</v>
      </c>
      <c r="I90" s="41">
        <v>2186</v>
      </c>
      <c r="J90" s="41">
        <v>970</v>
      </c>
      <c r="K90" s="41">
        <v>1216</v>
      </c>
    </row>
    <row r="91" spans="1:11" x14ac:dyDescent="0.25">
      <c r="A91" s="41" t="s">
        <v>548</v>
      </c>
      <c r="B91" s="41" t="s">
        <v>188</v>
      </c>
      <c r="C91" s="42" t="s">
        <v>549</v>
      </c>
      <c r="D91" s="41" t="s">
        <v>550</v>
      </c>
      <c r="E91" s="42" t="s">
        <v>551</v>
      </c>
      <c r="F91" s="41" t="s">
        <v>202</v>
      </c>
      <c r="G91" s="43">
        <v>2.1</v>
      </c>
      <c r="H91" s="41" t="s">
        <v>99</v>
      </c>
      <c r="I91" s="41">
        <v>1153</v>
      </c>
      <c r="J91" s="41">
        <v>552</v>
      </c>
      <c r="K91" s="41">
        <v>601</v>
      </c>
    </row>
    <row r="92" spans="1:11" x14ac:dyDescent="0.25">
      <c r="A92" s="41" t="s">
        <v>552</v>
      </c>
      <c r="B92" s="41" t="s">
        <v>492</v>
      </c>
      <c r="C92" s="42" t="s">
        <v>553</v>
      </c>
      <c r="D92" s="41" t="s">
        <v>554</v>
      </c>
      <c r="E92" s="42" t="s">
        <v>555</v>
      </c>
      <c r="F92" s="41" t="s">
        <v>141</v>
      </c>
      <c r="G92" s="43">
        <v>2.1</v>
      </c>
      <c r="H92" s="41" t="s">
        <v>99</v>
      </c>
      <c r="I92" s="41">
        <v>927</v>
      </c>
      <c r="J92" s="41">
        <v>429</v>
      </c>
      <c r="K92" s="41">
        <v>497</v>
      </c>
    </row>
    <row r="93" spans="1:11" x14ac:dyDescent="0.25">
      <c r="A93" s="41" t="s">
        <v>556</v>
      </c>
      <c r="B93" s="41" t="s">
        <v>109</v>
      </c>
      <c r="C93" s="42" t="s">
        <v>557</v>
      </c>
      <c r="D93" s="41" t="s">
        <v>558</v>
      </c>
      <c r="E93" s="42" t="s">
        <v>559</v>
      </c>
      <c r="F93" s="41" t="s">
        <v>171</v>
      </c>
      <c r="G93" s="43">
        <v>2.09</v>
      </c>
      <c r="H93" s="41" t="s">
        <v>96</v>
      </c>
      <c r="I93" s="41">
        <v>798</v>
      </c>
      <c r="J93" s="41">
        <v>393</v>
      </c>
      <c r="K93" s="41">
        <v>405</v>
      </c>
    </row>
    <row r="94" spans="1:11" x14ac:dyDescent="0.25">
      <c r="A94" s="41" t="s">
        <v>560</v>
      </c>
      <c r="B94" s="41" t="s">
        <v>131</v>
      </c>
      <c r="C94" s="42" t="s">
        <v>561</v>
      </c>
      <c r="D94" s="41" t="s">
        <v>562</v>
      </c>
      <c r="E94" s="42" t="s">
        <v>150</v>
      </c>
      <c r="F94" s="41" t="s">
        <v>167</v>
      </c>
      <c r="G94" s="43">
        <v>2.08</v>
      </c>
      <c r="H94" s="41" t="s">
        <v>99</v>
      </c>
      <c r="I94" s="41">
        <v>3447</v>
      </c>
      <c r="J94" s="41">
        <v>1544</v>
      </c>
      <c r="K94" s="41">
        <v>1903</v>
      </c>
    </row>
    <row r="95" spans="1:11" x14ac:dyDescent="0.25">
      <c r="A95" s="41" t="s">
        <v>563</v>
      </c>
      <c r="B95" s="41" t="s">
        <v>160</v>
      </c>
      <c r="C95" s="42" t="s">
        <v>564</v>
      </c>
      <c r="D95" s="41" t="s">
        <v>565</v>
      </c>
      <c r="E95" s="42" t="s">
        <v>566</v>
      </c>
      <c r="F95" s="41" t="s">
        <v>567</v>
      </c>
      <c r="G95" s="43">
        <v>2.0499999999999998</v>
      </c>
      <c r="H95" s="41" t="s">
        <v>96</v>
      </c>
      <c r="I95" s="41">
        <v>5194</v>
      </c>
      <c r="J95" s="41">
        <v>2617</v>
      </c>
      <c r="K95" s="41">
        <v>2577</v>
      </c>
    </row>
    <row r="96" spans="1:11" x14ac:dyDescent="0.25">
      <c r="A96" s="41" t="s">
        <v>568</v>
      </c>
      <c r="B96" s="41" t="s">
        <v>120</v>
      </c>
      <c r="C96" s="42" t="s">
        <v>569</v>
      </c>
      <c r="D96" s="41" t="s">
        <v>191</v>
      </c>
      <c r="E96" s="42" t="s">
        <v>157</v>
      </c>
      <c r="F96" s="41" t="s">
        <v>334</v>
      </c>
      <c r="G96" s="43">
        <v>2.0499999999999998</v>
      </c>
      <c r="H96" s="41" t="s">
        <v>99</v>
      </c>
      <c r="I96" s="41">
        <v>3019</v>
      </c>
      <c r="J96" s="41">
        <v>1453</v>
      </c>
      <c r="K96" s="41">
        <v>1565</v>
      </c>
    </row>
    <row r="97" spans="1:11" x14ac:dyDescent="0.25">
      <c r="A97" s="41" t="s">
        <v>570</v>
      </c>
      <c r="B97" s="41" t="s">
        <v>571</v>
      </c>
      <c r="C97" s="42" t="s">
        <v>572</v>
      </c>
      <c r="D97" s="41" t="s">
        <v>573</v>
      </c>
      <c r="E97" s="42" t="s">
        <v>574</v>
      </c>
      <c r="F97" s="41" t="s">
        <v>575</v>
      </c>
      <c r="G97" s="43">
        <v>2.0499999999999998</v>
      </c>
      <c r="H97" s="41" t="s">
        <v>99</v>
      </c>
      <c r="I97" s="41">
        <v>3922</v>
      </c>
      <c r="J97" s="41">
        <v>1876</v>
      </c>
      <c r="K97" s="41">
        <v>2046</v>
      </c>
    </row>
    <row r="98" spans="1:11" x14ac:dyDescent="0.25">
      <c r="A98" s="41" t="s">
        <v>576</v>
      </c>
      <c r="B98" s="41" t="s">
        <v>131</v>
      </c>
      <c r="C98" s="42" t="s">
        <v>577</v>
      </c>
      <c r="D98" s="41" t="s">
        <v>578</v>
      </c>
      <c r="E98" s="42" t="s">
        <v>374</v>
      </c>
      <c r="F98" s="41" t="s">
        <v>171</v>
      </c>
      <c r="G98" s="43">
        <v>2.04</v>
      </c>
      <c r="H98" s="41" t="s">
        <v>99</v>
      </c>
      <c r="I98" s="41">
        <v>1926</v>
      </c>
      <c r="J98" s="41">
        <v>846</v>
      </c>
      <c r="K98" s="41">
        <v>1079</v>
      </c>
    </row>
    <row r="99" spans="1:11" x14ac:dyDescent="0.25">
      <c r="A99" s="41" t="s">
        <v>73</v>
      </c>
      <c r="B99" s="41" t="s">
        <v>106</v>
      </c>
      <c r="C99" s="42" t="s">
        <v>579</v>
      </c>
      <c r="D99" s="41" t="s">
        <v>580</v>
      </c>
      <c r="E99" s="42" t="s">
        <v>150</v>
      </c>
      <c r="F99" s="41" t="s">
        <v>358</v>
      </c>
      <c r="G99" s="43">
        <v>2.04</v>
      </c>
      <c r="H99" s="41" t="s">
        <v>117</v>
      </c>
      <c r="I99" s="41">
        <v>2744</v>
      </c>
      <c r="J99" s="41">
        <v>1366</v>
      </c>
      <c r="K99" s="41">
        <v>1378</v>
      </c>
    </row>
    <row r="100" spans="1:11" x14ac:dyDescent="0.25">
      <c r="A100" s="41" t="s">
        <v>581</v>
      </c>
      <c r="B100" s="41" t="s">
        <v>311</v>
      </c>
      <c r="C100" s="42" t="s">
        <v>582</v>
      </c>
      <c r="D100" s="41" t="s">
        <v>583</v>
      </c>
      <c r="E100" s="42" t="s">
        <v>584</v>
      </c>
      <c r="F100" s="41" t="s">
        <v>193</v>
      </c>
      <c r="G100" s="43">
        <v>2</v>
      </c>
      <c r="H100" s="41" t="s">
        <v>99</v>
      </c>
      <c r="I100" s="41">
        <v>3507</v>
      </c>
      <c r="J100" s="41">
        <v>1737</v>
      </c>
      <c r="K100" s="41">
        <v>1770</v>
      </c>
    </row>
    <row r="101" spans="1:11" x14ac:dyDescent="0.25">
      <c r="A101" s="41" t="s">
        <v>585</v>
      </c>
      <c r="B101" s="41" t="s">
        <v>160</v>
      </c>
      <c r="C101" s="42" t="s">
        <v>586</v>
      </c>
      <c r="D101" s="41" t="s">
        <v>587</v>
      </c>
      <c r="E101" s="42" t="s">
        <v>125</v>
      </c>
      <c r="F101" s="41" t="s">
        <v>202</v>
      </c>
      <c r="G101" s="43">
        <v>2</v>
      </c>
      <c r="H101" s="41" t="s">
        <v>96</v>
      </c>
      <c r="I101" s="41">
        <v>2706</v>
      </c>
      <c r="J101" s="41">
        <v>1216</v>
      </c>
      <c r="K101" s="41">
        <v>1490</v>
      </c>
    </row>
    <row r="102" spans="1:11" x14ac:dyDescent="0.25">
      <c r="A102" s="41" t="s">
        <v>588</v>
      </c>
      <c r="B102" s="41" t="s">
        <v>131</v>
      </c>
      <c r="C102" s="42" t="s">
        <v>589</v>
      </c>
      <c r="D102" s="41" t="s">
        <v>590</v>
      </c>
      <c r="E102" s="42" t="s">
        <v>176</v>
      </c>
      <c r="F102" s="41" t="s">
        <v>119</v>
      </c>
      <c r="G102" s="43">
        <v>2</v>
      </c>
      <c r="H102" s="41" t="s">
        <v>99</v>
      </c>
      <c r="I102" s="41">
        <v>1909</v>
      </c>
      <c r="J102" s="41">
        <v>909</v>
      </c>
      <c r="K102" s="41">
        <v>1000</v>
      </c>
    </row>
    <row r="103" spans="1:11" x14ac:dyDescent="0.25">
      <c r="A103" s="41" t="s">
        <v>591</v>
      </c>
      <c r="B103" s="41" t="s">
        <v>592</v>
      </c>
      <c r="C103" s="42" t="s">
        <v>593</v>
      </c>
      <c r="D103" s="41" t="s">
        <v>594</v>
      </c>
      <c r="E103" s="42" t="s">
        <v>595</v>
      </c>
      <c r="F103" s="41" t="s">
        <v>279</v>
      </c>
      <c r="G103" s="43">
        <v>2</v>
      </c>
      <c r="H103" s="41" t="s">
        <v>96</v>
      </c>
      <c r="I103" s="41">
        <v>2588</v>
      </c>
      <c r="J103" s="41">
        <v>1259</v>
      </c>
      <c r="K103" s="41">
        <v>1329</v>
      </c>
    </row>
    <row r="104" spans="1:11" x14ac:dyDescent="0.25">
      <c r="A104" s="41" t="s">
        <v>596</v>
      </c>
      <c r="B104" s="41" t="s">
        <v>131</v>
      </c>
      <c r="C104" s="42" t="s">
        <v>597</v>
      </c>
      <c r="D104" s="41" t="s">
        <v>133</v>
      </c>
      <c r="E104" s="42" t="s">
        <v>555</v>
      </c>
      <c r="F104" s="41" t="s">
        <v>141</v>
      </c>
      <c r="G104" s="43">
        <v>2</v>
      </c>
      <c r="H104" s="41" t="s">
        <v>99</v>
      </c>
      <c r="I104" s="41">
        <v>1380</v>
      </c>
      <c r="J104" s="41">
        <v>618</v>
      </c>
      <c r="K104" s="41">
        <v>761</v>
      </c>
    </row>
    <row r="105" spans="1:11" x14ac:dyDescent="0.25">
      <c r="A105" s="41" t="s">
        <v>598</v>
      </c>
      <c r="B105" s="41" t="s">
        <v>109</v>
      </c>
      <c r="C105" s="42" t="s">
        <v>599</v>
      </c>
      <c r="D105" s="41" t="s">
        <v>532</v>
      </c>
      <c r="E105" s="42" t="s">
        <v>600</v>
      </c>
      <c r="F105" s="41" t="s">
        <v>103</v>
      </c>
      <c r="G105" s="43">
        <v>2</v>
      </c>
      <c r="H105" s="41" t="s">
        <v>96</v>
      </c>
      <c r="I105" s="41">
        <v>697</v>
      </c>
      <c r="J105" s="41">
        <v>348</v>
      </c>
      <c r="K105" s="41">
        <v>349</v>
      </c>
    </row>
    <row r="106" spans="1:11" x14ac:dyDescent="0.25">
      <c r="A106" s="41" t="s">
        <v>601</v>
      </c>
      <c r="B106" s="41" t="s">
        <v>131</v>
      </c>
      <c r="C106" s="42" t="s">
        <v>602</v>
      </c>
      <c r="D106" s="41" t="s">
        <v>603</v>
      </c>
      <c r="E106" s="42" t="s">
        <v>270</v>
      </c>
      <c r="F106" s="41" t="s">
        <v>202</v>
      </c>
      <c r="G106" s="43">
        <v>2</v>
      </c>
      <c r="H106" s="41" t="s">
        <v>99</v>
      </c>
      <c r="I106" s="41">
        <v>2198</v>
      </c>
      <c r="J106" s="41">
        <v>1035</v>
      </c>
      <c r="K106" s="41">
        <v>1163</v>
      </c>
    </row>
    <row r="107" spans="1:11" x14ac:dyDescent="0.25">
      <c r="A107" s="41" t="s">
        <v>604</v>
      </c>
      <c r="B107" s="41" t="s">
        <v>131</v>
      </c>
      <c r="C107" s="42" t="s">
        <v>605</v>
      </c>
      <c r="D107" s="41" t="s">
        <v>606</v>
      </c>
      <c r="E107" s="42" t="s">
        <v>125</v>
      </c>
      <c r="F107" s="41" t="s">
        <v>119</v>
      </c>
      <c r="G107" s="43">
        <v>2</v>
      </c>
      <c r="H107" s="41" t="s">
        <v>96</v>
      </c>
      <c r="I107" s="41">
        <v>2076</v>
      </c>
      <c r="J107" s="41">
        <v>882</v>
      </c>
      <c r="K107" s="41">
        <v>1194</v>
      </c>
    </row>
    <row r="108" spans="1:11" x14ac:dyDescent="0.25">
      <c r="A108" s="41" t="s">
        <v>77</v>
      </c>
      <c r="B108" s="41" t="s">
        <v>109</v>
      </c>
      <c r="C108" s="42" t="s">
        <v>607</v>
      </c>
      <c r="D108" s="41" t="s">
        <v>608</v>
      </c>
      <c r="E108" s="42" t="s">
        <v>609</v>
      </c>
      <c r="F108" s="41" t="s">
        <v>610</v>
      </c>
      <c r="G108" s="43">
        <v>2</v>
      </c>
      <c r="H108" s="41" t="s">
        <v>96</v>
      </c>
      <c r="I108" s="41">
        <v>1365</v>
      </c>
      <c r="J108" s="41">
        <v>702</v>
      </c>
      <c r="K108" s="41">
        <v>663</v>
      </c>
    </row>
    <row r="109" spans="1:11" x14ac:dyDescent="0.25">
      <c r="A109" s="41" t="s">
        <v>611</v>
      </c>
      <c r="B109" s="41" t="s">
        <v>109</v>
      </c>
      <c r="C109" s="42" t="s">
        <v>612</v>
      </c>
      <c r="D109" s="41" t="s">
        <v>613</v>
      </c>
      <c r="E109" s="42" t="s">
        <v>614</v>
      </c>
      <c r="F109" s="41" t="s">
        <v>610</v>
      </c>
      <c r="G109" s="43">
        <v>2</v>
      </c>
      <c r="H109" s="41" t="s">
        <v>96</v>
      </c>
      <c r="I109" s="41">
        <v>3732</v>
      </c>
      <c r="J109" s="41">
        <v>1854</v>
      </c>
      <c r="K109" s="41">
        <v>1878</v>
      </c>
    </row>
    <row r="110" spans="1:11" x14ac:dyDescent="0.25">
      <c r="A110" s="41" t="s">
        <v>615</v>
      </c>
      <c r="B110" s="41" t="s">
        <v>109</v>
      </c>
      <c r="C110" s="42" t="s">
        <v>616</v>
      </c>
      <c r="D110" s="41" t="s">
        <v>315</v>
      </c>
      <c r="E110" s="42" t="s">
        <v>617</v>
      </c>
      <c r="F110" s="41" t="s">
        <v>119</v>
      </c>
      <c r="G110" s="43">
        <v>1.99</v>
      </c>
      <c r="H110" s="41" t="s">
        <v>99</v>
      </c>
      <c r="I110" s="41">
        <v>848</v>
      </c>
      <c r="J110" s="41">
        <v>388</v>
      </c>
      <c r="K110" s="41">
        <v>460</v>
      </c>
    </row>
    <row r="111" spans="1:11" x14ac:dyDescent="0.25">
      <c r="A111" s="41" t="s">
        <v>618</v>
      </c>
      <c r="B111" s="41" t="s">
        <v>131</v>
      </c>
      <c r="C111" s="42" t="s">
        <v>619</v>
      </c>
      <c r="D111" s="41" t="s">
        <v>199</v>
      </c>
      <c r="E111" s="42" t="s">
        <v>620</v>
      </c>
      <c r="F111" s="41" t="s">
        <v>266</v>
      </c>
      <c r="G111" s="43">
        <v>1.97</v>
      </c>
      <c r="H111" s="41" t="s">
        <v>99</v>
      </c>
      <c r="I111" s="41">
        <v>1313</v>
      </c>
      <c r="J111" s="41">
        <v>668</v>
      </c>
      <c r="K111" s="41">
        <v>645</v>
      </c>
    </row>
    <row r="112" spans="1:11" x14ac:dyDescent="0.25">
      <c r="A112" s="41" t="s">
        <v>621</v>
      </c>
      <c r="B112" s="41" t="s">
        <v>106</v>
      </c>
      <c r="C112" s="42" t="s">
        <v>622</v>
      </c>
      <c r="D112" s="41" t="s">
        <v>623</v>
      </c>
      <c r="E112" s="42" t="s">
        <v>261</v>
      </c>
      <c r="F112" s="41" t="s">
        <v>119</v>
      </c>
      <c r="G112" s="43">
        <v>1.96</v>
      </c>
      <c r="H112" s="41" t="s">
        <v>99</v>
      </c>
      <c r="I112" s="41">
        <v>2891</v>
      </c>
      <c r="J112" s="41">
        <v>1137</v>
      </c>
      <c r="K112" s="41">
        <v>1753</v>
      </c>
    </row>
    <row r="113" spans="1:11" x14ac:dyDescent="0.25">
      <c r="A113" s="41" t="s">
        <v>36</v>
      </c>
      <c r="B113" s="41" t="s">
        <v>624</v>
      </c>
      <c r="C113" s="42" t="s">
        <v>625</v>
      </c>
      <c r="D113" s="41" t="s">
        <v>626</v>
      </c>
      <c r="E113" s="42" t="s">
        <v>132</v>
      </c>
      <c r="F113" s="41" t="s">
        <v>111</v>
      </c>
      <c r="G113" s="43">
        <v>1.95</v>
      </c>
      <c r="H113" s="41" t="s">
        <v>112</v>
      </c>
      <c r="I113" s="41">
        <v>4484</v>
      </c>
      <c r="J113" s="41">
        <v>2130</v>
      </c>
      <c r="K113" s="41">
        <v>2354</v>
      </c>
    </row>
    <row r="114" spans="1:11" x14ac:dyDescent="0.25">
      <c r="A114" s="41" t="s">
        <v>47</v>
      </c>
      <c r="B114" s="41" t="s">
        <v>627</v>
      </c>
      <c r="C114" s="42" t="s">
        <v>628</v>
      </c>
      <c r="D114" s="41" t="s">
        <v>629</v>
      </c>
      <c r="E114" s="42" t="s">
        <v>630</v>
      </c>
      <c r="F114" s="41" t="s">
        <v>583</v>
      </c>
      <c r="G114" s="43">
        <v>1.95</v>
      </c>
      <c r="H114" s="41" t="s">
        <v>96</v>
      </c>
      <c r="I114" s="41">
        <v>2510</v>
      </c>
      <c r="J114" s="41">
        <v>1194</v>
      </c>
      <c r="K114" s="41">
        <v>1316</v>
      </c>
    </row>
    <row r="115" spans="1:11" x14ac:dyDescent="0.25">
      <c r="A115" s="41" t="s">
        <v>64</v>
      </c>
      <c r="B115" s="41" t="s">
        <v>631</v>
      </c>
      <c r="C115" s="42" t="s">
        <v>632</v>
      </c>
      <c r="D115" s="41" t="s">
        <v>608</v>
      </c>
      <c r="E115" s="42" t="s">
        <v>633</v>
      </c>
      <c r="F115" s="41" t="s">
        <v>634</v>
      </c>
      <c r="G115" s="43">
        <v>1.95</v>
      </c>
      <c r="H115" s="41" t="s">
        <v>99</v>
      </c>
      <c r="I115" s="41">
        <v>2138</v>
      </c>
      <c r="J115" s="41">
        <v>896</v>
      </c>
      <c r="K115" s="41">
        <v>1242</v>
      </c>
    </row>
    <row r="116" spans="1:11" x14ac:dyDescent="0.25">
      <c r="A116" s="41" t="s">
        <v>635</v>
      </c>
      <c r="B116" s="41" t="s">
        <v>156</v>
      </c>
      <c r="C116" s="42" t="s">
        <v>636</v>
      </c>
      <c r="D116" s="41" t="s">
        <v>135</v>
      </c>
      <c r="E116" s="42" t="s">
        <v>150</v>
      </c>
      <c r="F116" s="41" t="s">
        <v>334</v>
      </c>
      <c r="G116" s="43">
        <v>1.95</v>
      </c>
      <c r="H116" s="41" t="s">
        <v>99</v>
      </c>
      <c r="I116" s="41">
        <v>3265</v>
      </c>
      <c r="J116" s="41">
        <v>1429</v>
      </c>
      <c r="K116" s="41">
        <v>1837</v>
      </c>
    </row>
    <row r="117" spans="1:11" x14ac:dyDescent="0.25">
      <c r="A117" s="41" t="s">
        <v>637</v>
      </c>
      <c r="B117" s="41" t="s">
        <v>638</v>
      </c>
      <c r="C117" s="42" t="s">
        <v>639</v>
      </c>
      <c r="D117" s="41" t="s">
        <v>416</v>
      </c>
      <c r="E117" s="42" t="s">
        <v>640</v>
      </c>
      <c r="F117" s="41" t="s">
        <v>151</v>
      </c>
      <c r="G117" s="43">
        <v>1.95</v>
      </c>
      <c r="H117" s="41" t="s">
        <v>99</v>
      </c>
      <c r="I117" s="41">
        <v>898</v>
      </c>
      <c r="J117" s="41">
        <v>411</v>
      </c>
      <c r="K117" s="41">
        <v>487</v>
      </c>
    </row>
    <row r="118" spans="1:11" x14ac:dyDescent="0.25">
      <c r="A118" s="41" t="s">
        <v>641</v>
      </c>
      <c r="B118" s="41" t="s">
        <v>109</v>
      </c>
      <c r="C118" s="42" t="s">
        <v>336</v>
      </c>
      <c r="D118" s="41" t="s">
        <v>260</v>
      </c>
      <c r="E118" s="42" t="s">
        <v>642</v>
      </c>
      <c r="F118" s="41" t="s">
        <v>202</v>
      </c>
      <c r="G118" s="43">
        <v>1.95</v>
      </c>
      <c r="H118" s="41" t="s">
        <v>99</v>
      </c>
      <c r="I118" s="41">
        <v>1227</v>
      </c>
      <c r="J118" s="41">
        <v>561</v>
      </c>
      <c r="K118" s="41">
        <v>666</v>
      </c>
    </row>
    <row r="119" spans="1:11" x14ac:dyDescent="0.25">
      <c r="A119" s="41" t="s">
        <v>82</v>
      </c>
      <c r="B119" s="41" t="s">
        <v>109</v>
      </c>
      <c r="C119" s="42" t="s">
        <v>643</v>
      </c>
      <c r="D119" s="41" t="s">
        <v>644</v>
      </c>
      <c r="E119" s="42" t="s">
        <v>278</v>
      </c>
      <c r="F119" s="41" t="s">
        <v>279</v>
      </c>
      <c r="G119" s="43">
        <v>1.94</v>
      </c>
      <c r="H119" s="41" t="s">
        <v>99</v>
      </c>
      <c r="I119" s="41">
        <v>1220</v>
      </c>
      <c r="J119" s="41">
        <v>583</v>
      </c>
      <c r="K119" s="41">
        <v>636</v>
      </c>
    </row>
    <row r="120" spans="1:11" x14ac:dyDescent="0.25">
      <c r="A120" s="41" t="s">
        <v>645</v>
      </c>
      <c r="B120" s="41" t="s">
        <v>646</v>
      </c>
      <c r="C120" s="42" t="s">
        <v>647</v>
      </c>
      <c r="D120" s="41" t="s">
        <v>144</v>
      </c>
      <c r="E120" s="42" t="s">
        <v>374</v>
      </c>
      <c r="F120" s="41" t="s">
        <v>182</v>
      </c>
      <c r="G120" s="43">
        <v>1.9</v>
      </c>
      <c r="H120" s="41" t="s">
        <v>99</v>
      </c>
      <c r="I120" s="41">
        <v>1028</v>
      </c>
      <c r="J120" s="41">
        <v>487</v>
      </c>
      <c r="K120" s="41">
        <v>541</v>
      </c>
    </row>
    <row r="121" spans="1:11" x14ac:dyDescent="0.25">
      <c r="A121" s="41" t="s">
        <v>648</v>
      </c>
      <c r="B121" s="41" t="s">
        <v>160</v>
      </c>
      <c r="C121" s="42" t="s">
        <v>649</v>
      </c>
      <c r="D121" s="41" t="s">
        <v>650</v>
      </c>
      <c r="E121" s="42" t="s">
        <v>125</v>
      </c>
      <c r="F121" s="41" t="s">
        <v>225</v>
      </c>
      <c r="G121" s="43">
        <v>1.9</v>
      </c>
      <c r="H121" s="41" t="s">
        <v>96</v>
      </c>
      <c r="I121" s="41">
        <v>1416</v>
      </c>
      <c r="J121" s="41">
        <v>748</v>
      </c>
      <c r="K121" s="41">
        <v>668</v>
      </c>
    </row>
    <row r="122" spans="1:11" x14ac:dyDescent="0.25">
      <c r="A122" s="41" t="s">
        <v>651</v>
      </c>
      <c r="B122" s="41" t="s">
        <v>652</v>
      </c>
      <c r="C122" s="42" t="s">
        <v>653</v>
      </c>
      <c r="D122" s="41" t="s">
        <v>172</v>
      </c>
      <c r="E122" s="42" t="s">
        <v>654</v>
      </c>
      <c r="F122" s="41" t="s">
        <v>190</v>
      </c>
      <c r="G122" s="43">
        <v>1.9</v>
      </c>
      <c r="H122" s="41" t="s">
        <v>96</v>
      </c>
      <c r="I122" s="41">
        <v>1509</v>
      </c>
      <c r="J122" s="41">
        <v>719</v>
      </c>
      <c r="K122" s="41">
        <v>790</v>
      </c>
    </row>
    <row r="123" spans="1:11" x14ac:dyDescent="0.25">
      <c r="A123" s="41" t="s">
        <v>655</v>
      </c>
      <c r="B123" s="41" t="s">
        <v>109</v>
      </c>
      <c r="C123" s="42" t="s">
        <v>656</v>
      </c>
      <c r="D123" s="41" t="s">
        <v>657</v>
      </c>
      <c r="E123" s="42" t="s">
        <v>176</v>
      </c>
      <c r="F123" s="41" t="s">
        <v>151</v>
      </c>
      <c r="G123" s="43">
        <v>1.9</v>
      </c>
      <c r="H123" s="41" t="s">
        <v>99</v>
      </c>
      <c r="I123" s="41">
        <v>2228</v>
      </c>
      <c r="J123" s="41">
        <v>969</v>
      </c>
      <c r="K123" s="41">
        <v>1259</v>
      </c>
    </row>
    <row r="124" spans="1:11" x14ac:dyDescent="0.25">
      <c r="A124" s="41" t="s">
        <v>83</v>
      </c>
      <c r="B124" s="41" t="s">
        <v>188</v>
      </c>
      <c r="C124" s="42" t="s">
        <v>658</v>
      </c>
      <c r="D124" s="41" t="s">
        <v>659</v>
      </c>
      <c r="E124" s="42" t="s">
        <v>196</v>
      </c>
      <c r="F124" s="41" t="s">
        <v>171</v>
      </c>
      <c r="G124" s="43">
        <v>1.9</v>
      </c>
      <c r="H124" s="41" t="s">
        <v>99</v>
      </c>
      <c r="I124" s="41">
        <v>2273</v>
      </c>
      <c r="J124" s="41">
        <v>1014</v>
      </c>
      <c r="K124" s="41">
        <v>1260</v>
      </c>
    </row>
    <row r="125" spans="1:11" x14ac:dyDescent="0.25">
      <c r="A125" s="41" t="s">
        <v>660</v>
      </c>
      <c r="B125" s="41" t="s">
        <v>661</v>
      </c>
      <c r="C125" s="42" t="s">
        <v>662</v>
      </c>
      <c r="D125" s="41" t="s">
        <v>663</v>
      </c>
      <c r="E125" s="42" t="s">
        <v>664</v>
      </c>
      <c r="F125" s="41" t="s">
        <v>171</v>
      </c>
      <c r="G125" s="43">
        <v>1.9</v>
      </c>
      <c r="H125" s="41" t="s">
        <v>99</v>
      </c>
      <c r="I125" s="41">
        <v>2278</v>
      </c>
      <c r="J125" s="41">
        <v>1027</v>
      </c>
      <c r="K125" s="41">
        <v>1251</v>
      </c>
    </row>
    <row r="126" spans="1:11" x14ac:dyDescent="0.25">
      <c r="A126" s="41" t="s">
        <v>665</v>
      </c>
      <c r="B126" s="41" t="s">
        <v>109</v>
      </c>
      <c r="C126" s="42" t="s">
        <v>666</v>
      </c>
      <c r="D126" s="41" t="s">
        <v>121</v>
      </c>
      <c r="E126" s="42" t="s">
        <v>667</v>
      </c>
      <c r="F126" s="41" t="s">
        <v>173</v>
      </c>
      <c r="G126" s="43">
        <v>1.9</v>
      </c>
      <c r="H126" s="41" t="s">
        <v>96</v>
      </c>
      <c r="I126" s="41">
        <v>986</v>
      </c>
      <c r="J126" s="41">
        <v>445</v>
      </c>
      <c r="K126" s="41">
        <v>541</v>
      </c>
    </row>
    <row r="127" spans="1:11" x14ac:dyDescent="0.25">
      <c r="A127" s="41" t="s">
        <v>668</v>
      </c>
      <c r="B127" s="41" t="s">
        <v>120</v>
      </c>
      <c r="C127" s="42" t="s">
        <v>669</v>
      </c>
      <c r="D127" s="41" t="s">
        <v>163</v>
      </c>
      <c r="E127" s="42" t="s">
        <v>670</v>
      </c>
      <c r="F127" s="41" t="s">
        <v>167</v>
      </c>
      <c r="G127" s="43">
        <v>1.9</v>
      </c>
      <c r="H127" s="41" t="s">
        <v>99</v>
      </c>
      <c r="I127" s="41">
        <v>2106</v>
      </c>
      <c r="J127" s="41">
        <v>964</v>
      </c>
      <c r="K127" s="41">
        <v>1142</v>
      </c>
    </row>
    <row r="128" spans="1:11" x14ac:dyDescent="0.25">
      <c r="A128" s="41" t="s">
        <v>671</v>
      </c>
      <c r="B128" s="41" t="s">
        <v>120</v>
      </c>
      <c r="C128" s="42" t="s">
        <v>672</v>
      </c>
      <c r="D128" s="41" t="s">
        <v>199</v>
      </c>
      <c r="E128" s="42" t="s">
        <v>154</v>
      </c>
      <c r="F128" s="41" t="s">
        <v>141</v>
      </c>
      <c r="G128" s="43">
        <v>1.9</v>
      </c>
      <c r="H128" s="41" t="s">
        <v>99</v>
      </c>
      <c r="I128" s="41">
        <v>4621</v>
      </c>
      <c r="J128" s="41">
        <v>1948</v>
      </c>
      <c r="K128" s="41">
        <v>2673</v>
      </c>
    </row>
    <row r="129" spans="1:11" x14ac:dyDescent="0.25">
      <c r="A129" s="41" t="s">
        <v>673</v>
      </c>
      <c r="B129" s="41" t="s">
        <v>109</v>
      </c>
      <c r="C129" s="42" t="s">
        <v>674</v>
      </c>
      <c r="D129" s="41" t="s">
        <v>675</v>
      </c>
      <c r="E129" s="42" t="s">
        <v>113</v>
      </c>
      <c r="F129" s="41" t="s">
        <v>676</v>
      </c>
      <c r="G129" s="43">
        <v>1.89</v>
      </c>
      <c r="H129" s="41" t="s">
        <v>96</v>
      </c>
      <c r="I129" s="41">
        <v>7008</v>
      </c>
      <c r="J129" s="41">
        <v>3257</v>
      </c>
      <c r="K129" s="41">
        <v>3751</v>
      </c>
    </row>
    <row r="130" spans="1:11" x14ac:dyDescent="0.25">
      <c r="A130" s="41" t="s">
        <v>677</v>
      </c>
      <c r="B130" s="41" t="s">
        <v>201</v>
      </c>
      <c r="C130" s="42" t="s">
        <v>678</v>
      </c>
      <c r="D130" s="41" t="s">
        <v>679</v>
      </c>
      <c r="E130" s="42" t="s">
        <v>680</v>
      </c>
      <c r="F130" s="41" t="s">
        <v>141</v>
      </c>
      <c r="G130" s="43">
        <v>1.86</v>
      </c>
      <c r="H130" s="41" t="s">
        <v>99</v>
      </c>
      <c r="I130" s="41">
        <v>1131</v>
      </c>
      <c r="J130" s="41">
        <v>494</v>
      </c>
      <c r="K130" s="41">
        <v>638</v>
      </c>
    </row>
    <row r="131" spans="1:11" x14ac:dyDescent="0.25">
      <c r="A131" s="41" t="s">
        <v>681</v>
      </c>
      <c r="B131" s="41" t="s">
        <v>682</v>
      </c>
      <c r="C131" s="42" t="s">
        <v>683</v>
      </c>
      <c r="D131" s="41" t="s">
        <v>684</v>
      </c>
      <c r="E131" s="42" t="s">
        <v>685</v>
      </c>
      <c r="F131" s="41" t="s">
        <v>192</v>
      </c>
      <c r="G131" s="43">
        <v>1.86</v>
      </c>
      <c r="H131" s="41" t="s">
        <v>99</v>
      </c>
      <c r="I131" s="41">
        <v>994</v>
      </c>
      <c r="J131" s="41">
        <v>469</v>
      </c>
      <c r="K131" s="41">
        <v>525</v>
      </c>
    </row>
    <row r="132" spans="1:11" x14ac:dyDescent="0.25">
      <c r="A132" s="41" t="s">
        <v>686</v>
      </c>
      <c r="B132" s="41" t="s">
        <v>109</v>
      </c>
      <c r="C132" s="42" t="s">
        <v>687</v>
      </c>
      <c r="D132" s="41" t="s">
        <v>688</v>
      </c>
      <c r="E132" s="42" t="s">
        <v>113</v>
      </c>
      <c r="F132" s="41" t="s">
        <v>187</v>
      </c>
      <c r="G132" s="43">
        <v>1.86</v>
      </c>
      <c r="H132" s="41" t="s">
        <v>96</v>
      </c>
      <c r="I132" s="41">
        <v>7842</v>
      </c>
      <c r="J132" s="41">
        <v>3692</v>
      </c>
      <c r="K132" s="41">
        <v>4150</v>
      </c>
    </row>
    <row r="133" spans="1:11" x14ac:dyDescent="0.25">
      <c r="A133" s="41" t="s">
        <v>689</v>
      </c>
      <c r="B133" s="41" t="s">
        <v>109</v>
      </c>
      <c r="C133" s="42" t="s">
        <v>690</v>
      </c>
      <c r="D133" s="41" t="s">
        <v>691</v>
      </c>
      <c r="E133" s="42" t="s">
        <v>692</v>
      </c>
      <c r="F133" s="41" t="s">
        <v>104</v>
      </c>
      <c r="G133" s="43">
        <v>1.85</v>
      </c>
      <c r="H133" s="41" t="s">
        <v>99</v>
      </c>
      <c r="I133" s="41">
        <v>2974</v>
      </c>
      <c r="J133" s="41">
        <v>1342</v>
      </c>
      <c r="K133" s="41">
        <v>1632</v>
      </c>
    </row>
    <row r="134" spans="1:11" x14ac:dyDescent="0.25">
      <c r="A134" s="41" t="s">
        <v>693</v>
      </c>
      <c r="B134" s="41" t="s">
        <v>236</v>
      </c>
      <c r="C134" s="42" t="s">
        <v>694</v>
      </c>
      <c r="D134" s="41" t="s">
        <v>695</v>
      </c>
      <c r="E134" s="42" t="s">
        <v>101</v>
      </c>
      <c r="F134" s="41" t="s">
        <v>161</v>
      </c>
      <c r="G134" s="43">
        <v>1.85</v>
      </c>
      <c r="H134" s="41" t="s">
        <v>96</v>
      </c>
      <c r="I134" s="41">
        <v>3217</v>
      </c>
      <c r="J134" s="41">
        <v>1535</v>
      </c>
      <c r="K134" s="41">
        <v>1682</v>
      </c>
    </row>
    <row r="135" spans="1:11" x14ac:dyDescent="0.25">
      <c r="A135" s="41" t="s">
        <v>696</v>
      </c>
      <c r="B135" s="41" t="s">
        <v>100</v>
      </c>
      <c r="C135" s="42" t="s">
        <v>697</v>
      </c>
      <c r="D135" s="41" t="s">
        <v>698</v>
      </c>
      <c r="E135" s="42" t="s">
        <v>699</v>
      </c>
      <c r="F135" s="41" t="s">
        <v>700</v>
      </c>
      <c r="G135" s="43">
        <v>1.85</v>
      </c>
      <c r="H135" s="41" t="s">
        <v>96</v>
      </c>
      <c r="I135" s="41">
        <v>3211</v>
      </c>
      <c r="J135" s="41">
        <v>1502</v>
      </c>
      <c r="K135" s="41">
        <v>1709</v>
      </c>
    </row>
    <row r="136" spans="1:11" x14ac:dyDescent="0.25">
      <c r="A136" s="41" t="s">
        <v>65</v>
      </c>
      <c r="B136" s="41" t="s">
        <v>106</v>
      </c>
      <c r="C136" s="42" t="s">
        <v>701</v>
      </c>
      <c r="D136" s="41" t="s">
        <v>702</v>
      </c>
      <c r="E136" s="42" t="s">
        <v>703</v>
      </c>
      <c r="F136" s="41" t="s">
        <v>159</v>
      </c>
      <c r="G136" s="43">
        <v>1.85</v>
      </c>
      <c r="H136" s="41" t="s">
        <v>99</v>
      </c>
      <c r="I136" s="41">
        <v>1119</v>
      </c>
      <c r="J136" s="41">
        <v>478</v>
      </c>
      <c r="K136" s="41">
        <v>641</v>
      </c>
    </row>
    <row r="137" spans="1:11" x14ac:dyDescent="0.25">
      <c r="A137" s="41" t="s">
        <v>62</v>
      </c>
      <c r="B137" s="41" t="s">
        <v>109</v>
      </c>
      <c r="C137" s="42" t="s">
        <v>704</v>
      </c>
      <c r="D137" s="41" t="s">
        <v>705</v>
      </c>
      <c r="E137" s="42" t="s">
        <v>706</v>
      </c>
      <c r="F137" s="41" t="s">
        <v>171</v>
      </c>
      <c r="G137" s="43">
        <v>1.85</v>
      </c>
      <c r="H137" s="41" t="s">
        <v>99</v>
      </c>
      <c r="I137" s="41">
        <v>1097</v>
      </c>
      <c r="J137" s="41">
        <v>489</v>
      </c>
      <c r="K137" s="41">
        <v>608</v>
      </c>
    </row>
    <row r="138" spans="1:11" x14ac:dyDescent="0.25">
      <c r="A138" s="41" t="s">
        <v>707</v>
      </c>
      <c r="B138" s="41" t="s">
        <v>109</v>
      </c>
      <c r="C138" s="42" t="s">
        <v>708</v>
      </c>
      <c r="D138" s="41" t="s">
        <v>709</v>
      </c>
      <c r="E138" s="42" t="s">
        <v>174</v>
      </c>
      <c r="F138" s="41" t="s">
        <v>151</v>
      </c>
      <c r="G138" s="43">
        <v>1.85</v>
      </c>
      <c r="H138" s="41" t="s">
        <v>99</v>
      </c>
      <c r="I138" s="41">
        <v>1401</v>
      </c>
      <c r="J138" s="41">
        <v>651</v>
      </c>
      <c r="K138" s="41">
        <v>751</v>
      </c>
    </row>
    <row r="139" spans="1:11" x14ac:dyDescent="0.25">
      <c r="A139" s="41" t="s">
        <v>710</v>
      </c>
      <c r="B139" s="41" t="s">
        <v>109</v>
      </c>
      <c r="C139" s="42" t="s">
        <v>711</v>
      </c>
      <c r="D139" s="41" t="s">
        <v>712</v>
      </c>
      <c r="E139" s="42" t="s">
        <v>713</v>
      </c>
      <c r="F139" s="41" t="s">
        <v>202</v>
      </c>
      <c r="G139" s="43">
        <v>1.85</v>
      </c>
      <c r="H139" s="41" t="s">
        <v>99</v>
      </c>
      <c r="I139" s="41">
        <v>1380</v>
      </c>
      <c r="J139" s="41">
        <v>584</v>
      </c>
      <c r="K139" s="41">
        <v>797</v>
      </c>
    </row>
    <row r="140" spans="1:11" x14ac:dyDescent="0.25">
      <c r="A140" s="41" t="s">
        <v>714</v>
      </c>
      <c r="B140" s="41" t="s">
        <v>106</v>
      </c>
      <c r="C140" s="42" t="s">
        <v>715</v>
      </c>
      <c r="D140" s="41" t="s">
        <v>716</v>
      </c>
      <c r="E140" s="42" t="s">
        <v>261</v>
      </c>
      <c r="F140" s="41" t="s">
        <v>119</v>
      </c>
      <c r="G140" s="43">
        <v>1.85</v>
      </c>
      <c r="H140" s="41" t="s">
        <v>99</v>
      </c>
      <c r="I140" s="41">
        <v>1648</v>
      </c>
      <c r="J140" s="41">
        <v>725</v>
      </c>
      <c r="K140" s="41">
        <v>922</v>
      </c>
    </row>
    <row r="141" spans="1:11" x14ac:dyDescent="0.25">
      <c r="A141" s="41" t="s">
        <v>717</v>
      </c>
      <c r="B141" s="41" t="s">
        <v>123</v>
      </c>
      <c r="C141" s="42" t="s">
        <v>718</v>
      </c>
      <c r="D141" s="41" t="s">
        <v>719</v>
      </c>
      <c r="E141" s="42" t="s">
        <v>720</v>
      </c>
      <c r="F141" s="41" t="s">
        <v>151</v>
      </c>
      <c r="G141" s="43">
        <v>1.83</v>
      </c>
      <c r="H141" s="41" t="s">
        <v>99</v>
      </c>
      <c r="I141" s="41">
        <v>1692</v>
      </c>
      <c r="J141" s="41">
        <v>770</v>
      </c>
      <c r="K141" s="41">
        <v>921</v>
      </c>
    </row>
    <row r="142" spans="1:11" x14ac:dyDescent="0.25">
      <c r="A142" s="41" t="s">
        <v>721</v>
      </c>
      <c r="B142" s="41" t="s">
        <v>722</v>
      </c>
      <c r="C142" s="42" t="s">
        <v>723</v>
      </c>
      <c r="D142" s="41" t="s">
        <v>137</v>
      </c>
      <c r="E142" s="42" t="s">
        <v>351</v>
      </c>
      <c r="F142" s="41" t="s">
        <v>149</v>
      </c>
      <c r="G142" s="43">
        <v>1.8</v>
      </c>
      <c r="H142" s="41" t="s">
        <v>117</v>
      </c>
      <c r="I142" s="41">
        <v>1688</v>
      </c>
      <c r="J142" s="41">
        <v>828</v>
      </c>
      <c r="K142" s="41">
        <v>860</v>
      </c>
    </row>
    <row r="143" spans="1:11" x14ac:dyDescent="0.25">
      <c r="A143" s="41" t="s">
        <v>724</v>
      </c>
      <c r="B143" s="41" t="s">
        <v>109</v>
      </c>
      <c r="C143" s="42" t="s">
        <v>725</v>
      </c>
      <c r="D143" s="41" t="s">
        <v>394</v>
      </c>
      <c r="E143" s="42" t="s">
        <v>726</v>
      </c>
      <c r="F143" s="41" t="s">
        <v>266</v>
      </c>
      <c r="G143" s="43">
        <v>1.8</v>
      </c>
      <c r="H143" s="41" t="s">
        <v>99</v>
      </c>
      <c r="I143" s="41">
        <v>1436</v>
      </c>
      <c r="J143" s="41">
        <v>703</v>
      </c>
      <c r="K143" s="41">
        <v>733</v>
      </c>
    </row>
    <row r="144" spans="1:11" x14ac:dyDescent="0.25">
      <c r="A144" s="41" t="s">
        <v>60</v>
      </c>
      <c r="B144" s="41" t="s">
        <v>727</v>
      </c>
      <c r="C144" s="42" t="s">
        <v>728</v>
      </c>
      <c r="D144" s="41" t="s">
        <v>729</v>
      </c>
      <c r="E144" s="42" t="s">
        <v>730</v>
      </c>
      <c r="F144" s="41" t="s">
        <v>116</v>
      </c>
      <c r="G144" s="43">
        <v>1.8</v>
      </c>
      <c r="H144" s="41" t="s">
        <v>117</v>
      </c>
      <c r="I144" s="41">
        <v>2399</v>
      </c>
      <c r="J144" s="41">
        <v>1106</v>
      </c>
      <c r="K144" s="41">
        <v>1293</v>
      </c>
    </row>
    <row r="145" spans="1:11" x14ac:dyDescent="0.25">
      <c r="A145" s="41" t="s">
        <v>55</v>
      </c>
      <c r="B145" s="41" t="s">
        <v>201</v>
      </c>
      <c r="C145" s="42" t="s">
        <v>731</v>
      </c>
      <c r="D145" s="41" t="s">
        <v>732</v>
      </c>
      <c r="E145" s="42" t="s">
        <v>140</v>
      </c>
      <c r="F145" s="41" t="s">
        <v>141</v>
      </c>
      <c r="G145" s="43">
        <v>1.8</v>
      </c>
      <c r="H145" s="41" t="s">
        <v>99</v>
      </c>
      <c r="I145" s="41">
        <v>1811</v>
      </c>
      <c r="J145" s="41">
        <v>815</v>
      </c>
      <c r="K145" s="41">
        <v>996</v>
      </c>
    </row>
    <row r="146" spans="1:11" x14ac:dyDescent="0.25">
      <c r="A146" s="41" t="s">
        <v>733</v>
      </c>
      <c r="B146" s="41" t="s">
        <v>109</v>
      </c>
      <c r="C146" s="42" t="s">
        <v>734</v>
      </c>
      <c r="D146" s="41" t="s">
        <v>735</v>
      </c>
      <c r="E146" s="42" t="s">
        <v>278</v>
      </c>
      <c r="F146" s="41" t="s">
        <v>98</v>
      </c>
      <c r="G146" s="43">
        <v>1.8</v>
      </c>
      <c r="H146" s="41" t="s">
        <v>96</v>
      </c>
      <c r="I146" s="41">
        <v>3258</v>
      </c>
      <c r="J146" s="41">
        <v>1528</v>
      </c>
      <c r="K146" s="41">
        <v>1730</v>
      </c>
    </row>
    <row r="147" spans="1:11" x14ac:dyDescent="0.25">
      <c r="A147" s="41" t="s">
        <v>736</v>
      </c>
      <c r="B147" s="41" t="s">
        <v>145</v>
      </c>
      <c r="C147" s="42" t="s">
        <v>737</v>
      </c>
      <c r="D147" s="41" t="s">
        <v>738</v>
      </c>
      <c r="E147" s="42" t="s">
        <v>154</v>
      </c>
      <c r="F147" s="41" t="s">
        <v>739</v>
      </c>
      <c r="G147" s="43">
        <v>1.8</v>
      </c>
      <c r="H147" s="41" t="s">
        <v>96</v>
      </c>
      <c r="I147" s="41">
        <v>3009</v>
      </c>
      <c r="J147" s="41">
        <v>1393</v>
      </c>
      <c r="K147" s="41">
        <v>1616</v>
      </c>
    </row>
    <row r="148" spans="1:11" x14ac:dyDescent="0.25">
      <c r="A148" s="41" t="s">
        <v>740</v>
      </c>
      <c r="B148" s="41" t="s">
        <v>741</v>
      </c>
      <c r="C148" s="42" t="s">
        <v>381</v>
      </c>
      <c r="D148" s="41" t="s">
        <v>587</v>
      </c>
      <c r="E148" s="42" t="s">
        <v>742</v>
      </c>
      <c r="F148" s="41" t="s">
        <v>141</v>
      </c>
      <c r="G148" s="43">
        <v>1.8</v>
      </c>
      <c r="H148" s="41" t="s">
        <v>99</v>
      </c>
      <c r="I148" s="41">
        <v>1069</v>
      </c>
      <c r="J148" s="41">
        <v>485</v>
      </c>
      <c r="K148" s="41">
        <v>584</v>
      </c>
    </row>
    <row r="149" spans="1:11" x14ac:dyDescent="0.25">
      <c r="A149" s="41" t="s">
        <v>743</v>
      </c>
      <c r="B149" s="41" t="s">
        <v>109</v>
      </c>
      <c r="C149" s="42" t="s">
        <v>744</v>
      </c>
      <c r="D149" s="41" t="s">
        <v>745</v>
      </c>
      <c r="E149" s="42" t="s">
        <v>746</v>
      </c>
      <c r="F149" s="41" t="s">
        <v>202</v>
      </c>
      <c r="G149" s="43">
        <v>1.8</v>
      </c>
      <c r="H149" s="41" t="s">
        <v>99</v>
      </c>
      <c r="I149" s="41">
        <v>1711</v>
      </c>
      <c r="J149" s="41">
        <v>755</v>
      </c>
      <c r="K149" s="41">
        <v>956</v>
      </c>
    </row>
    <row r="150" spans="1:11" x14ac:dyDescent="0.25">
      <c r="A150" s="41" t="s">
        <v>747</v>
      </c>
      <c r="B150" s="41" t="s">
        <v>109</v>
      </c>
      <c r="C150" s="42" t="s">
        <v>748</v>
      </c>
      <c r="D150" s="41" t="s">
        <v>749</v>
      </c>
      <c r="E150" s="42" t="s">
        <v>750</v>
      </c>
      <c r="F150" s="41" t="s">
        <v>495</v>
      </c>
      <c r="G150" s="43">
        <v>1.8</v>
      </c>
      <c r="H150" s="41" t="s">
        <v>99</v>
      </c>
      <c r="I150" s="41">
        <v>11454</v>
      </c>
      <c r="J150" s="41">
        <v>5561</v>
      </c>
      <c r="K150" s="41">
        <v>5892</v>
      </c>
    </row>
    <row r="151" spans="1:11" x14ac:dyDescent="0.25">
      <c r="A151" s="41" t="s">
        <v>751</v>
      </c>
      <c r="B151" s="41" t="s">
        <v>109</v>
      </c>
      <c r="C151" s="42" t="s">
        <v>752</v>
      </c>
      <c r="D151" s="41" t="s">
        <v>137</v>
      </c>
      <c r="E151" s="42" t="s">
        <v>186</v>
      </c>
      <c r="F151" s="41" t="s">
        <v>119</v>
      </c>
      <c r="G151" s="43">
        <v>1.8</v>
      </c>
      <c r="H151" s="41" t="s">
        <v>99</v>
      </c>
      <c r="I151" s="41">
        <v>1496</v>
      </c>
      <c r="J151" s="41">
        <v>635</v>
      </c>
      <c r="K151" s="41">
        <v>861</v>
      </c>
    </row>
    <row r="152" spans="1:11" x14ac:dyDescent="0.25">
      <c r="A152" s="41" t="s">
        <v>753</v>
      </c>
      <c r="B152" s="41" t="s">
        <v>131</v>
      </c>
      <c r="C152" s="42" t="s">
        <v>754</v>
      </c>
      <c r="D152" s="41" t="s">
        <v>755</v>
      </c>
      <c r="E152" s="42" t="s">
        <v>374</v>
      </c>
      <c r="F152" s="41" t="s">
        <v>119</v>
      </c>
      <c r="G152" s="43">
        <v>1.79</v>
      </c>
      <c r="H152" s="41" t="s">
        <v>99</v>
      </c>
      <c r="I152" s="41">
        <v>1910</v>
      </c>
      <c r="J152" s="41">
        <v>857</v>
      </c>
      <c r="K152" s="41">
        <v>1053</v>
      </c>
    </row>
    <row r="153" spans="1:11" x14ac:dyDescent="0.25">
      <c r="A153" s="41" t="s">
        <v>756</v>
      </c>
      <c r="B153" s="41" t="s">
        <v>131</v>
      </c>
      <c r="C153" s="42" t="s">
        <v>757</v>
      </c>
      <c r="D153" s="41" t="s">
        <v>758</v>
      </c>
      <c r="E153" s="42" t="s">
        <v>261</v>
      </c>
      <c r="F153" s="41" t="s">
        <v>182</v>
      </c>
      <c r="G153" s="43">
        <v>1.78</v>
      </c>
      <c r="H153" s="41" t="s">
        <v>96</v>
      </c>
      <c r="I153" s="41">
        <v>1120</v>
      </c>
      <c r="J153" s="41">
        <v>494</v>
      </c>
      <c r="K153" s="41">
        <v>626</v>
      </c>
    </row>
    <row r="154" spans="1:11" x14ac:dyDescent="0.25">
      <c r="A154" s="41" t="s">
        <v>63</v>
      </c>
      <c r="B154" s="41" t="s">
        <v>188</v>
      </c>
      <c r="C154" s="42" t="s">
        <v>759</v>
      </c>
      <c r="D154" s="41" t="s">
        <v>760</v>
      </c>
      <c r="E154" s="42" t="s">
        <v>761</v>
      </c>
      <c r="F154" s="41" t="s">
        <v>171</v>
      </c>
      <c r="G154" s="43">
        <v>1.77</v>
      </c>
      <c r="H154" s="41" t="s">
        <v>96</v>
      </c>
      <c r="I154" s="41">
        <v>2405</v>
      </c>
      <c r="J154" s="41">
        <v>1120</v>
      </c>
      <c r="K154" s="41">
        <v>1285</v>
      </c>
    </row>
    <row r="155" spans="1:11" x14ac:dyDescent="0.25">
      <c r="A155" s="41" t="s">
        <v>762</v>
      </c>
      <c r="B155" s="41" t="s">
        <v>109</v>
      </c>
      <c r="C155" s="42" t="s">
        <v>233</v>
      </c>
      <c r="D155" s="41" t="s">
        <v>763</v>
      </c>
      <c r="E155" s="42" t="s">
        <v>150</v>
      </c>
      <c r="F155" s="41" t="s">
        <v>119</v>
      </c>
      <c r="G155" s="43">
        <v>1.75</v>
      </c>
      <c r="H155" s="41" t="s">
        <v>99</v>
      </c>
      <c r="I155" s="41">
        <v>696</v>
      </c>
      <c r="J155" s="41">
        <v>305</v>
      </c>
      <c r="K155" s="41">
        <v>391</v>
      </c>
    </row>
    <row r="156" spans="1:11" x14ac:dyDescent="0.25">
      <c r="A156" s="41" t="s">
        <v>44</v>
      </c>
      <c r="B156" s="41" t="s">
        <v>204</v>
      </c>
      <c r="C156" s="42" t="s">
        <v>764</v>
      </c>
      <c r="D156" s="41" t="s">
        <v>147</v>
      </c>
      <c r="E156" s="42" t="s">
        <v>113</v>
      </c>
      <c r="F156" s="41" t="s">
        <v>190</v>
      </c>
      <c r="G156" s="43">
        <v>1.75</v>
      </c>
      <c r="H156" s="41" t="s">
        <v>96</v>
      </c>
      <c r="I156" s="41">
        <v>3956</v>
      </c>
      <c r="J156" s="41">
        <v>1897</v>
      </c>
      <c r="K156" s="41">
        <v>2059</v>
      </c>
    </row>
    <row r="157" spans="1:11" x14ac:dyDescent="0.25">
      <c r="A157" s="41" t="s">
        <v>765</v>
      </c>
      <c r="B157" s="41" t="s">
        <v>160</v>
      </c>
      <c r="C157" s="42" t="s">
        <v>766</v>
      </c>
      <c r="D157" s="41" t="s">
        <v>200</v>
      </c>
      <c r="E157" s="42" t="s">
        <v>767</v>
      </c>
      <c r="F157" s="41" t="s">
        <v>161</v>
      </c>
      <c r="G157" s="43">
        <v>1.7</v>
      </c>
      <c r="H157" s="41" t="s">
        <v>96</v>
      </c>
      <c r="I157" s="41">
        <v>2466</v>
      </c>
      <c r="J157" s="41">
        <v>1238</v>
      </c>
      <c r="K157" s="41">
        <v>1228</v>
      </c>
    </row>
    <row r="158" spans="1:11" x14ac:dyDescent="0.25">
      <c r="A158" s="41" t="s">
        <v>768</v>
      </c>
      <c r="B158" s="41" t="s">
        <v>120</v>
      </c>
      <c r="C158" s="42" t="s">
        <v>769</v>
      </c>
      <c r="D158" s="41" t="s">
        <v>770</v>
      </c>
      <c r="E158" s="42" t="s">
        <v>426</v>
      </c>
      <c r="F158" s="41" t="s">
        <v>119</v>
      </c>
      <c r="G158" s="43">
        <v>1.7</v>
      </c>
      <c r="H158" s="41" t="s">
        <v>99</v>
      </c>
      <c r="I158" s="41">
        <v>1266</v>
      </c>
      <c r="J158" s="41">
        <v>574</v>
      </c>
      <c r="K158" s="41">
        <v>692</v>
      </c>
    </row>
    <row r="159" spans="1:11" x14ac:dyDescent="0.25">
      <c r="A159" s="41" t="s">
        <v>771</v>
      </c>
      <c r="B159" s="41" t="s">
        <v>109</v>
      </c>
      <c r="C159" s="42" t="s">
        <v>772</v>
      </c>
      <c r="D159" s="41" t="s">
        <v>773</v>
      </c>
      <c r="E159" s="42" t="s">
        <v>176</v>
      </c>
      <c r="F159" s="41" t="s">
        <v>141</v>
      </c>
      <c r="G159" s="43">
        <v>1.7</v>
      </c>
      <c r="H159" s="41" t="s">
        <v>99</v>
      </c>
      <c r="I159" s="41">
        <v>848</v>
      </c>
      <c r="J159" s="41">
        <v>397</v>
      </c>
      <c r="K159" s="41">
        <v>451</v>
      </c>
    </row>
    <row r="160" spans="1:11" x14ac:dyDescent="0.25">
      <c r="A160" s="41" t="s">
        <v>774</v>
      </c>
      <c r="B160" s="41" t="s">
        <v>188</v>
      </c>
      <c r="C160" s="42" t="s">
        <v>775</v>
      </c>
      <c r="D160" s="41" t="s">
        <v>776</v>
      </c>
      <c r="E160" s="42" t="s">
        <v>533</v>
      </c>
      <c r="F160" s="41" t="s">
        <v>192</v>
      </c>
      <c r="G160" s="43">
        <v>1.7</v>
      </c>
      <c r="H160" s="41" t="s">
        <v>112</v>
      </c>
      <c r="I160" s="41">
        <v>762</v>
      </c>
      <c r="J160" s="41">
        <v>403</v>
      </c>
      <c r="K160" s="41">
        <v>359</v>
      </c>
    </row>
    <row r="161" spans="1:11" x14ac:dyDescent="0.25">
      <c r="A161" s="41" t="s">
        <v>777</v>
      </c>
      <c r="B161" s="41" t="s">
        <v>109</v>
      </c>
      <c r="C161" s="42" t="s">
        <v>778</v>
      </c>
      <c r="D161" s="41" t="s">
        <v>779</v>
      </c>
      <c r="E161" s="42" t="s">
        <v>780</v>
      </c>
      <c r="F161" s="41" t="s">
        <v>266</v>
      </c>
      <c r="G161" s="43">
        <v>1.7</v>
      </c>
      <c r="H161" s="41" t="s">
        <v>96</v>
      </c>
      <c r="I161" s="41">
        <v>4018</v>
      </c>
      <c r="J161" s="41">
        <v>1916</v>
      </c>
      <c r="K161" s="41">
        <v>2102</v>
      </c>
    </row>
    <row r="162" spans="1:11" x14ac:dyDescent="0.25">
      <c r="A162" s="41" t="s">
        <v>781</v>
      </c>
      <c r="B162" s="41" t="s">
        <v>131</v>
      </c>
      <c r="C162" s="42" t="s">
        <v>178</v>
      </c>
      <c r="D162" s="41" t="s">
        <v>782</v>
      </c>
      <c r="E162" s="42" t="s">
        <v>148</v>
      </c>
      <c r="F162" s="41" t="s">
        <v>197</v>
      </c>
      <c r="G162" s="43">
        <v>1.65</v>
      </c>
      <c r="H162" s="41" t="s">
        <v>96</v>
      </c>
      <c r="I162" s="41">
        <v>7161</v>
      </c>
      <c r="J162" s="41">
        <v>3421</v>
      </c>
      <c r="K162" s="41">
        <v>3740</v>
      </c>
    </row>
    <row r="163" spans="1:11" x14ac:dyDescent="0.25">
      <c r="A163" s="41" t="s">
        <v>783</v>
      </c>
      <c r="B163" s="41" t="s">
        <v>109</v>
      </c>
      <c r="C163" s="42" t="s">
        <v>784</v>
      </c>
      <c r="D163" s="41" t="s">
        <v>785</v>
      </c>
      <c r="E163" s="42" t="s">
        <v>786</v>
      </c>
      <c r="F163" s="41" t="s">
        <v>171</v>
      </c>
      <c r="G163" s="43">
        <v>1.65</v>
      </c>
      <c r="H163" s="41" t="s">
        <v>99</v>
      </c>
      <c r="I163" s="41">
        <v>632</v>
      </c>
      <c r="J163" s="41">
        <v>284</v>
      </c>
      <c r="K163" s="41">
        <v>347</v>
      </c>
    </row>
    <row r="164" spans="1:11" x14ac:dyDescent="0.25">
      <c r="A164" s="41" t="s">
        <v>787</v>
      </c>
      <c r="B164" s="41" t="s">
        <v>131</v>
      </c>
      <c r="C164" s="42" t="s">
        <v>788</v>
      </c>
      <c r="D164" s="41" t="s">
        <v>360</v>
      </c>
      <c r="E164" s="42" t="s">
        <v>789</v>
      </c>
      <c r="F164" s="41" t="s">
        <v>171</v>
      </c>
      <c r="G164" s="43">
        <v>1.6</v>
      </c>
      <c r="H164" s="41" t="s">
        <v>99</v>
      </c>
      <c r="I164" s="41">
        <v>926</v>
      </c>
      <c r="J164" s="41">
        <v>404</v>
      </c>
      <c r="K164" s="41">
        <v>522</v>
      </c>
    </row>
    <row r="165" spans="1:11" x14ac:dyDescent="0.25">
      <c r="A165" s="41" t="s">
        <v>790</v>
      </c>
      <c r="B165" s="41" t="s">
        <v>791</v>
      </c>
      <c r="C165" s="42" t="s">
        <v>792</v>
      </c>
      <c r="D165" s="41" t="s">
        <v>793</v>
      </c>
      <c r="E165" s="42" t="s">
        <v>794</v>
      </c>
      <c r="F165" s="41" t="s">
        <v>795</v>
      </c>
      <c r="G165" s="43">
        <v>1.6</v>
      </c>
      <c r="H165" s="41" t="s">
        <v>99</v>
      </c>
      <c r="I165" s="41">
        <v>5941</v>
      </c>
      <c r="J165" s="41">
        <v>2806</v>
      </c>
      <c r="K165" s="41">
        <v>3134</v>
      </c>
    </row>
    <row r="166" spans="1:11" x14ac:dyDescent="0.25">
      <c r="A166" s="41" t="s">
        <v>796</v>
      </c>
      <c r="B166" s="41" t="s">
        <v>160</v>
      </c>
      <c r="C166" s="42" t="s">
        <v>797</v>
      </c>
      <c r="D166" s="41" t="s">
        <v>798</v>
      </c>
      <c r="E166" s="42" t="s">
        <v>125</v>
      </c>
      <c r="F166" s="41" t="s">
        <v>171</v>
      </c>
      <c r="G166" s="43">
        <v>1.6</v>
      </c>
      <c r="H166" s="41" t="s">
        <v>96</v>
      </c>
      <c r="I166" s="41">
        <v>2396</v>
      </c>
      <c r="J166" s="41">
        <v>1113</v>
      </c>
      <c r="K166" s="41">
        <v>1283</v>
      </c>
    </row>
    <row r="167" spans="1:11" x14ac:dyDescent="0.25">
      <c r="A167" s="41" t="s">
        <v>53</v>
      </c>
      <c r="B167" s="41" t="s">
        <v>131</v>
      </c>
      <c r="C167" s="42" t="s">
        <v>799</v>
      </c>
      <c r="D167" s="41" t="s">
        <v>800</v>
      </c>
      <c r="E167" s="42" t="s">
        <v>801</v>
      </c>
      <c r="F167" s="41" t="s">
        <v>116</v>
      </c>
      <c r="G167" s="43">
        <v>1.6</v>
      </c>
      <c r="H167" s="41" t="s">
        <v>99</v>
      </c>
      <c r="I167" s="41">
        <v>993</v>
      </c>
      <c r="J167" s="41">
        <v>469</v>
      </c>
      <c r="K167" s="41">
        <v>524</v>
      </c>
    </row>
    <row r="168" spans="1:11" x14ac:dyDescent="0.25">
      <c r="A168" s="41" t="s">
        <v>49</v>
      </c>
      <c r="B168" s="41" t="s">
        <v>109</v>
      </c>
      <c r="C168" s="42" t="s">
        <v>802</v>
      </c>
      <c r="D168" s="41" t="s">
        <v>398</v>
      </c>
      <c r="E168" s="42" t="s">
        <v>803</v>
      </c>
      <c r="F168" s="41" t="s">
        <v>244</v>
      </c>
      <c r="G168" s="43">
        <v>1.56</v>
      </c>
      <c r="H168" s="41" t="s">
        <v>96</v>
      </c>
      <c r="I168" s="41">
        <v>1210</v>
      </c>
      <c r="J168" s="41">
        <v>673</v>
      </c>
      <c r="K168" s="41">
        <v>537</v>
      </c>
    </row>
    <row r="169" spans="1:11" x14ac:dyDescent="0.25">
      <c r="A169" s="41" t="s">
        <v>46</v>
      </c>
      <c r="B169" s="41" t="s">
        <v>131</v>
      </c>
      <c r="C169" s="42" t="s">
        <v>804</v>
      </c>
      <c r="D169" s="41" t="s">
        <v>805</v>
      </c>
      <c r="E169" s="42" t="s">
        <v>127</v>
      </c>
      <c r="F169" s="41" t="s">
        <v>806</v>
      </c>
      <c r="G169" s="43">
        <v>1.55</v>
      </c>
      <c r="H169" s="41" t="s">
        <v>112</v>
      </c>
      <c r="I169" s="41">
        <v>1397</v>
      </c>
      <c r="J169" s="41">
        <v>627</v>
      </c>
      <c r="K169" s="41">
        <v>770</v>
      </c>
    </row>
    <row r="170" spans="1:11" x14ac:dyDescent="0.25">
      <c r="A170" s="41" t="s">
        <v>807</v>
      </c>
      <c r="B170" s="41" t="s">
        <v>131</v>
      </c>
      <c r="C170" s="42" t="s">
        <v>808</v>
      </c>
      <c r="D170" s="41" t="s">
        <v>809</v>
      </c>
      <c r="E170" s="42" t="s">
        <v>150</v>
      </c>
      <c r="F170" s="41" t="s">
        <v>202</v>
      </c>
      <c r="G170" s="43">
        <v>1.54</v>
      </c>
      <c r="H170" s="41" t="s">
        <v>99</v>
      </c>
      <c r="I170" s="41">
        <v>1530</v>
      </c>
      <c r="J170" s="41">
        <v>745</v>
      </c>
      <c r="K170" s="41">
        <v>784</v>
      </c>
    </row>
    <row r="171" spans="1:11" x14ac:dyDescent="0.25">
      <c r="A171" s="41" t="s">
        <v>810</v>
      </c>
      <c r="B171" s="41" t="s">
        <v>109</v>
      </c>
      <c r="C171" s="42" t="s">
        <v>811</v>
      </c>
      <c r="D171" s="41" t="s">
        <v>812</v>
      </c>
      <c r="E171" s="42" t="s">
        <v>813</v>
      </c>
      <c r="F171" s="41" t="s">
        <v>814</v>
      </c>
      <c r="G171" s="43">
        <v>1.52</v>
      </c>
      <c r="H171" s="41" t="s">
        <v>96</v>
      </c>
      <c r="I171" s="41">
        <v>1365</v>
      </c>
      <c r="J171" s="41">
        <v>688</v>
      </c>
      <c r="K171" s="41">
        <v>677</v>
      </c>
    </row>
    <row r="172" spans="1:11" x14ac:dyDescent="0.25">
      <c r="A172" s="41" t="s">
        <v>815</v>
      </c>
      <c r="B172" s="41" t="s">
        <v>109</v>
      </c>
      <c r="C172" s="42" t="s">
        <v>816</v>
      </c>
      <c r="D172" s="41" t="s">
        <v>817</v>
      </c>
      <c r="E172" s="42" t="s">
        <v>105</v>
      </c>
      <c r="F172" s="41" t="s">
        <v>167</v>
      </c>
      <c r="G172" s="43">
        <v>1.5</v>
      </c>
      <c r="H172" s="41" t="s">
        <v>99</v>
      </c>
      <c r="I172" s="41">
        <v>2317</v>
      </c>
      <c r="J172" s="41">
        <v>1092</v>
      </c>
      <c r="K172" s="41">
        <v>1225</v>
      </c>
    </row>
    <row r="173" spans="1:11" x14ac:dyDescent="0.25">
      <c r="A173" s="41" t="s">
        <v>818</v>
      </c>
      <c r="B173" s="41" t="s">
        <v>106</v>
      </c>
      <c r="C173" s="42" t="s">
        <v>819</v>
      </c>
      <c r="D173" s="41" t="s">
        <v>820</v>
      </c>
      <c r="E173" s="42" t="s">
        <v>261</v>
      </c>
      <c r="F173" s="41" t="s">
        <v>159</v>
      </c>
      <c r="G173" s="43">
        <v>1.5</v>
      </c>
      <c r="H173" s="41" t="s">
        <v>99</v>
      </c>
      <c r="I173" s="41">
        <v>2127</v>
      </c>
      <c r="J173" s="41">
        <v>958</v>
      </c>
      <c r="K173" s="41">
        <v>1169</v>
      </c>
    </row>
    <row r="174" spans="1:11" x14ac:dyDescent="0.25">
      <c r="A174" s="41" t="s">
        <v>821</v>
      </c>
      <c r="B174" s="41" t="s">
        <v>131</v>
      </c>
      <c r="C174" s="42" t="s">
        <v>822</v>
      </c>
      <c r="D174" s="41" t="s">
        <v>139</v>
      </c>
      <c r="E174" s="42" t="s">
        <v>288</v>
      </c>
      <c r="F174" s="41" t="s">
        <v>119</v>
      </c>
      <c r="G174" s="43">
        <v>1.5</v>
      </c>
      <c r="H174" s="41" t="s">
        <v>99</v>
      </c>
      <c r="I174" s="41">
        <v>502</v>
      </c>
      <c r="J174" s="41">
        <v>223</v>
      </c>
      <c r="K174" s="41">
        <v>279</v>
      </c>
    </row>
    <row r="175" spans="1:11" x14ac:dyDescent="0.25">
      <c r="A175" s="41" t="s">
        <v>823</v>
      </c>
      <c r="B175" s="41" t="s">
        <v>131</v>
      </c>
      <c r="C175" s="42" t="s">
        <v>824</v>
      </c>
      <c r="D175" s="41" t="s">
        <v>825</v>
      </c>
      <c r="E175" s="42" t="s">
        <v>826</v>
      </c>
      <c r="F175" s="41" t="s">
        <v>182</v>
      </c>
      <c r="G175" s="43">
        <v>1.48</v>
      </c>
      <c r="H175" s="41" t="s">
        <v>99</v>
      </c>
      <c r="I175" s="41">
        <v>1358</v>
      </c>
      <c r="J175" s="41">
        <v>623</v>
      </c>
      <c r="K175" s="41">
        <v>735</v>
      </c>
    </row>
    <row r="176" spans="1:11" x14ac:dyDescent="0.25">
      <c r="A176" s="41" t="s">
        <v>827</v>
      </c>
      <c r="B176" s="41" t="s">
        <v>195</v>
      </c>
      <c r="C176" s="42" t="s">
        <v>828</v>
      </c>
      <c r="D176" s="41" t="s">
        <v>829</v>
      </c>
      <c r="E176" s="42" t="s">
        <v>330</v>
      </c>
      <c r="F176" s="41" t="s">
        <v>173</v>
      </c>
      <c r="G176" s="43">
        <v>1.4</v>
      </c>
      <c r="H176" s="41" t="s">
        <v>112</v>
      </c>
      <c r="I176" s="41">
        <v>2239</v>
      </c>
      <c r="J176" s="41">
        <v>1107</v>
      </c>
      <c r="K176" s="41">
        <v>1131</v>
      </c>
    </row>
    <row r="177" spans="1:11" x14ac:dyDescent="0.25">
      <c r="A177" s="41" t="s">
        <v>830</v>
      </c>
      <c r="B177" s="41" t="s">
        <v>741</v>
      </c>
      <c r="C177" s="42" t="s">
        <v>831</v>
      </c>
      <c r="D177" s="41" t="s">
        <v>832</v>
      </c>
      <c r="E177" s="42" t="s">
        <v>374</v>
      </c>
      <c r="F177" s="41" t="s">
        <v>182</v>
      </c>
      <c r="G177" s="43">
        <v>1.38</v>
      </c>
      <c r="H177" s="41" t="s">
        <v>99</v>
      </c>
      <c r="I177" s="41">
        <v>893</v>
      </c>
      <c r="J177" s="41">
        <v>419</v>
      </c>
      <c r="K177" s="41">
        <v>474</v>
      </c>
    </row>
    <row r="178" spans="1:11" x14ac:dyDescent="0.25">
      <c r="A178" s="41" t="s">
        <v>833</v>
      </c>
      <c r="B178" s="41" t="s">
        <v>123</v>
      </c>
      <c r="C178" s="42" t="s">
        <v>834</v>
      </c>
      <c r="D178" s="41" t="s">
        <v>220</v>
      </c>
      <c r="E178" s="42" t="s">
        <v>261</v>
      </c>
      <c r="F178" s="41" t="s">
        <v>164</v>
      </c>
      <c r="G178" s="43">
        <v>1.38</v>
      </c>
      <c r="H178" s="41" t="s">
        <v>96</v>
      </c>
      <c r="I178" s="41">
        <v>474</v>
      </c>
      <c r="J178" s="41">
        <v>219</v>
      </c>
      <c r="K178" s="41">
        <v>255</v>
      </c>
    </row>
    <row r="179" spans="1:11" x14ac:dyDescent="0.25">
      <c r="A179" s="41" t="s">
        <v>835</v>
      </c>
      <c r="B179" s="41" t="s">
        <v>131</v>
      </c>
      <c r="C179" s="42" t="s">
        <v>836</v>
      </c>
      <c r="D179" s="41" t="s">
        <v>350</v>
      </c>
      <c r="E179" s="42" t="s">
        <v>837</v>
      </c>
      <c r="F179" s="41" t="s">
        <v>141</v>
      </c>
      <c r="G179" s="43">
        <v>1.37</v>
      </c>
      <c r="H179" s="41" t="s">
        <v>99</v>
      </c>
      <c r="I179" s="41">
        <v>974</v>
      </c>
      <c r="J179" s="41">
        <v>436</v>
      </c>
      <c r="K179" s="41">
        <v>537</v>
      </c>
    </row>
    <row r="180" spans="1:11" x14ac:dyDescent="0.25">
      <c r="A180" s="41" t="s">
        <v>838</v>
      </c>
      <c r="B180" s="41" t="s">
        <v>109</v>
      </c>
      <c r="C180" s="42" t="s">
        <v>839</v>
      </c>
      <c r="D180" s="41" t="s">
        <v>840</v>
      </c>
      <c r="E180" s="42" t="s">
        <v>841</v>
      </c>
      <c r="F180" s="41" t="s">
        <v>202</v>
      </c>
      <c r="G180" s="43">
        <v>1.35</v>
      </c>
      <c r="H180" s="41" t="s">
        <v>99</v>
      </c>
      <c r="I180" s="41">
        <v>1299</v>
      </c>
      <c r="J180" s="41">
        <v>607</v>
      </c>
      <c r="K180" s="41">
        <v>692</v>
      </c>
    </row>
    <row r="181" spans="1:11" x14ac:dyDescent="0.25">
      <c r="A181" s="41" t="s">
        <v>32</v>
      </c>
      <c r="B181" s="41" t="s">
        <v>95</v>
      </c>
      <c r="C181" s="42" t="s">
        <v>842</v>
      </c>
      <c r="D181" s="41" t="s">
        <v>843</v>
      </c>
      <c r="E181" s="42" t="s">
        <v>154</v>
      </c>
      <c r="F181" s="41" t="s">
        <v>844</v>
      </c>
      <c r="G181" s="43">
        <v>1.3</v>
      </c>
      <c r="H181" s="41" t="s">
        <v>96</v>
      </c>
      <c r="I181" s="41">
        <v>1175</v>
      </c>
      <c r="J181" s="41">
        <v>569</v>
      </c>
      <c r="K181" s="41">
        <v>607</v>
      </c>
    </row>
    <row r="182" spans="1:11" x14ac:dyDescent="0.25">
      <c r="A182" s="41" t="s">
        <v>846</v>
      </c>
      <c r="B182" s="41" t="s">
        <v>188</v>
      </c>
      <c r="C182" s="42" t="s">
        <v>847</v>
      </c>
      <c r="D182" s="41">
        <v>87</v>
      </c>
      <c r="E182" s="42" t="s">
        <v>848</v>
      </c>
      <c r="F182" s="41">
        <v>20</v>
      </c>
      <c r="G182" s="43">
        <v>2.4</v>
      </c>
      <c r="H182" s="41" t="s">
        <v>96</v>
      </c>
      <c r="I182" s="44">
        <v>1854.46</v>
      </c>
      <c r="J182" s="44">
        <v>906.07</v>
      </c>
      <c r="K182" s="44">
        <v>948.39</v>
      </c>
    </row>
    <row r="183" spans="1:11" x14ac:dyDescent="0.25">
      <c r="A183" s="41" t="s">
        <v>849</v>
      </c>
      <c r="B183" s="41" t="s">
        <v>850</v>
      </c>
      <c r="C183" s="42" t="s">
        <v>851</v>
      </c>
      <c r="D183" s="41">
        <v>437</v>
      </c>
      <c r="E183" s="42" t="s">
        <v>852</v>
      </c>
      <c r="F183" s="41" t="s">
        <v>108</v>
      </c>
      <c r="G183" s="43">
        <v>2.2000000000000002</v>
      </c>
      <c r="H183" s="41" t="s">
        <v>96</v>
      </c>
      <c r="I183" s="44">
        <v>2081.9499999999998</v>
      </c>
      <c r="J183" s="44">
        <v>1033.54</v>
      </c>
      <c r="K183" s="44">
        <v>1048.4100000000001</v>
      </c>
    </row>
    <row r="184" spans="1:11" x14ac:dyDescent="0.25">
      <c r="A184" s="41" t="s">
        <v>853</v>
      </c>
      <c r="B184" s="41" t="s">
        <v>109</v>
      </c>
      <c r="C184" s="42" t="s">
        <v>854</v>
      </c>
      <c r="D184" s="41">
        <v>88</v>
      </c>
      <c r="E184" s="42" t="s">
        <v>855</v>
      </c>
      <c r="F184" s="41">
        <v>16</v>
      </c>
      <c r="G184" s="43">
        <v>2</v>
      </c>
      <c r="H184" s="41" t="s">
        <v>96</v>
      </c>
      <c r="I184" s="44">
        <v>906.75</v>
      </c>
      <c r="J184" s="44">
        <v>449.88</v>
      </c>
      <c r="K184" s="44">
        <v>456.87</v>
      </c>
    </row>
    <row r="185" spans="1:11" x14ac:dyDescent="0.25">
      <c r="A185" s="41" t="s">
        <v>856</v>
      </c>
      <c r="B185" s="41" t="s">
        <v>109</v>
      </c>
      <c r="C185" s="42" t="s">
        <v>857</v>
      </c>
      <c r="D185" s="41" t="s">
        <v>858</v>
      </c>
      <c r="E185" s="42" t="s">
        <v>859</v>
      </c>
      <c r="F185" s="41">
        <v>10</v>
      </c>
      <c r="G185" s="43">
        <v>1.94</v>
      </c>
      <c r="H185" s="41" t="s">
        <v>99</v>
      </c>
      <c r="I185" s="44">
        <v>2367.17</v>
      </c>
      <c r="J185" s="44">
        <v>1160.27</v>
      </c>
      <c r="K185" s="44">
        <v>1206.9000000000001</v>
      </c>
    </row>
    <row r="186" spans="1:11" x14ac:dyDescent="0.25">
      <c r="A186" s="41" t="s">
        <v>860</v>
      </c>
      <c r="B186" s="41" t="s">
        <v>109</v>
      </c>
      <c r="C186" s="42" t="s">
        <v>861</v>
      </c>
      <c r="D186" s="41">
        <v>96</v>
      </c>
      <c r="E186" s="42" t="s">
        <v>862</v>
      </c>
      <c r="F186" s="41">
        <v>5</v>
      </c>
      <c r="G186" s="43">
        <v>1.6</v>
      </c>
      <c r="H186" s="41" t="s">
        <v>99</v>
      </c>
      <c r="I186" s="44">
        <v>498.87</v>
      </c>
      <c r="J186" s="44">
        <v>195.99</v>
      </c>
      <c r="K186" s="44">
        <v>302.88</v>
      </c>
    </row>
    <row r="187" spans="1:11" x14ac:dyDescent="0.25">
      <c r="A187" s="41" t="s">
        <v>863</v>
      </c>
      <c r="B187" s="41" t="s">
        <v>115</v>
      </c>
      <c r="C187" s="42" t="s">
        <v>864</v>
      </c>
      <c r="D187" s="41">
        <v>191</v>
      </c>
      <c r="E187" s="42" t="s">
        <v>865</v>
      </c>
      <c r="F187" s="41">
        <v>16</v>
      </c>
      <c r="G187" s="43">
        <v>1.8049999999999999</v>
      </c>
      <c r="H187" s="41" t="s">
        <v>96</v>
      </c>
      <c r="I187" s="44">
        <v>2181.94</v>
      </c>
      <c r="J187" s="44">
        <v>1138.2</v>
      </c>
      <c r="K187" s="44">
        <v>1043.74</v>
      </c>
    </row>
    <row r="188" spans="1:11" x14ac:dyDescent="0.25">
      <c r="A188" s="41" t="s">
        <v>866</v>
      </c>
      <c r="B188" s="41" t="s">
        <v>109</v>
      </c>
      <c r="C188" s="42" t="s">
        <v>867</v>
      </c>
      <c r="D188" s="41">
        <v>629</v>
      </c>
      <c r="E188" s="42" t="s">
        <v>110</v>
      </c>
      <c r="F188" s="41">
        <v>78</v>
      </c>
      <c r="G188" s="43">
        <v>2</v>
      </c>
      <c r="H188" s="41" t="s">
        <v>112</v>
      </c>
      <c r="I188" s="44">
        <v>4796.1499999999996</v>
      </c>
      <c r="J188" s="44">
        <v>2300.15</v>
      </c>
      <c r="K188" s="44">
        <v>2496</v>
      </c>
    </row>
    <row r="189" spans="1:11" x14ac:dyDescent="0.25">
      <c r="A189" s="41" t="s">
        <v>868</v>
      </c>
      <c r="B189" s="41" t="s">
        <v>131</v>
      </c>
      <c r="C189" s="42" t="s">
        <v>869</v>
      </c>
      <c r="D189" s="41">
        <v>259</v>
      </c>
      <c r="E189" s="42" t="s">
        <v>870</v>
      </c>
      <c r="F189" s="41">
        <v>92</v>
      </c>
      <c r="G189" s="43">
        <v>2.4</v>
      </c>
      <c r="H189" s="41" t="s">
        <v>112</v>
      </c>
      <c r="I189" s="44">
        <v>2888.73</v>
      </c>
      <c r="J189" s="44">
        <v>1451.43</v>
      </c>
      <c r="K189" s="44">
        <v>1437.3</v>
      </c>
    </row>
    <row r="190" spans="1:11" x14ac:dyDescent="0.25">
      <c r="A190" s="41" t="s">
        <v>871</v>
      </c>
      <c r="B190" s="41" t="s">
        <v>872</v>
      </c>
      <c r="C190" s="42" t="s">
        <v>873</v>
      </c>
      <c r="D190" s="41">
        <v>211</v>
      </c>
      <c r="E190" s="42" t="s">
        <v>874</v>
      </c>
      <c r="F190" s="41">
        <v>24</v>
      </c>
      <c r="G190" s="43">
        <v>2.15</v>
      </c>
      <c r="H190" s="41" t="s">
        <v>96</v>
      </c>
      <c r="I190" s="44">
        <v>893.48</v>
      </c>
      <c r="J190" s="44">
        <v>464.75</v>
      </c>
      <c r="K190" s="44">
        <v>428.73</v>
      </c>
    </row>
    <row r="191" spans="1:11" x14ac:dyDescent="0.25">
      <c r="A191" s="41" t="s">
        <v>875</v>
      </c>
      <c r="B191" s="41" t="s">
        <v>876</v>
      </c>
      <c r="C191" s="42" t="s">
        <v>877</v>
      </c>
      <c r="D191" s="41">
        <v>78</v>
      </c>
      <c r="E191" s="42" t="s">
        <v>878</v>
      </c>
      <c r="F191" s="41">
        <v>6</v>
      </c>
      <c r="G191" s="43">
        <v>2.2000000000000002</v>
      </c>
      <c r="H191" s="41" t="s">
        <v>99</v>
      </c>
      <c r="I191" s="44">
        <v>1870.96</v>
      </c>
      <c r="J191" s="44">
        <v>841.13</v>
      </c>
      <c r="K191" s="44">
        <v>1029.83</v>
      </c>
    </row>
    <row r="192" spans="1:11" x14ac:dyDescent="0.25">
      <c r="A192" s="41" t="s">
        <v>879</v>
      </c>
      <c r="B192" s="41" t="s">
        <v>880</v>
      </c>
      <c r="C192" s="42" t="s">
        <v>881</v>
      </c>
      <c r="D192" s="41">
        <v>1289</v>
      </c>
      <c r="E192" s="42" t="s">
        <v>882</v>
      </c>
      <c r="F192" s="41" t="s">
        <v>883</v>
      </c>
      <c r="G192" s="43">
        <v>2.4060000000000001</v>
      </c>
      <c r="H192" s="41" t="s">
        <v>96</v>
      </c>
      <c r="I192" s="44">
        <v>3980.9</v>
      </c>
      <c r="J192" s="44">
        <v>1880.84</v>
      </c>
      <c r="K192" s="44">
        <v>2100.06</v>
      </c>
    </row>
    <row r="193" spans="1:11" x14ac:dyDescent="0.25">
      <c r="A193" s="41" t="s">
        <v>884</v>
      </c>
      <c r="B193" s="41" t="s">
        <v>885</v>
      </c>
      <c r="C193" s="42" t="s">
        <v>886</v>
      </c>
      <c r="D193" s="41">
        <v>147</v>
      </c>
      <c r="E193" s="42" t="s">
        <v>887</v>
      </c>
      <c r="F193" s="41">
        <v>22</v>
      </c>
      <c r="G193" s="43">
        <v>1.7</v>
      </c>
      <c r="H193" s="41" t="s">
        <v>99</v>
      </c>
      <c r="I193" s="44">
        <v>4683.72</v>
      </c>
      <c r="J193" s="44">
        <v>2083.0100000000002</v>
      </c>
      <c r="K193" s="44">
        <v>2600.71</v>
      </c>
    </row>
    <row r="194" spans="1:11" x14ac:dyDescent="0.25">
      <c r="A194" s="41" t="s">
        <v>888</v>
      </c>
      <c r="B194" s="41" t="s">
        <v>131</v>
      </c>
      <c r="C194" s="42" t="s">
        <v>889</v>
      </c>
      <c r="D194" s="41">
        <v>412</v>
      </c>
      <c r="E194" s="42" t="s">
        <v>890</v>
      </c>
      <c r="F194" s="41">
        <v>10</v>
      </c>
      <c r="G194" s="43">
        <v>2.2000000000000002</v>
      </c>
      <c r="H194" s="41" t="s">
        <v>99</v>
      </c>
      <c r="I194" s="44">
        <v>1602.48</v>
      </c>
      <c r="J194" s="44">
        <v>697.87</v>
      </c>
      <c r="K194" s="44">
        <v>904.61</v>
      </c>
    </row>
    <row r="195" spans="1:11" x14ac:dyDescent="0.25">
      <c r="A195" s="41" t="s">
        <v>891</v>
      </c>
      <c r="B195" s="41" t="s">
        <v>131</v>
      </c>
      <c r="C195" s="42" t="s">
        <v>892</v>
      </c>
      <c r="D195" s="41">
        <v>33</v>
      </c>
      <c r="E195" s="42" t="s">
        <v>893</v>
      </c>
      <c r="F195" s="41">
        <v>6</v>
      </c>
      <c r="G195" s="43">
        <v>1.4</v>
      </c>
      <c r="H195" s="41" t="s">
        <v>99</v>
      </c>
      <c r="I195" s="44">
        <v>729.71</v>
      </c>
      <c r="J195" s="44">
        <v>350.69</v>
      </c>
      <c r="K195" s="44">
        <v>379.02</v>
      </c>
    </row>
    <row r="196" spans="1:11" x14ac:dyDescent="0.25">
      <c r="A196" s="41" t="s">
        <v>894</v>
      </c>
      <c r="B196" s="41" t="s">
        <v>895</v>
      </c>
      <c r="C196" s="42" t="s">
        <v>896</v>
      </c>
      <c r="D196" s="41">
        <v>431</v>
      </c>
      <c r="E196" s="42" t="s">
        <v>897</v>
      </c>
      <c r="F196" s="41">
        <v>6</v>
      </c>
      <c r="G196" s="43">
        <v>2.5</v>
      </c>
      <c r="H196" s="41" t="s">
        <v>99</v>
      </c>
      <c r="I196" s="44">
        <v>3327.23</v>
      </c>
      <c r="J196" s="44">
        <v>1452.98</v>
      </c>
      <c r="K196" s="44">
        <v>1874.25</v>
      </c>
    </row>
    <row r="197" spans="1:11" x14ac:dyDescent="0.25">
      <c r="A197" s="41" t="s">
        <v>898</v>
      </c>
      <c r="B197" s="41" t="s">
        <v>899</v>
      </c>
      <c r="C197" s="42" t="s">
        <v>900</v>
      </c>
      <c r="D197" s="41">
        <v>476</v>
      </c>
      <c r="E197" s="42" t="s">
        <v>901</v>
      </c>
      <c r="F197" s="41" t="s">
        <v>902</v>
      </c>
      <c r="G197" s="43">
        <v>2.2000000000000002</v>
      </c>
      <c r="H197" s="41" t="s">
        <v>96</v>
      </c>
      <c r="I197" s="44">
        <v>2930.08</v>
      </c>
      <c r="J197" s="44">
        <v>1338.81</v>
      </c>
      <c r="K197" s="44">
        <v>1591.27</v>
      </c>
    </row>
    <row r="198" spans="1:11" x14ac:dyDescent="0.25">
      <c r="A198" s="41" t="s">
        <v>903</v>
      </c>
      <c r="B198" s="41" t="s">
        <v>109</v>
      </c>
      <c r="C198" s="42" t="s">
        <v>904</v>
      </c>
      <c r="D198" s="41">
        <v>124</v>
      </c>
      <c r="E198" s="42" t="s">
        <v>905</v>
      </c>
      <c r="F198" s="41">
        <v>9</v>
      </c>
      <c r="G198" s="43">
        <v>2.306</v>
      </c>
      <c r="H198" s="41" t="s">
        <v>99</v>
      </c>
      <c r="I198" s="44">
        <v>761.16</v>
      </c>
      <c r="J198" s="44">
        <v>329.69</v>
      </c>
      <c r="K198" s="44">
        <v>431.47</v>
      </c>
    </row>
    <row r="199" spans="1:11" x14ac:dyDescent="0.25">
      <c r="A199" s="41" t="s">
        <v>906</v>
      </c>
      <c r="B199" s="41" t="s">
        <v>907</v>
      </c>
      <c r="C199" s="42" t="s">
        <v>908</v>
      </c>
      <c r="D199" s="41" t="s">
        <v>909</v>
      </c>
      <c r="E199" s="42" t="s">
        <v>910</v>
      </c>
      <c r="F199" s="41" t="s">
        <v>108</v>
      </c>
      <c r="G199" s="43">
        <v>2.1</v>
      </c>
      <c r="H199" s="41" t="s">
        <v>96</v>
      </c>
      <c r="I199" s="44">
        <v>2730.47</v>
      </c>
      <c r="J199" s="44">
        <v>1256.93</v>
      </c>
      <c r="K199" s="44">
        <v>1473.54</v>
      </c>
    </row>
    <row r="200" spans="1:11" x14ac:dyDescent="0.25">
      <c r="A200" s="41" t="s">
        <v>911</v>
      </c>
      <c r="B200" s="41" t="s">
        <v>106</v>
      </c>
      <c r="C200" s="42" t="s">
        <v>912</v>
      </c>
      <c r="D200" s="41" t="s">
        <v>107</v>
      </c>
      <c r="E200" s="42" t="s">
        <v>913</v>
      </c>
      <c r="F200" s="41">
        <v>14</v>
      </c>
      <c r="G200" s="43">
        <v>1.9</v>
      </c>
      <c r="H200" s="41" t="s">
        <v>117</v>
      </c>
      <c r="I200" s="44">
        <v>2083.77</v>
      </c>
      <c r="J200" s="44">
        <v>992.2</v>
      </c>
      <c r="K200" s="44">
        <v>1091.57</v>
      </c>
    </row>
    <row r="201" spans="1:11" x14ac:dyDescent="0.25">
      <c r="A201" s="41" t="s">
        <v>914</v>
      </c>
      <c r="B201" s="41" t="s">
        <v>131</v>
      </c>
      <c r="C201" s="42" t="s">
        <v>915</v>
      </c>
      <c r="D201" s="41">
        <v>441</v>
      </c>
      <c r="E201" s="42" t="s">
        <v>916</v>
      </c>
      <c r="F201" s="41">
        <v>35</v>
      </c>
      <c r="G201" s="43">
        <v>1.95</v>
      </c>
      <c r="H201" s="41" t="s">
        <v>112</v>
      </c>
      <c r="I201" s="44">
        <v>3077.45</v>
      </c>
      <c r="J201" s="44">
        <v>1379.38</v>
      </c>
      <c r="K201" s="44">
        <v>1698.07</v>
      </c>
    </row>
    <row r="202" spans="1:11" ht="15" x14ac:dyDescent="0.25">
      <c r="A202" s="41" t="s">
        <v>917</v>
      </c>
      <c r="B202" s="41" t="s">
        <v>918</v>
      </c>
      <c r="C202" s="42" t="s">
        <v>919</v>
      </c>
      <c r="D202" s="40" t="s">
        <v>920</v>
      </c>
      <c r="E202" s="42" t="s">
        <v>921</v>
      </c>
      <c r="F202" s="41" t="s">
        <v>922</v>
      </c>
      <c r="G202" s="43">
        <v>2</v>
      </c>
      <c r="H202" s="41" t="s">
        <v>96</v>
      </c>
      <c r="I202" s="44">
        <v>2348.9899999999998</v>
      </c>
      <c r="J202" s="44">
        <v>1173.6099999999999</v>
      </c>
      <c r="K202" s="44">
        <v>1175.3800000000001</v>
      </c>
    </row>
    <row r="203" spans="1:11" x14ac:dyDescent="0.25">
      <c r="A203" s="41" t="s">
        <v>923</v>
      </c>
      <c r="B203" s="41" t="s">
        <v>106</v>
      </c>
      <c r="C203" s="42" t="s">
        <v>924</v>
      </c>
      <c r="D203" s="40">
        <v>243</v>
      </c>
      <c r="E203" s="42" t="s">
        <v>925</v>
      </c>
      <c r="F203" s="40">
        <v>16</v>
      </c>
      <c r="G203" s="43">
        <v>1.8</v>
      </c>
      <c r="H203" s="41" t="s">
        <v>96</v>
      </c>
      <c r="I203" s="44">
        <v>2356.4899999999998</v>
      </c>
      <c r="J203" s="44">
        <v>1094.8</v>
      </c>
      <c r="K203" s="44">
        <v>1261.69</v>
      </c>
    </row>
    <row r="204" spans="1:11" x14ac:dyDescent="0.25">
      <c r="A204" s="41" t="s">
        <v>926</v>
      </c>
      <c r="B204" s="41" t="s">
        <v>109</v>
      </c>
      <c r="C204" s="42" t="s">
        <v>927</v>
      </c>
      <c r="D204" s="40">
        <v>213</v>
      </c>
      <c r="E204" s="42" t="s">
        <v>928</v>
      </c>
      <c r="F204" s="40">
        <v>11</v>
      </c>
      <c r="G204" s="43">
        <v>2</v>
      </c>
      <c r="H204" s="41" t="s">
        <v>99</v>
      </c>
      <c r="I204" s="44">
        <v>2675.08</v>
      </c>
      <c r="J204" s="44">
        <v>1164.21</v>
      </c>
      <c r="K204" s="44">
        <v>1510.87</v>
      </c>
    </row>
    <row r="205" spans="1:11" x14ac:dyDescent="0.25">
      <c r="A205" s="41" t="s">
        <v>929</v>
      </c>
      <c r="B205" s="41" t="s">
        <v>95</v>
      </c>
      <c r="C205" s="42" t="s">
        <v>930</v>
      </c>
      <c r="D205" s="40">
        <v>214</v>
      </c>
      <c r="E205" s="42" t="s">
        <v>931</v>
      </c>
      <c r="F205" s="41" t="s">
        <v>932</v>
      </c>
      <c r="G205" s="43">
        <v>1.68</v>
      </c>
      <c r="H205" s="41" t="s">
        <v>96</v>
      </c>
      <c r="I205" s="44">
        <v>1230.1300000000001</v>
      </c>
      <c r="J205" s="44">
        <v>566.01</v>
      </c>
      <c r="K205" s="44">
        <v>664.12</v>
      </c>
    </row>
    <row r="206" spans="1:11" ht="82.8" x14ac:dyDescent="0.25">
      <c r="A206" s="41" t="s">
        <v>933</v>
      </c>
      <c r="B206" s="41" t="s">
        <v>95</v>
      </c>
      <c r="C206" s="42" t="s">
        <v>900</v>
      </c>
      <c r="D206" s="40">
        <v>481</v>
      </c>
      <c r="E206" s="45" t="s">
        <v>934</v>
      </c>
      <c r="F206" s="41" t="s">
        <v>902</v>
      </c>
      <c r="G206" s="43">
        <v>2.5</v>
      </c>
      <c r="H206" s="41" t="s">
        <v>96</v>
      </c>
      <c r="I206" s="44">
        <v>2892.74</v>
      </c>
      <c r="J206" s="44">
        <v>1315.27</v>
      </c>
      <c r="K206" s="44">
        <v>1577.47</v>
      </c>
    </row>
    <row r="207" spans="1:11" x14ac:dyDescent="0.25">
      <c r="A207" s="41" t="s">
        <v>935</v>
      </c>
      <c r="B207" s="41" t="s">
        <v>936</v>
      </c>
      <c r="C207" s="42" t="s">
        <v>937</v>
      </c>
      <c r="D207" s="40">
        <v>233</v>
      </c>
      <c r="E207" s="42" t="s">
        <v>938</v>
      </c>
      <c r="F207" s="40">
        <v>42</v>
      </c>
      <c r="G207" s="43">
        <v>2.12</v>
      </c>
      <c r="H207" s="41" t="s">
        <v>99</v>
      </c>
      <c r="I207" s="44">
        <v>11311.01</v>
      </c>
      <c r="J207" s="44">
        <v>5549.5</v>
      </c>
      <c r="K207" s="44">
        <v>5761.51</v>
      </c>
    </row>
    <row r="208" spans="1:11" x14ac:dyDescent="0.25">
      <c r="A208" s="41" t="s">
        <v>939</v>
      </c>
      <c r="B208" s="41" t="s">
        <v>120</v>
      </c>
      <c r="C208" s="42" t="s">
        <v>940</v>
      </c>
      <c r="D208" s="40">
        <v>255</v>
      </c>
      <c r="E208" s="42" t="s">
        <v>941</v>
      </c>
      <c r="F208" s="40">
        <v>21</v>
      </c>
      <c r="G208" s="43">
        <v>1.3</v>
      </c>
      <c r="H208" s="41" t="s">
        <v>117</v>
      </c>
      <c r="I208" s="44">
        <v>3715.65</v>
      </c>
      <c r="J208" s="44">
        <v>1776.69</v>
      </c>
      <c r="K208" s="44">
        <v>1938.96</v>
      </c>
    </row>
    <row r="209" spans="1:11" x14ac:dyDescent="0.25">
      <c r="A209" s="41" t="s">
        <v>942</v>
      </c>
      <c r="B209" s="41" t="s">
        <v>530</v>
      </c>
      <c r="C209" s="42" t="s">
        <v>943</v>
      </c>
      <c r="D209" s="40">
        <v>66</v>
      </c>
      <c r="E209" s="42" t="s">
        <v>944</v>
      </c>
      <c r="F209" s="41" t="s">
        <v>945</v>
      </c>
      <c r="G209" s="43">
        <v>2.15</v>
      </c>
      <c r="H209" s="41" t="s">
        <v>96</v>
      </c>
      <c r="I209" s="44">
        <v>1566.79</v>
      </c>
      <c r="J209" s="44">
        <v>737.27</v>
      </c>
      <c r="K209" s="44">
        <v>829.52</v>
      </c>
    </row>
    <row r="210" spans="1:11" x14ac:dyDescent="0.25">
      <c r="A210" s="41" t="s">
        <v>946</v>
      </c>
      <c r="B210" s="41" t="s">
        <v>109</v>
      </c>
      <c r="C210" s="42" t="s">
        <v>947</v>
      </c>
      <c r="D210" s="40">
        <v>129</v>
      </c>
      <c r="E210" s="42" t="s">
        <v>948</v>
      </c>
      <c r="F210" s="40">
        <v>59</v>
      </c>
      <c r="G210" s="43">
        <v>2</v>
      </c>
      <c r="H210" s="41" t="s">
        <v>96</v>
      </c>
      <c r="I210" s="44">
        <v>806.8</v>
      </c>
      <c r="J210" s="44">
        <v>429.61</v>
      </c>
      <c r="K210" s="44">
        <v>377.19</v>
      </c>
    </row>
    <row r="211" spans="1:11" ht="15" x14ac:dyDescent="0.25">
      <c r="A211" s="41" t="s">
        <v>949</v>
      </c>
      <c r="B211" s="41" t="s">
        <v>95</v>
      </c>
      <c r="C211" s="42" t="s">
        <v>950</v>
      </c>
      <c r="D211" s="40">
        <v>302</v>
      </c>
      <c r="E211" s="42" t="s">
        <v>951</v>
      </c>
      <c r="F211" s="40" t="s">
        <v>952</v>
      </c>
      <c r="G211" s="43">
        <v>1.958</v>
      </c>
      <c r="H211" s="41" t="s">
        <v>96</v>
      </c>
      <c r="I211" s="44">
        <v>1090.96</v>
      </c>
      <c r="J211" s="44">
        <v>465.94</v>
      </c>
      <c r="K211" s="44">
        <v>625.02</v>
      </c>
    </row>
    <row r="212" spans="1:11" x14ac:dyDescent="0.25">
      <c r="A212" s="41" t="s">
        <v>953</v>
      </c>
      <c r="B212" s="41" t="s">
        <v>120</v>
      </c>
      <c r="C212" s="42" t="s">
        <v>954</v>
      </c>
      <c r="D212" s="40">
        <v>341</v>
      </c>
      <c r="E212" s="42" t="s">
        <v>154</v>
      </c>
      <c r="F212" s="40">
        <v>6</v>
      </c>
      <c r="G212" s="43">
        <v>2.04</v>
      </c>
      <c r="H212" s="41" t="s">
        <v>99</v>
      </c>
      <c r="I212" s="44">
        <v>1448.4</v>
      </c>
      <c r="J212" s="44">
        <v>644.04</v>
      </c>
      <c r="K212" s="44">
        <v>804.36</v>
      </c>
    </row>
    <row r="213" spans="1:11" ht="15" x14ac:dyDescent="0.25">
      <c r="A213" s="41" t="s">
        <v>955</v>
      </c>
      <c r="B213" s="41" t="s">
        <v>956</v>
      </c>
      <c r="C213" s="42" t="s">
        <v>957</v>
      </c>
      <c r="D213" s="40" t="s">
        <v>958</v>
      </c>
      <c r="E213" s="42" t="s">
        <v>959</v>
      </c>
      <c r="F213" s="40" t="s">
        <v>960</v>
      </c>
      <c r="G213" s="43">
        <v>2.1</v>
      </c>
      <c r="H213" s="41" t="s">
        <v>96</v>
      </c>
      <c r="I213" s="44">
        <v>3392.61</v>
      </c>
      <c r="J213" s="44">
        <v>1478.44</v>
      </c>
      <c r="K213" s="44">
        <v>1914.17</v>
      </c>
    </row>
    <row r="214" spans="1:11" x14ac:dyDescent="0.25">
      <c r="A214" s="41" t="s">
        <v>961</v>
      </c>
      <c r="B214" s="41" t="s">
        <v>885</v>
      </c>
      <c r="C214" s="42" t="s">
        <v>962</v>
      </c>
      <c r="D214" s="41" t="s">
        <v>963</v>
      </c>
      <c r="E214" s="42" t="s">
        <v>964</v>
      </c>
      <c r="F214" s="40">
        <v>34</v>
      </c>
      <c r="G214" s="43">
        <v>2.5</v>
      </c>
      <c r="H214" s="41" t="s">
        <v>96</v>
      </c>
      <c r="I214" s="44">
        <v>3403.32</v>
      </c>
      <c r="J214" s="44">
        <v>1652.25</v>
      </c>
      <c r="K214" s="44">
        <v>1751.07</v>
      </c>
    </row>
    <row r="215" spans="1:11" x14ac:dyDescent="0.25">
      <c r="A215" s="41" t="s">
        <v>965</v>
      </c>
      <c r="B215" s="41" t="s">
        <v>131</v>
      </c>
      <c r="C215" s="42" t="s">
        <v>966</v>
      </c>
      <c r="D215" s="40">
        <v>171</v>
      </c>
      <c r="E215" s="42" t="s">
        <v>154</v>
      </c>
      <c r="F215" s="40">
        <v>5</v>
      </c>
      <c r="G215" s="43">
        <v>1.5</v>
      </c>
      <c r="H215" s="41" t="s">
        <v>99</v>
      </c>
      <c r="I215" s="44">
        <v>1316.9</v>
      </c>
      <c r="J215" s="44">
        <v>610.58000000000004</v>
      </c>
      <c r="K215" s="44">
        <v>706.32</v>
      </c>
    </row>
    <row r="216" spans="1:11" x14ac:dyDescent="0.25">
      <c r="A216" s="41" t="s">
        <v>967</v>
      </c>
      <c r="B216" s="41" t="s">
        <v>544</v>
      </c>
      <c r="C216" s="42" t="s">
        <v>968</v>
      </c>
      <c r="D216" s="41" t="s">
        <v>969</v>
      </c>
      <c r="E216" s="42" t="s">
        <v>970</v>
      </c>
      <c r="F216" s="40">
        <v>26</v>
      </c>
      <c r="G216" s="43">
        <v>2.3039999999999998</v>
      </c>
      <c r="H216" s="41" t="s">
        <v>96</v>
      </c>
      <c r="I216" s="44">
        <v>4285.88</v>
      </c>
      <c r="J216" s="44">
        <v>2095.06</v>
      </c>
      <c r="K216" s="44">
        <v>2190.8200000000002</v>
      </c>
    </row>
    <row r="217" spans="1:11" x14ac:dyDescent="0.25">
      <c r="A217" s="41" t="s">
        <v>971</v>
      </c>
      <c r="B217" s="41" t="s">
        <v>109</v>
      </c>
      <c r="C217" s="42" t="s">
        <v>972</v>
      </c>
      <c r="D217" s="40">
        <v>77</v>
      </c>
      <c r="E217" s="42" t="s">
        <v>973</v>
      </c>
      <c r="F217" s="40">
        <v>40</v>
      </c>
      <c r="G217" s="43">
        <v>2.0499999999999998</v>
      </c>
      <c r="H217" s="41" t="s">
        <v>96</v>
      </c>
      <c r="I217" s="44">
        <v>1437.47</v>
      </c>
      <c r="J217" s="44">
        <v>753.08</v>
      </c>
      <c r="K217" s="44">
        <v>684.39</v>
      </c>
    </row>
    <row r="218" spans="1:11" x14ac:dyDescent="0.25">
      <c r="A218" s="41" t="s">
        <v>974</v>
      </c>
      <c r="B218" s="41" t="s">
        <v>109</v>
      </c>
      <c r="C218" s="42" t="s">
        <v>975</v>
      </c>
      <c r="D218" s="40">
        <v>191</v>
      </c>
      <c r="E218" s="42" t="s">
        <v>976</v>
      </c>
      <c r="F218" s="40">
        <v>5</v>
      </c>
      <c r="G218" s="43">
        <v>1.6</v>
      </c>
      <c r="H218" s="41" t="s">
        <v>99</v>
      </c>
      <c r="I218" s="44">
        <v>1273.3900000000001</v>
      </c>
      <c r="J218" s="44">
        <v>524.29</v>
      </c>
      <c r="K218" s="44">
        <v>749.1</v>
      </c>
    </row>
    <row r="219" spans="1:11" ht="15" x14ac:dyDescent="0.25">
      <c r="A219" s="41" t="s">
        <v>977</v>
      </c>
      <c r="B219" s="41" t="s">
        <v>978</v>
      </c>
      <c r="C219" s="42" t="s">
        <v>979</v>
      </c>
      <c r="D219" s="40" t="s">
        <v>980</v>
      </c>
      <c r="E219" s="42" t="s">
        <v>981</v>
      </c>
      <c r="F219" s="41" t="s">
        <v>982</v>
      </c>
      <c r="G219" s="43">
        <v>2.2000000000000002</v>
      </c>
      <c r="H219" s="41" t="s">
        <v>96</v>
      </c>
      <c r="I219" s="44">
        <v>9079</v>
      </c>
      <c r="J219" s="44">
        <v>4243.8900000000003</v>
      </c>
      <c r="K219" s="44">
        <v>4835.1099999999997</v>
      </c>
    </row>
    <row r="220" spans="1:11" ht="15" x14ac:dyDescent="0.25">
      <c r="A220" s="41" t="s">
        <v>983</v>
      </c>
      <c r="B220" s="41" t="s">
        <v>95</v>
      </c>
      <c r="C220" s="42" t="s">
        <v>984</v>
      </c>
      <c r="D220" s="40">
        <v>357</v>
      </c>
      <c r="E220" s="42" t="s">
        <v>985</v>
      </c>
      <c r="F220" s="40" t="s">
        <v>986</v>
      </c>
      <c r="G220" s="43">
        <v>2</v>
      </c>
      <c r="H220" s="41" t="s">
        <v>96</v>
      </c>
      <c r="I220" s="44">
        <v>3006.88</v>
      </c>
      <c r="J220" s="44">
        <v>1457.97</v>
      </c>
      <c r="K220" s="44">
        <v>1548.91</v>
      </c>
    </row>
    <row r="221" spans="1:11" ht="15" x14ac:dyDescent="0.25">
      <c r="A221" s="41" t="s">
        <v>987</v>
      </c>
      <c r="B221" s="41" t="s">
        <v>95</v>
      </c>
      <c r="C221" s="42" t="s">
        <v>988</v>
      </c>
      <c r="D221" s="40">
        <v>373</v>
      </c>
      <c r="E221" s="42" t="s">
        <v>985</v>
      </c>
      <c r="F221" s="40" t="s">
        <v>986</v>
      </c>
      <c r="G221" s="43">
        <v>2</v>
      </c>
      <c r="H221" s="41" t="s">
        <v>96</v>
      </c>
      <c r="I221" s="44">
        <v>2436.0500000000002</v>
      </c>
      <c r="J221" s="44">
        <v>1235.46</v>
      </c>
      <c r="K221" s="44">
        <v>1200.5899999999999</v>
      </c>
    </row>
    <row r="222" spans="1:11" x14ac:dyDescent="0.25">
      <c r="A222" s="41" t="s">
        <v>989</v>
      </c>
      <c r="B222" s="41" t="s">
        <v>109</v>
      </c>
      <c r="C222" s="42" t="s">
        <v>990</v>
      </c>
      <c r="D222" s="40">
        <v>129</v>
      </c>
      <c r="E222" s="42" t="s">
        <v>991</v>
      </c>
      <c r="F222" s="40">
        <v>11</v>
      </c>
      <c r="G222" s="43">
        <v>1.8</v>
      </c>
      <c r="H222" s="41" t="s">
        <v>99</v>
      </c>
      <c r="I222" s="44">
        <v>2207.5700000000002</v>
      </c>
      <c r="J222" s="44">
        <v>1008.16</v>
      </c>
      <c r="K222" s="44">
        <v>1199.4100000000001</v>
      </c>
    </row>
    <row r="223" spans="1:11" x14ac:dyDescent="0.25">
      <c r="A223" s="41" t="s">
        <v>992</v>
      </c>
      <c r="B223" s="41" t="s">
        <v>188</v>
      </c>
      <c r="C223" s="42" t="s">
        <v>993</v>
      </c>
      <c r="D223" s="40">
        <v>559</v>
      </c>
      <c r="E223" s="42" t="s">
        <v>994</v>
      </c>
      <c r="F223" s="40">
        <v>7</v>
      </c>
      <c r="G223" s="43">
        <v>1.7</v>
      </c>
      <c r="H223" s="41" t="s">
        <v>99</v>
      </c>
      <c r="I223" s="44">
        <v>2175.11</v>
      </c>
      <c r="J223" s="44">
        <v>1002.9</v>
      </c>
      <c r="K223" s="44">
        <v>1172.21</v>
      </c>
    </row>
    <row r="224" spans="1:11" x14ac:dyDescent="0.25">
      <c r="A224" s="41" t="s">
        <v>995</v>
      </c>
      <c r="B224" s="41" t="s">
        <v>194</v>
      </c>
      <c r="C224" s="42" t="s">
        <v>996</v>
      </c>
      <c r="D224" s="40">
        <v>92</v>
      </c>
      <c r="E224" s="42" t="s">
        <v>997</v>
      </c>
      <c r="F224" s="40">
        <v>91</v>
      </c>
      <c r="G224" s="43">
        <v>2.081</v>
      </c>
      <c r="H224" s="41" t="s">
        <v>96</v>
      </c>
      <c r="I224" s="44">
        <v>324.24</v>
      </c>
      <c r="J224" s="44">
        <v>158.91999999999999</v>
      </c>
      <c r="K224" s="44">
        <v>165.32</v>
      </c>
    </row>
    <row r="225" spans="1:11" x14ac:dyDescent="0.25">
      <c r="A225" s="41" t="s">
        <v>998</v>
      </c>
      <c r="B225" s="41" t="s">
        <v>188</v>
      </c>
      <c r="C225" s="42" t="s">
        <v>999</v>
      </c>
      <c r="D225" s="40">
        <v>321</v>
      </c>
      <c r="E225" s="42" t="s">
        <v>1000</v>
      </c>
      <c r="F225" s="40">
        <v>76</v>
      </c>
      <c r="G225" s="43">
        <v>2.1</v>
      </c>
      <c r="H225" s="41" t="s">
        <v>112</v>
      </c>
      <c r="I225" s="44">
        <v>2132.83</v>
      </c>
      <c r="J225" s="44">
        <v>1015.54</v>
      </c>
      <c r="K225" s="44">
        <v>1117.29</v>
      </c>
    </row>
    <row r="226" spans="1:11" x14ac:dyDescent="0.25">
      <c r="A226" s="41" t="s">
        <v>1001</v>
      </c>
      <c r="B226" s="41" t="s">
        <v>131</v>
      </c>
      <c r="C226" s="42" t="s">
        <v>1002</v>
      </c>
      <c r="D226" s="40">
        <v>460</v>
      </c>
      <c r="E226" s="42" t="s">
        <v>136</v>
      </c>
      <c r="F226" s="40">
        <v>76</v>
      </c>
      <c r="G226" s="43">
        <v>2.3010000000000002</v>
      </c>
      <c r="H226" s="41" t="s">
        <v>112</v>
      </c>
      <c r="I226" s="44">
        <v>2737.49</v>
      </c>
      <c r="J226" s="44">
        <v>1325.41</v>
      </c>
      <c r="K226" s="44">
        <v>1412.08</v>
      </c>
    </row>
    <row r="227" spans="1:11" x14ac:dyDescent="0.25">
      <c r="A227" s="41" t="s">
        <v>1003</v>
      </c>
      <c r="B227" s="41" t="s">
        <v>109</v>
      </c>
      <c r="C227" s="42" t="s">
        <v>1004</v>
      </c>
      <c r="D227" s="40">
        <v>709</v>
      </c>
      <c r="E227" s="42" t="s">
        <v>1005</v>
      </c>
      <c r="F227" s="40">
        <v>13</v>
      </c>
      <c r="G227" s="43">
        <v>2.2999999999999998</v>
      </c>
      <c r="H227" s="41" t="s">
        <v>99</v>
      </c>
      <c r="I227" s="44">
        <v>2076.3200000000002</v>
      </c>
      <c r="J227" s="44">
        <v>1002.76</v>
      </c>
      <c r="K227" s="44">
        <v>1073.56</v>
      </c>
    </row>
    <row r="228" spans="1:11" x14ac:dyDescent="0.25">
      <c r="A228" s="41" t="s">
        <v>1006</v>
      </c>
      <c r="B228" s="41" t="s">
        <v>120</v>
      </c>
      <c r="C228" s="42" t="s">
        <v>1007</v>
      </c>
      <c r="D228" s="40">
        <v>561</v>
      </c>
      <c r="E228" s="42" t="s">
        <v>1008</v>
      </c>
      <c r="F228" s="40">
        <v>6</v>
      </c>
      <c r="G228" s="43">
        <v>2.2829999999999999</v>
      </c>
      <c r="H228" s="41" t="s">
        <v>99</v>
      </c>
      <c r="I228" s="44">
        <v>2024.81</v>
      </c>
      <c r="J228" s="44">
        <v>914.48</v>
      </c>
      <c r="K228" s="44">
        <v>1110.33</v>
      </c>
    </row>
    <row r="229" spans="1:11" x14ac:dyDescent="0.25">
      <c r="A229" s="41" t="s">
        <v>1009</v>
      </c>
      <c r="B229" s="41" t="s">
        <v>1010</v>
      </c>
      <c r="C229" s="42" t="s">
        <v>1011</v>
      </c>
      <c r="D229" s="40">
        <v>251</v>
      </c>
      <c r="E229" s="42" t="s">
        <v>1012</v>
      </c>
      <c r="F229" s="40">
        <v>75</v>
      </c>
      <c r="G229" s="43">
        <v>2.21</v>
      </c>
      <c r="H229" s="41" t="s">
        <v>112</v>
      </c>
      <c r="I229" s="44">
        <v>3373.28</v>
      </c>
      <c r="J229" s="44">
        <v>1640.32</v>
      </c>
      <c r="K229" s="44">
        <v>1732.96</v>
      </c>
    </row>
    <row r="230" spans="1:11" x14ac:dyDescent="0.25">
      <c r="A230" s="41" t="s">
        <v>1013</v>
      </c>
      <c r="B230" s="41" t="s">
        <v>188</v>
      </c>
      <c r="C230" s="42" t="s">
        <v>1014</v>
      </c>
      <c r="D230" s="40">
        <v>392</v>
      </c>
      <c r="E230" s="42" t="s">
        <v>1015</v>
      </c>
      <c r="F230" s="40">
        <v>5</v>
      </c>
      <c r="G230" s="43">
        <v>1.99</v>
      </c>
      <c r="H230" s="41" t="s">
        <v>99</v>
      </c>
      <c r="I230" s="44">
        <v>1211.99</v>
      </c>
      <c r="J230" s="44">
        <v>529.14</v>
      </c>
      <c r="K230" s="44">
        <v>682.85</v>
      </c>
    </row>
    <row r="231" spans="1:11" x14ac:dyDescent="0.25">
      <c r="A231" s="41" t="s">
        <v>1016</v>
      </c>
      <c r="B231" s="41" t="s">
        <v>109</v>
      </c>
      <c r="C231" s="42" t="s">
        <v>1017</v>
      </c>
      <c r="D231" s="40">
        <v>400</v>
      </c>
      <c r="E231" s="42" t="s">
        <v>1018</v>
      </c>
      <c r="F231" s="40">
        <v>10</v>
      </c>
      <c r="G231" s="43">
        <v>2.15</v>
      </c>
      <c r="H231" s="41" t="s">
        <v>99</v>
      </c>
      <c r="I231" s="44">
        <v>2619.87</v>
      </c>
      <c r="J231" s="44">
        <v>1156.19</v>
      </c>
      <c r="K231" s="44">
        <v>1463.68</v>
      </c>
    </row>
    <row r="232" spans="1:11" x14ac:dyDescent="0.25">
      <c r="A232" s="41" t="s">
        <v>1019</v>
      </c>
      <c r="B232" s="41" t="s">
        <v>115</v>
      </c>
      <c r="C232" s="42" t="s">
        <v>1020</v>
      </c>
      <c r="D232" s="40">
        <v>402</v>
      </c>
      <c r="E232" s="42" t="s">
        <v>1021</v>
      </c>
      <c r="F232" s="40">
        <v>15</v>
      </c>
      <c r="G232" s="43">
        <v>2.1</v>
      </c>
      <c r="H232" s="41" t="s">
        <v>99</v>
      </c>
      <c r="I232" s="44">
        <v>1779.3</v>
      </c>
      <c r="J232" s="44">
        <v>815.16</v>
      </c>
      <c r="K232" s="44">
        <v>964.14</v>
      </c>
    </row>
    <row r="233" spans="1:11" x14ac:dyDescent="0.25">
      <c r="A233" s="41" t="s">
        <v>1022</v>
      </c>
      <c r="B233" s="41" t="s">
        <v>1023</v>
      </c>
      <c r="C233" s="42" t="s">
        <v>1024</v>
      </c>
      <c r="D233" s="41" t="s">
        <v>1025</v>
      </c>
      <c r="E233" s="42" t="s">
        <v>1026</v>
      </c>
      <c r="F233" s="40">
        <v>77</v>
      </c>
      <c r="G233" s="43">
        <v>2</v>
      </c>
      <c r="H233" s="41" t="s">
        <v>112</v>
      </c>
      <c r="I233" s="44">
        <v>3570.45</v>
      </c>
      <c r="J233" s="44">
        <v>1798.21</v>
      </c>
      <c r="K233" s="44">
        <v>1772.24</v>
      </c>
    </row>
    <row r="234" spans="1:11" x14ac:dyDescent="0.25">
      <c r="A234" s="41" t="s">
        <v>1027</v>
      </c>
      <c r="B234" s="41" t="s">
        <v>492</v>
      </c>
      <c r="C234" s="42" t="s">
        <v>1028</v>
      </c>
      <c r="D234" s="40">
        <v>437</v>
      </c>
      <c r="E234" s="42" t="s">
        <v>1029</v>
      </c>
      <c r="F234" s="40">
        <v>17</v>
      </c>
      <c r="G234" s="43">
        <v>2.1</v>
      </c>
      <c r="H234" s="41" t="s">
        <v>112</v>
      </c>
      <c r="I234" s="44">
        <v>636.98</v>
      </c>
      <c r="J234" s="44">
        <v>313.97000000000003</v>
      </c>
      <c r="K234" s="44">
        <v>323.01</v>
      </c>
    </row>
    <row r="235" spans="1:11" x14ac:dyDescent="0.25">
      <c r="A235" s="41" t="s">
        <v>1030</v>
      </c>
      <c r="B235" s="41" t="s">
        <v>109</v>
      </c>
      <c r="C235" s="42" t="s">
        <v>1031</v>
      </c>
      <c r="D235" s="40">
        <v>899</v>
      </c>
      <c r="E235" s="42" t="s">
        <v>169</v>
      </c>
      <c r="F235" s="40">
        <v>28</v>
      </c>
      <c r="G235" s="43">
        <v>2.4</v>
      </c>
      <c r="H235" s="41" t="s">
        <v>99</v>
      </c>
      <c r="I235" s="44">
        <v>2152.1799999999998</v>
      </c>
      <c r="J235" s="44">
        <v>909.27</v>
      </c>
      <c r="K235" s="44">
        <v>1242.9100000000001</v>
      </c>
    </row>
    <row r="236" spans="1:11" x14ac:dyDescent="0.25">
      <c r="A236" s="41" t="s">
        <v>1032</v>
      </c>
      <c r="B236" s="41" t="s">
        <v>115</v>
      </c>
      <c r="C236" s="42" t="s">
        <v>1033</v>
      </c>
      <c r="D236" s="40">
        <v>470</v>
      </c>
      <c r="E236" s="42" t="s">
        <v>1034</v>
      </c>
      <c r="F236" s="40">
        <v>5</v>
      </c>
      <c r="G236" s="43">
        <v>2.2999999999999998</v>
      </c>
      <c r="H236" s="41" t="s">
        <v>99</v>
      </c>
      <c r="I236" s="44">
        <v>2132.5700000000002</v>
      </c>
      <c r="J236" s="44">
        <v>956.91</v>
      </c>
      <c r="K236" s="44">
        <v>1175.6600000000001</v>
      </c>
    </row>
    <row r="237" spans="1:11" x14ac:dyDescent="0.25">
      <c r="A237" s="41" t="s">
        <v>1035</v>
      </c>
      <c r="B237" s="41" t="s">
        <v>131</v>
      </c>
      <c r="C237" s="42" t="s">
        <v>1036</v>
      </c>
      <c r="D237" s="40">
        <v>119</v>
      </c>
      <c r="E237" s="42" t="s">
        <v>1037</v>
      </c>
      <c r="F237" s="40">
        <v>11</v>
      </c>
      <c r="G237" s="43">
        <v>1.976</v>
      </c>
      <c r="H237" s="41" t="s">
        <v>99</v>
      </c>
      <c r="I237" s="44">
        <v>877.89</v>
      </c>
      <c r="J237" s="44">
        <v>414.65</v>
      </c>
      <c r="K237" s="44">
        <v>463.24</v>
      </c>
    </row>
    <row r="238" spans="1:11" x14ac:dyDescent="0.25">
      <c r="A238" s="41" t="s">
        <v>1038</v>
      </c>
      <c r="B238" s="41" t="s">
        <v>1039</v>
      </c>
      <c r="C238" s="42" t="s">
        <v>1040</v>
      </c>
      <c r="D238" s="40">
        <v>681</v>
      </c>
      <c r="E238" s="42" t="s">
        <v>1041</v>
      </c>
      <c r="F238" s="41" t="s">
        <v>1042</v>
      </c>
      <c r="G238" s="43">
        <v>1.5</v>
      </c>
      <c r="H238" s="41" t="s">
        <v>96</v>
      </c>
      <c r="I238" s="44">
        <v>4502.4399999999996</v>
      </c>
      <c r="J238" s="44">
        <v>2138.64</v>
      </c>
      <c r="K238" s="44">
        <v>2363.8000000000002</v>
      </c>
    </row>
    <row r="239" spans="1:11" x14ac:dyDescent="0.25">
      <c r="A239" s="41" t="s">
        <v>1043</v>
      </c>
      <c r="B239" s="41" t="s">
        <v>1044</v>
      </c>
      <c r="C239" s="42" t="s">
        <v>1045</v>
      </c>
      <c r="D239" s="40">
        <v>218</v>
      </c>
      <c r="E239" s="42" t="s">
        <v>374</v>
      </c>
      <c r="F239" s="40">
        <v>10</v>
      </c>
      <c r="G239" s="43">
        <v>1.9</v>
      </c>
      <c r="H239" s="41" t="s">
        <v>99</v>
      </c>
      <c r="I239" s="44">
        <v>1208.71</v>
      </c>
      <c r="J239" s="44">
        <v>531.09</v>
      </c>
      <c r="K239" s="44">
        <v>677.62</v>
      </c>
    </row>
    <row r="240" spans="1:11" ht="15" x14ac:dyDescent="0.25">
      <c r="A240" s="41" t="s">
        <v>1046</v>
      </c>
      <c r="B240" s="41" t="s">
        <v>1047</v>
      </c>
      <c r="C240" s="42" t="s">
        <v>1048</v>
      </c>
      <c r="D240" s="40" t="s">
        <v>1049</v>
      </c>
      <c r="E240" s="42" t="s">
        <v>1050</v>
      </c>
      <c r="F240" s="41" t="s">
        <v>1051</v>
      </c>
      <c r="G240" s="43">
        <v>1.55</v>
      </c>
      <c r="H240" s="41" t="s">
        <v>96</v>
      </c>
      <c r="I240" s="44">
        <v>11866.03</v>
      </c>
      <c r="J240" s="44">
        <v>5734.06</v>
      </c>
      <c r="K240" s="44">
        <v>6131.97</v>
      </c>
    </row>
    <row r="241" spans="1:11" ht="15" x14ac:dyDescent="0.25">
      <c r="A241" s="41" t="s">
        <v>1052</v>
      </c>
      <c r="B241" s="41" t="s">
        <v>97</v>
      </c>
      <c r="C241" s="42" t="s">
        <v>1053</v>
      </c>
      <c r="D241" s="40">
        <v>246</v>
      </c>
      <c r="E241" s="42" t="s">
        <v>1054</v>
      </c>
      <c r="F241" s="40" t="s">
        <v>1055</v>
      </c>
      <c r="G241" s="43">
        <v>2.41</v>
      </c>
      <c r="H241" s="41" t="s">
        <v>96</v>
      </c>
      <c r="I241" s="44">
        <v>4739.63</v>
      </c>
      <c r="J241" s="44">
        <v>2289.6999999999998</v>
      </c>
      <c r="K241" s="44">
        <v>2449.9299999999998</v>
      </c>
    </row>
    <row r="242" spans="1:11" x14ac:dyDescent="0.25">
      <c r="A242" s="41" t="s">
        <v>1056</v>
      </c>
      <c r="B242" s="41" t="s">
        <v>1057</v>
      </c>
      <c r="C242" s="42" t="s">
        <v>1058</v>
      </c>
      <c r="D242" s="41" t="s">
        <v>1059</v>
      </c>
      <c r="E242" s="42" t="s">
        <v>1060</v>
      </c>
      <c r="F242" s="41" t="s">
        <v>1061</v>
      </c>
      <c r="G242" s="43">
        <v>2.5</v>
      </c>
      <c r="H242" s="41" t="s">
        <v>96</v>
      </c>
      <c r="I242" s="44">
        <v>5353.63</v>
      </c>
      <c r="J242" s="44">
        <v>2564.19</v>
      </c>
      <c r="K242" s="44">
        <v>2789.44</v>
      </c>
    </row>
    <row r="243" spans="1:11" x14ac:dyDescent="0.25">
      <c r="A243" s="41" t="s">
        <v>1062</v>
      </c>
      <c r="B243" s="41" t="s">
        <v>188</v>
      </c>
      <c r="C243" s="42" t="s">
        <v>1063</v>
      </c>
      <c r="D243" s="40">
        <v>119</v>
      </c>
      <c r="E243" s="42" t="s">
        <v>1064</v>
      </c>
      <c r="F243" s="40">
        <v>27</v>
      </c>
      <c r="G243" s="43">
        <v>1.796</v>
      </c>
      <c r="H243" s="41" t="s">
        <v>96</v>
      </c>
      <c r="I243" s="44">
        <v>1549.99</v>
      </c>
      <c r="J243" s="44">
        <v>814.02</v>
      </c>
      <c r="K243" s="44">
        <v>735.97</v>
      </c>
    </row>
    <row r="244" spans="1:11" x14ac:dyDescent="0.25">
      <c r="A244" s="41" t="s">
        <v>1065</v>
      </c>
      <c r="B244" s="41" t="s">
        <v>95</v>
      </c>
      <c r="C244" s="42" t="s">
        <v>1066</v>
      </c>
      <c r="D244" s="40">
        <v>481</v>
      </c>
      <c r="E244" s="42" t="s">
        <v>1067</v>
      </c>
      <c r="F244" s="41" t="s">
        <v>1068</v>
      </c>
      <c r="G244" s="43">
        <v>2.2000000000000002</v>
      </c>
      <c r="H244" s="41" t="s">
        <v>96</v>
      </c>
      <c r="I244" s="44">
        <v>2711.83</v>
      </c>
      <c r="J244" s="44">
        <v>1242.58</v>
      </c>
      <c r="K244" s="44">
        <v>1469.25</v>
      </c>
    </row>
    <row r="245" spans="1:11" x14ac:dyDescent="0.25">
      <c r="A245" s="41" t="s">
        <v>1069</v>
      </c>
      <c r="B245" s="41" t="s">
        <v>1070</v>
      </c>
      <c r="C245" s="42" t="s">
        <v>1071</v>
      </c>
      <c r="D245" s="40">
        <v>77</v>
      </c>
      <c r="E245" s="42" t="s">
        <v>1072</v>
      </c>
      <c r="F245" s="40">
        <v>6</v>
      </c>
      <c r="G245" s="43">
        <v>1.81</v>
      </c>
      <c r="H245" s="41" t="s">
        <v>99</v>
      </c>
      <c r="I245" s="44">
        <v>1550.65</v>
      </c>
      <c r="J245" s="44">
        <v>645.6</v>
      </c>
      <c r="K245" s="44">
        <v>905.05</v>
      </c>
    </row>
    <row r="246" spans="1:11" x14ac:dyDescent="0.25">
      <c r="A246" s="41" t="s">
        <v>1073</v>
      </c>
      <c r="B246" s="41" t="s">
        <v>188</v>
      </c>
      <c r="C246" s="42" t="s">
        <v>1074</v>
      </c>
      <c r="D246" s="40">
        <v>93</v>
      </c>
      <c r="E246" s="42" t="s">
        <v>1075</v>
      </c>
      <c r="F246" s="40">
        <v>27</v>
      </c>
      <c r="G246" s="43">
        <v>1.71</v>
      </c>
      <c r="H246" s="41" t="s">
        <v>96</v>
      </c>
      <c r="I246" s="44">
        <v>1643.25</v>
      </c>
      <c r="J246" s="44">
        <v>857.6</v>
      </c>
      <c r="K246" s="44">
        <v>785.65</v>
      </c>
    </row>
    <row r="247" spans="1:11" x14ac:dyDescent="0.25">
      <c r="A247" s="41" t="s">
        <v>1076</v>
      </c>
      <c r="B247" s="41" t="s">
        <v>109</v>
      </c>
      <c r="C247" s="42" t="s">
        <v>1077</v>
      </c>
      <c r="D247" s="40">
        <v>636</v>
      </c>
      <c r="E247" s="42" t="s">
        <v>1078</v>
      </c>
      <c r="F247" s="40">
        <v>8</v>
      </c>
      <c r="G247" s="43">
        <v>2.1</v>
      </c>
      <c r="H247" s="41" t="s">
        <v>99</v>
      </c>
      <c r="I247" s="44">
        <v>2209.17</v>
      </c>
      <c r="J247" s="44">
        <v>973.78</v>
      </c>
      <c r="K247" s="44">
        <v>1235.3900000000001</v>
      </c>
    </row>
    <row r="248" spans="1:11" x14ac:dyDescent="0.25">
      <c r="A248" s="41" t="s">
        <v>1079</v>
      </c>
      <c r="B248" s="41" t="s">
        <v>1080</v>
      </c>
      <c r="C248" s="42" t="s">
        <v>1081</v>
      </c>
      <c r="D248" s="40">
        <v>187</v>
      </c>
      <c r="E248" s="42" t="s">
        <v>1082</v>
      </c>
      <c r="F248" s="40">
        <v>37</v>
      </c>
      <c r="G248" s="43">
        <v>2.097</v>
      </c>
      <c r="H248" s="41" t="s">
        <v>96</v>
      </c>
      <c r="I248" s="44">
        <v>13504.93</v>
      </c>
      <c r="J248" s="44">
        <v>6218.77</v>
      </c>
      <c r="K248" s="44">
        <v>7286.16</v>
      </c>
    </row>
    <row r="249" spans="1:11" ht="15" x14ac:dyDescent="0.25">
      <c r="A249" s="41" t="s">
        <v>1083</v>
      </c>
      <c r="B249" s="41" t="s">
        <v>134</v>
      </c>
      <c r="C249" s="42" t="s">
        <v>1084</v>
      </c>
      <c r="D249" s="40" t="s">
        <v>1085</v>
      </c>
      <c r="E249" s="42" t="s">
        <v>162</v>
      </c>
      <c r="F249" s="40">
        <v>90</v>
      </c>
      <c r="G249" s="43">
        <v>2.0699999999999998</v>
      </c>
      <c r="H249" s="41" t="s">
        <v>112</v>
      </c>
      <c r="I249" s="44">
        <v>1497.13</v>
      </c>
      <c r="J249" s="44">
        <v>753.19</v>
      </c>
      <c r="K249" s="44">
        <v>743.94</v>
      </c>
    </row>
    <row r="250" spans="1:11" x14ac:dyDescent="0.25">
      <c r="A250" s="41" t="s">
        <v>1086</v>
      </c>
      <c r="B250" s="41" t="s">
        <v>188</v>
      </c>
      <c r="C250" s="42" t="s">
        <v>1087</v>
      </c>
      <c r="D250" s="40">
        <v>307</v>
      </c>
      <c r="E250" s="42" t="s">
        <v>1088</v>
      </c>
      <c r="F250" s="40">
        <v>6</v>
      </c>
      <c r="G250" s="43">
        <v>2.12</v>
      </c>
      <c r="H250" s="41" t="s">
        <v>99</v>
      </c>
      <c r="I250" s="44">
        <v>1627.43</v>
      </c>
      <c r="J250" s="44">
        <v>730.56</v>
      </c>
      <c r="K250" s="44">
        <v>896.87</v>
      </c>
    </row>
    <row r="251" spans="1:11" ht="15" x14ac:dyDescent="0.25">
      <c r="A251" s="41" t="s">
        <v>1089</v>
      </c>
      <c r="B251" s="41" t="s">
        <v>95</v>
      </c>
      <c r="C251" s="42" t="s">
        <v>1090</v>
      </c>
      <c r="D251" s="40">
        <v>434</v>
      </c>
      <c r="E251" s="42" t="s">
        <v>1091</v>
      </c>
      <c r="F251" s="40" t="s">
        <v>960</v>
      </c>
      <c r="G251" s="43">
        <v>2.37</v>
      </c>
      <c r="H251" s="41" t="s">
        <v>96</v>
      </c>
      <c r="I251" s="44">
        <v>766.74</v>
      </c>
      <c r="J251" s="44">
        <v>386.24</v>
      </c>
      <c r="K251" s="44">
        <v>380.5</v>
      </c>
    </row>
    <row r="252" spans="1:11" x14ac:dyDescent="0.25">
      <c r="A252" s="41" t="s">
        <v>1092</v>
      </c>
      <c r="B252" s="41" t="s">
        <v>109</v>
      </c>
      <c r="C252" s="42" t="s">
        <v>1093</v>
      </c>
      <c r="D252" s="40">
        <v>406</v>
      </c>
      <c r="E252" s="42" t="s">
        <v>1094</v>
      </c>
      <c r="F252" s="40">
        <v>10</v>
      </c>
      <c r="G252" s="43">
        <v>1.91</v>
      </c>
      <c r="H252" s="41" t="s">
        <v>99</v>
      </c>
      <c r="I252" s="44">
        <v>1540.6</v>
      </c>
      <c r="J252" s="44">
        <v>662.47</v>
      </c>
      <c r="K252" s="44">
        <v>878.13</v>
      </c>
    </row>
    <row r="253" spans="1:11" x14ac:dyDescent="0.25">
      <c r="A253" s="41" t="s">
        <v>1095</v>
      </c>
      <c r="B253" s="41" t="s">
        <v>106</v>
      </c>
      <c r="C253" s="42" t="s">
        <v>1096</v>
      </c>
      <c r="D253" s="40">
        <v>185</v>
      </c>
      <c r="E253" s="42" t="s">
        <v>1097</v>
      </c>
      <c r="F253" s="40">
        <v>6</v>
      </c>
      <c r="G253" s="43">
        <v>1.82</v>
      </c>
      <c r="H253" s="41" t="s">
        <v>99</v>
      </c>
      <c r="I253" s="44">
        <v>2474.4</v>
      </c>
      <c r="J253" s="44">
        <v>968.66</v>
      </c>
      <c r="K253" s="44">
        <v>1505.74</v>
      </c>
    </row>
    <row r="254" spans="1:11" x14ac:dyDescent="0.25">
      <c r="A254" s="41" t="s">
        <v>1098</v>
      </c>
      <c r="B254" s="41" t="s">
        <v>183</v>
      </c>
      <c r="C254" s="42" t="s">
        <v>1099</v>
      </c>
      <c r="D254" s="40">
        <v>192</v>
      </c>
      <c r="E254" s="42" t="s">
        <v>1100</v>
      </c>
      <c r="F254" s="40">
        <v>36</v>
      </c>
      <c r="G254" s="43">
        <v>2.41</v>
      </c>
      <c r="H254" s="41" t="s">
        <v>96</v>
      </c>
      <c r="I254" s="44">
        <v>2639.82</v>
      </c>
      <c r="J254" s="44">
        <v>1334.41</v>
      </c>
      <c r="K254" s="44">
        <v>1305.4100000000001</v>
      </c>
    </row>
    <row r="255" spans="1:11" s="1" customFormat="1" ht="15" x14ac:dyDescent="0.25">
      <c r="A255" s="41" t="s">
        <v>1101</v>
      </c>
      <c r="B255" s="41" t="s">
        <v>1057</v>
      </c>
      <c r="C255" s="42" t="s">
        <v>1102</v>
      </c>
      <c r="D255" s="41" t="s">
        <v>1103</v>
      </c>
      <c r="E255" s="46" t="s">
        <v>1104</v>
      </c>
      <c r="F255" s="41" t="s">
        <v>1105</v>
      </c>
      <c r="G255" s="43">
        <v>1.905</v>
      </c>
      <c r="H255" s="41" t="s">
        <v>96</v>
      </c>
      <c r="I255" s="44">
        <v>6971.76</v>
      </c>
      <c r="J255" s="44">
        <v>3301.47</v>
      </c>
      <c r="K255" s="44">
        <v>3670.29</v>
      </c>
    </row>
    <row r="256" spans="1:11" s="1" customFormat="1" ht="15" x14ac:dyDescent="0.25">
      <c r="A256" s="41" t="s">
        <v>1106</v>
      </c>
      <c r="B256" s="41" t="s">
        <v>106</v>
      </c>
      <c r="C256" s="42" t="s">
        <v>1107</v>
      </c>
      <c r="D256" s="40" t="s">
        <v>1108</v>
      </c>
      <c r="E256" s="42" t="s">
        <v>105</v>
      </c>
      <c r="F256" s="40">
        <v>59</v>
      </c>
      <c r="G256" s="43">
        <v>1.8949969604100001</v>
      </c>
      <c r="H256" s="41" t="s">
        <v>117</v>
      </c>
      <c r="I256" s="44">
        <v>3208.63</v>
      </c>
      <c r="J256" s="44">
        <v>1577.78</v>
      </c>
      <c r="K256" s="44">
        <v>1630.85</v>
      </c>
    </row>
    <row r="257" spans="1:11" s="1" customFormat="1" x14ac:dyDescent="0.25">
      <c r="A257" s="41" t="s">
        <v>1109</v>
      </c>
      <c r="B257" s="41" t="s">
        <v>109</v>
      </c>
      <c r="C257" s="42" t="s">
        <v>1110</v>
      </c>
      <c r="D257" s="40">
        <v>201</v>
      </c>
      <c r="E257" s="42" t="s">
        <v>1111</v>
      </c>
      <c r="F257" s="40">
        <v>6</v>
      </c>
      <c r="G257" s="43">
        <v>2.2999999999999998</v>
      </c>
      <c r="H257" s="41" t="s">
        <v>99</v>
      </c>
      <c r="I257" s="44">
        <v>611.54</v>
      </c>
      <c r="J257" s="44">
        <v>274.22000000000003</v>
      </c>
      <c r="K257" s="44">
        <v>337.32</v>
      </c>
    </row>
    <row r="258" spans="1:11" s="1" customFormat="1" x14ac:dyDescent="0.25">
      <c r="A258" s="41" t="s">
        <v>1112</v>
      </c>
      <c r="B258" s="41" t="s">
        <v>95</v>
      </c>
      <c r="C258" s="42" t="s">
        <v>1113</v>
      </c>
      <c r="D258" s="40">
        <v>690</v>
      </c>
      <c r="E258" s="42" t="s">
        <v>125</v>
      </c>
      <c r="F258" s="41" t="s">
        <v>1114</v>
      </c>
      <c r="G258" s="43">
        <v>2.34</v>
      </c>
      <c r="H258" s="41" t="s">
        <v>96</v>
      </c>
      <c r="I258" s="44">
        <v>3605.05</v>
      </c>
      <c r="J258" s="44">
        <v>1650.52</v>
      </c>
      <c r="K258" s="44">
        <v>1954.53</v>
      </c>
    </row>
    <row r="259" spans="1:11" s="1" customFormat="1" x14ac:dyDescent="0.25">
      <c r="A259" s="41" t="s">
        <v>1115</v>
      </c>
      <c r="B259" s="41" t="s">
        <v>1116</v>
      </c>
      <c r="C259" s="42" t="s">
        <v>1117</v>
      </c>
      <c r="D259" s="40">
        <v>149</v>
      </c>
      <c r="E259" s="42" t="s">
        <v>1118</v>
      </c>
      <c r="F259" s="40">
        <v>6</v>
      </c>
      <c r="G259" s="43">
        <v>1.4410000000000001</v>
      </c>
      <c r="H259" s="41" t="s">
        <v>99</v>
      </c>
      <c r="I259" s="44">
        <v>3177.05</v>
      </c>
      <c r="J259" s="44">
        <v>1285.69</v>
      </c>
      <c r="K259" s="44">
        <v>1891.36</v>
      </c>
    </row>
    <row r="260" spans="1:11" s="1" customFormat="1" x14ac:dyDescent="0.25">
      <c r="A260" s="41" t="s">
        <v>1119</v>
      </c>
      <c r="B260" s="41" t="s">
        <v>109</v>
      </c>
      <c r="C260" s="42" t="s">
        <v>1066</v>
      </c>
      <c r="D260" s="40">
        <v>137</v>
      </c>
      <c r="E260" s="42" t="s">
        <v>1120</v>
      </c>
      <c r="F260" s="40">
        <v>34</v>
      </c>
      <c r="G260" s="43">
        <v>1.9</v>
      </c>
      <c r="H260" s="41" t="s">
        <v>96</v>
      </c>
      <c r="I260" s="44">
        <v>1236.1199999999999</v>
      </c>
      <c r="J260" s="44">
        <v>648.45000000000005</v>
      </c>
      <c r="K260" s="44">
        <v>587.66999999999996</v>
      </c>
    </row>
    <row r="261" spans="1:11" s="1" customFormat="1" x14ac:dyDescent="0.25">
      <c r="A261" s="41" t="s">
        <v>1121</v>
      </c>
      <c r="B261" s="41" t="s">
        <v>448</v>
      </c>
      <c r="C261" s="42" t="s">
        <v>1122</v>
      </c>
      <c r="D261" s="40">
        <v>432</v>
      </c>
      <c r="E261" s="42" t="s">
        <v>1123</v>
      </c>
      <c r="F261" s="40">
        <v>86</v>
      </c>
      <c r="G261" s="43">
        <v>1.89</v>
      </c>
      <c r="H261" s="41" t="s">
        <v>112</v>
      </c>
      <c r="I261" s="44">
        <v>2955.5</v>
      </c>
      <c r="J261" s="44">
        <v>1387</v>
      </c>
      <c r="K261" s="44">
        <v>1568.5</v>
      </c>
    </row>
    <row r="262" spans="1:11" s="1" customFormat="1" ht="15" x14ac:dyDescent="0.25">
      <c r="A262" s="41" t="s">
        <v>1124</v>
      </c>
      <c r="B262" s="41" t="s">
        <v>1039</v>
      </c>
      <c r="C262" s="42" t="s">
        <v>1125</v>
      </c>
      <c r="D262" s="40">
        <v>728</v>
      </c>
      <c r="E262" s="41" t="s">
        <v>1126</v>
      </c>
      <c r="F262" s="40" t="s">
        <v>952</v>
      </c>
      <c r="G262" s="43">
        <v>2.1800000000000002</v>
      </c>
      <c r="H262" s="41" t="s">
        <v>96</v>
      </c>
      <c r="I262" s="44">
        <v>4192.8999999999996</v>
      </c>
      <c r="J262" s="44">
        <v>1997.89</v>
      </c>
      <c r="K262" s="44">
        <v>2195.0100000000002</v>
      </c>
    </row>
    <row r="263" spans="1:11" s="1" customFormat="1" ht="15" x14ac:dyDescent="0.25">
      <c r="A263" s="41" t="s">
        <v>1127</v>
      </c>
      <c r="B263" s="41" t="s">
        <v>1039</v>
      </c>
      <c r="C263" s="42" t="s">
        <v>1128</v>
      </c>
      <c r="D263" s="40">
        <v>673</v>
      </c>
      <c r="E263" s="42" t="s">
        <v>1129</v>
      </c>
      <c r="F263" s="40" t="s">
        <v>1130</v>
      </c>
      <c r="G263" s="43">
        <v>1.4359999999999999</v>
      </c>
      <c r="H263" s="41" t="s">
        <v>96</v>
      </c>
      <c r="I263" s="44">
        <v>4408.9399999999996</v>
      </c>
      <c r="J263" s="44">
        <v>2062.16</v>
      </c>
      <c r="K263" s="44">
        <v>2346.7800000000002</v>
      </c>
    </row>
    <row r="264" spans="1:11" s="1" customFormat="1" ht="15" x14ac:dyDescent="0.25">
      <c r="A264" s="41" t="s">
        <v>1131</v>
      </c>
      <c r="B264" s="41" t="s">
        <v>1132</v>
      </c>
      <c r="C264" s="42" t="s">
        <v>1133</v>
      </c>
      <c r="D264" s="40" t="s">
        <v>1134</v>
      </c>
      <c r="E264" s="42" t="s">
        <v>155</v>
      </c>
      <c r="F264" s="41" t="s">
        <v>1135</v>
      </c>
      <c r="G264" s="43">
        <v>1.798</v>
      </c>
      <c r="H264" s="41" t="s">
        <v>96</v>
      </c>
      <c r="I264" s="44">
        <v>3199.15</v>
      </c>
      <c r="J264" s="44">
        <v>1485.77</v>
      </c>
      <c r="K264" s="44">
        <v>1713.38</v>
      </c>
    </row>
    <row r="265" spans="1:11" s="1" customFormat="1" ht="13.2" x14ac:dyDescent="0.25">
      <c r="A265" s="6"/>
      <c r="B265" s="6"/>
      <c r="D265" s="6"/>
      <c r="F265" s="6"/>
      <c r="G265" s="6"/>
      <c r="H265" s="6"/>
      <c r="I265" s="6"/>
      <c r="J265" s="6"/>
      <c r="K265" s="6"/>
    </row>
    <row r="266" spans="1:11" s="1" customFormat="1" ht="13.2" x14ac:dyDescent="0.25">
      <c r="A266" s="6"/>
      <c r="B266" s="6"/>
      <c r="D266" s="6"/>
      <c r="F266" s="6"/>
      <c r="G266" s="6"/>
      <c r="H266" s="6"/>
      <c r="I266" s="6"/>
      <c r="J266" s="6"/>
      <c r="K266" s="6"/>
    </row>
    <row r="267" spans="1:11" s="1" customFormat="1" ht="13.2" x14ac:dyDescent="0.25">
      <c r="A267" s="6"/>
      <c r="B267" s="6"/>
      <c r="D267" s="6"/>
      <c r="F267" s="6"/>
      <c r="G267" s="6"/>
      <c r="H267" s="6"/>
      <c r="I267" s="6"/>
      <c r="J267" s="6"/>
      <c r="K267" s="6"/>
    </row>
    <row r="268" spans="1:11" s="1" customFormat="1" ht="13.2" x14ac:dyDescent="0.25">
      <c r="A268" s="6"/>
      <c r="B268" s="6"/>
      <c r="D268" s="6"/>
      <c r="F268" s="6"/>
      <c r="G268" s="6"/>
      <c r="H268" s="6"/>
      <c r="I268" s="6"/>
      <c r="J268" s="6"/>
      <c r="K268" s="6"/>
    </row>
    <row r="269" spans="1:11" s="1" customFormat="1" ht="13.2" x14ac:dyDescent="0.25">
      <c r="A269" s="6"/>
      <c r="B269" s="6"/>
      <c r="D269" s="6"/>
      <c r="F269" s="6"/>
      <c r="G269" s="6"/>
      <c r="H269" s="6"/>
      <c r="I269" s="6"/>
      <c r="J269" s="6"/>
      <c r="K269" s="6"/>
    </row>
    <row r="270" spans="1:11" s="1" customFormat="1" ht="13.2" x14ac:dyDescent="0.25">
      <c r="A270" s="6"/>
      <c r="B270" s="6"/>
      <c r="D270" s="6"/>
      <c r="F270" s="6"/>
      <c r="G270" s="6"/>
      <c r="H270" s="6"/>
      <c r="I270" s="6"/>
      <c r="J270" s="6"/>
      <c r="K270" s="6"/>
    </row>
    <row r="271" spans="1:11" s="1" customFormat="1" ht="13.2" x14ac:dyDescent="0.25">
      <c r="A271" s="6"/>
      <c r="B271" s="6"/>
      <c r="D271" s="6"/>
      <c r="F271" s="6"/>
      <c r="G271" s="6"/>
      <c r="H271" s="6"/>
      <c r="I271" s="6"/>
      <c r="J271" s="6"/>
      <c r="K271" s="6"/>
    </row>
    <row r="272" spans="1:11" s="1" customFormat="1" ht="13.2" x14ac:dyDescent="0.25">
      <c r="A272" s="6"/>
      <c r="B272" s="6"/>
      <c r="D272" s="6"/>
      <c r="F272" s="6"/>
      <c r="G272" s="6"/>
      <c r="H272" s="6"/>
      <c r="I272" s="6"/>
      <c r="J272" s="6"/>
      <c r="K272" s="6"/>
    </row>
    <row r="273" spans="1:11" s="1" customFormat="1" ht="13.2" x14ac:dyDescent="0.25">
      <c r="A273" s="6"/>
      <c r="B273" s="6"/>
      <c r="D273" s="6"/>
      <c r="F273" s="6"/>
      <c r="G273" s="6"/>
      <c r="H273" s="6"/>
      <c r="I273" s="6"/>
      <c r="J273" s="6"/>
      <c r="K273" s="6"/>
    </row>
    <row r="274" spans="1:11" s="1" customFormat="1" ht="13.2" x14ac:dyDescent="0.25">
      <c r="A274" s="6"/>
      <c r="B274" s="6"/>
      <c r="D274" s="6"/>
      <c r="F274" s="6"/>
      <c r="G274" s="6"/>
      <c r="H274" s="6"/>
      <c r="I274" s="6"/>
      <c r="J274" s="6"/>
      <c r="K274" s="6"/>
    </row>
    <row r="275" spans="1:11" s="1" customFormat="1" ht="13.2" x14ac:dyDescent="0.25">
      <c r="A275" s="6"/>
      <c r="B275" s="6"/>
      <c r="D275" s="6"/>
      <c r="F275" s="6"/>
      <c r="G275" s="6"/>
      <c r="H275" s="6"/>
      <c r="I275" s="6"/>
      <c r="J275" s="6"/>
      <c r="K275" s="6"/>
    </row>
    <row r="276" spans="1:11" s="1" customFormat="1" ht="13.2" x14ac:dyDescent="0.25">
      <c r="A276" s="6"/>
      <c r="B276" s="6"/>
      <c r="D276" s="6"/>
      <c r="F276" s="6"/>
      <c r="G276" s="6"/>
      <c r="H276" s="6"/>
      <c r="I276" s="6"/>
      <c r="J276" s="6"/>
      <c r="K276" s="6"/>
    </row>
    <row r="277" spans="1:11" s="1" customFormat="1" ht="13.2" x14ac:dyDescent="0.25">
      <c r="A277" s="6"/>
      <c r="B277" s="6"/>
      <c r="D277" s="6"/>
      <c r="F277" s="6"/>
      <c r="G277" s="6"/>
      <c r="H277" s="6"/>
      <c r="I277" s="6"/>
      <c r="J277" s="6"/>
      <c r="K277" s="6"/>
    </row>
    <row r="278" spans="1:11" s="1" customFormat="1" ht="13.2" x14ac:dyDescent="0.25">
      <c r="A278" s="6"/>
      <c r="B278" s="6"/>
      <c r="D278" s="6"/>
      <c r="F278" s="6"/>
      <c r="G278" s="6"/>
      <c r="H278" s="6"/>
      <c r="I278" s="6"/>
      <c r="J278" s="6"/>
      <c r="K278" s="6"/>
    </row>
    <row r="279" spans="1:11" s="1" customFormat="1" ht="13.2" x14ac:dyDescent="0.25">
      <c r="A279" s="6"/>
      <c r="B279" s="6"/>
      <c r="D279" s="6"/>
      <c r="F279" s="6"/>
      <c r="G279" s="6"/>
      <c r="H279" s="6"/>
      <c r="I279" s="6"/>
      <c r="J279" s="6"/>
      <c r="K279" s="6"/>
    </row>
    <row r="280" spans="1:11" s="1" customFormat="1" ht="13.2" x14ac:dyDescent="0.25">
      <c r="A280" s="6"/>
      <c r="B280" s="6"/>
      <c r="D280" s="6"/>
      <c r="F280" s="6"/>
      <c r="G280" s="6"/>
      <c r="H280" s="6"/>
      <c r="I280" s="6"/>
      <c r="J280" s="6"/>
      <c r="K280" s="6"/>
    </row>
    <row r="281" spans="1:11" s="1" customFormat="1" ht="13.2" x14ac:dyDescent="0.25">
      <c r="A281" s="6"/>
      <c r="B281" s="6"/>
      <c r="D281" s="6"/>
      <c r="F281" s="6"/>
      <c r="G281" s="6"/>
      <c r="H281" s="6"/>
      <c r="I281" s="6"/>
      <c r="J281" s="6"/>
      <c r="K281" s="6"/>
    </row>
    <row r="282" spans="1:11" s="1" customFormat="1" ht="13.2" x14ac:dyDescent="0.25">
      <c r="A282" s="6"/>
      <c r="B282" s="6"/>
      <c r="D282" s="6"/>
      <c r="F282" s="6"/>
      <c r="G282" s="6"/>
      <c r="H282" s="6"/>
      <c r="I282" s="6"/>
      <c r="J282" s="6"/>
      <c r="K282" s="6"/>
    </row>
    <row r="283" spans="1:11" s="1" customFormat="1" ht="13.2" x14ac:dyDescent="0.25">
      <c r="A283" s="6"/>
      <c r="B283" s="6"/>
      <c r="D283" s="6"/>
      <c r="F283" s="6"/>
      <c r="G283" s="6"/>
      <c r="H283" s="6"/>
      <c r="I283" s="6"/>
      <c r="J283" s="6"/>
      <c r="K283" s="6"/>
    </row>
    <row r="284" spans="1:11" s="1" customFormat="1" ht="13.2" x14ac:dyDescent="0.25">
      <c r="A284" s="6"/>
      <c r="B284" s="6"/>
      <c r="D284" s="6"/>
      <c r="F284" s="6"/>
      <c r="G284" s="6"/>
      <c r="H284" s="6"/>
      <c r="I284" s="6"/>
      <c r="J284" s="6"/>
      <c r="K284" s="6"/>
    </row>
    <row r="285" spans="1:11" s="1" customFormat="1" ht="13.2" x14ac:dyDescent="0.25">
      <c r="A285" s="6"/>
      <c r="B285" s="6"/>
      <c r="D285" s="6"/>
      <c r="F285" s="6"/>
      <c r="G285" s="6"/>
      <c r="H285" s="6"/>
      <c r="I285" s="6"/>
      <c r="J285" s="6"/>
      <c r="K285" s="6"/>
    </row>
    <row r="286" spans="1:11" s="1" customFormat="1" ht="13.2" x14ac:dyDescent="0.25">
      <c r="A286" s="6"/>
      <c r="B286" s="6"/>
      <c r="D286" s="6"/>
      <c r="F286" s="6"/>
      <c r="G286" s="6"/>
      <c r="H286" s="6"/>
      <c r="I286" s="6"/>
      <c r="J286" s="6"/>
      <c r="K286" s="6"/>
    </row>
    <row r="287" spans="1:11" s="1" customFormat="1" ht="13.2" x14ac:dyDescent="0.25">
      <c r="A287" s="6"/>
      <c r="B287" s="6"/>
      <c r="D287" s="6"/>
      <c r="F287" s="6"/>
      <c r="G287" s="6"/>
      <c r="H287" s="6"/>
      <c r="I287" s="6"/>
      <c r="J287" s="6"/>
      <c r="K287" s="6"/>
    </row>
    <row r="288" spans="1:11" s="1" customFormat="1" ht="13.2" x14ac:dyDescent="0.25">
      <c r="A288" s="6"/>
      <c r="B288" s="6"/>
      <c r="D288" s="6"/>
      <c r="F288" s="6"/>
      <c r="G288" s="6"/>
      <c r="H288" s="6"/>
      <c r="I288" s="6"/>
      <c r="J288" s="6"/>
      <c r="K288" s="6"/>
    </row>
    <row r="289" spans="1:11" s="1" customFormat="1" ht="13.2" x14ac:dyDescent="0.25">
      <c r="A289" s="6"/>
      <c r="B289" s="6"/>
      <c r="D289" s="6"/>
      <c r="F289" s="6"/>
      <c r="G289" s="6"/>
      <c r="H289" s="6"/>
      <c r="I289" s="6"/>
      <c r="J289" s="6"/>
      <c r="K289" s="6"/>
    </row>
    <row r="290" spans="1:11" s="1" customFormat="1" ht="13.2" x14ac:dyDescent="0.25">
      <c r="A290" s="6"/>
      <c r="B290" s="6"/>
      <c r="D290" s="6"/>
      <c r="F290" s="6"/>
      <c r="G290" s="6"/>
      <c r="H290" s="6"/>
      <c r="I290" s="6"/>
      <c r="J290" s="6"/>
      <c r="K290" s="6"/>
    </row>
    <row r="291" spans="1:11" s="1" customFormat="1" ht="13.2" x14ac:dyDescent="0.25">
      <c r="A291" s="6"/>
      <c r="B291" s="6"/>
      <c r="D291" s="6"/>
      <c r="F291" s="6"/>
      <c r="G291" s="6"/>
      <c r="H291" s="6"/>
      <c r="I291" s="6"/>
      <c r="J291" s="6"/>
      <c r="K291" s="6"/>
    </row>
    <row r="292" spans="1:11" s="1" customFormat="1" ht="13.2" x14ac:dyDescent="0.25">
      <c r="A292" s="6"/>
      <c r="B292" s="6"/>
      <c r="D292" s="6"/>
      <c r="F292" s="6"/>
      <c r="G292" s="6"/>
      <c r="H292" s="6"/>
      <c r="I292" s="6"/>
      <c r="J292" s="6"/>
      <c r="K292" s="6"/>
    </row>
    <row r="293" spans="1:11" s="1" customFormat="1" ht="13.2" x14ac:dyDescent="0.25">
      <c r="A293" s="6"/>
      <c r="B293" s="6"/>
      <c r="D293" s="6"/>
      <c r="F293" s="6"/>
      <c r="G293" s="6"/>
      <c r="H293" s="6"/>
      <c r="I293" s="6"/>
      <c r="J293" s="6"/>
      <c r="K293" s="6"/>
    </row>
    <row r="294" spans="1:11" s="1" customFormat="1" ht="13.2" x14ac:dyDescent="0.25">
      <c r="A294" s="6"/>
      <c r="B294" s="6"/>
      <c r="D294" s="6"/>
      <c r="F294" s="6"/>
      <c r="G294" s="6"/>
      <c r="H294" s="6"/>
      <c r="I294" s="6"/>
      <c r="J294" s="6"/>
      <c r="K294" s="6"/>
    </row>
    <row r="295" spans="1:11" s="1" customFormat="1" ht="13.2" x14ac:dyDescent="0.25">
      <c r="A295" s="6"/>
      <c r="B295" s="6"/>
      <c r="D295" s="6"/>
      <c r="F295" s="6"/>
      <c r="G295" s="6"/>
      <c r="H295" s="6"/>
      <c r="I295" s="6"/>
      <c r="J295" s="6"/>
      <c r="K295" s="6"/>
    </row>
    <row r="296" spans="1:11" s="1" customFormat="1" ht="13.2" x14ac:dyDescent="0.25">
      <c r="A296" s="6"/>
      <c r="B296" s="6"/>
      <c r="D296" s="6"/>
      <c r="F296" s="6"/>
      <c r="G296" s="6"/>
      <c r="H296" s="6"/>
      <c r="I296" s="6"/>
      <c r="J296" s="6"/>
      <c r="K296" s="6"/>
    </row>
    <row r="297" spans="1:11" s="1" customFormat="1" ht="13.2" x14ac:dyDescent="0.25">
      <c r="A297" s="6"/>
      <c r="B297" s="6"/>
      <c r="D297" s="6"/>
      <c r="F297" s="6"/>
      <c r="G297" s="6"/>
      <c r="H297" s="6"/>
      <c r="I297" s="6"/>
      <c r="J297" s="6"/>
      <c r="K297" s="6"/>
    </row>
    <row r="298" spans="1:11" s="1" customFormat="1" ht="13.2" x14ac:dyDescent="0.25">
      <c r="A298" s="6"/>
      <c r="B298" s="6"/>
      <c r="D298" s="6"/>
      <c r="F298" s="6"/>
      <c r="G298" s="6"/>
      <c r="H298" s="6"/>
      <c r="I298" s="6"/>
      <c r="J298" s="6"/>
      <c r="K298" s="6"/>
    </row>
    <row r="299" spans="1:11" s="1" customFormat="1" ht="13.2" x14ac:dyDescent="0.25">
      <c r="A299" s="6"/>
      <c r="B299" s="6"/>
      <c r="D299" s="6"/>
      <c r="F299" s="6"/>
      <c r="G299" s="6"/>
      <c r="H299" s="6"/>
      <c r="I299" s="6"/>
      <c r="J299" s="6"/>
      <c r="K299" s="6"/>
    </row>
    <row r="300" spans="1:11" s="1" customFormat="1" ht="13.2" x14ac:dyDescent="0.25">
      <c r="A300" s="6"/>
      <c r="B300" s="6"/>
      <c r="D300" s="6"/>
      <c r="F300" s="6"/>
      <c r="G300" s="6"/>
      <c r="H300" s="6"/>
      <c r="I300" s="6"/>
      <c r="J300" s="6"/>
      <c r="K300" s="6"/>
    </row>
    <row r="301" spans="1:11" s="1" customFormat="1" ht="13.2" x14ac:dyDescent="0.25">
      <c r="A301" s="6"/>
      <c r="B301" s="6"/>
      <c r="D301" s="6"/>
      <c r="F301" s="6"/>
      <c r="G301" s="6"/>
      <c r="H301" s="6"/>
      <c r="I301" s="6"/>
      <c r="J301" s="6"/>
      <c r="K301" s="6"/>
    </row>
    <row r="302" spans="1:11" s="1" customFormat="1" ht="13.2" x14ac:dyDescent="0.25">
      <c r="A302" s="6"/>
      <c r="B302" s="6"/>
      <c r="D302" s="6"/>
      <c r="F302" s="6"/>
      <c r="G302" s="6"/>
      <c r="H302" s="6"/>
      <c r="I302" s="6"/>
      <c r="J302" s="6"/>
      <c r="K302" s="6"/>
    </row>
    <row r="303" spans="1:11" s="1" customFormat="1" ht="13.2" x14ac:dyDescent="0.25">
      <c r="A303" s="6"/>
      <c r="B303" s="6"/>
      <c r="D303" s="6"/>
      <c r="F303" s="6"/>
      <c r="G303" s="6"/>
      <c r="H303" s="6"/>
      <c r="I303" s="6"/>
      <c r="J303" s="6"/>
      <c r="K303" s="6"/>
    </row>
    <row r="304" spans="1:11" s="1" customFormat="1" ht="13.2" x14ac:dyDescent="0.25">
      <c r="A304" s="6"/>
      <c r="B304" s="6"/>
      <c r="D304" s="6"/>
      <c r="F304" s="6"/>
      <c r="G304" s="6"/>
      <c r="H304" s="6"/>
      <c r="I304" s="6"/>
      <c r="J304" s="6"/>
      <c r="K304" s="6"/>
    </row>
    <row r="305" spans="1:11" s="1" customFormat="1" ht="13.2" x14ac:dyDescent="0.25">
      <c r="A305" s="6"/>
      <c r="B305" s="6"/>
      <c r="D305" s="6"/>
      <c r="F305" s="6"/>
      <c r="G305" s="6"/>
      <c r="H305" s="6"/>
      <c r="I305" s="6"/>
      <c r="J305" s="6"/>
      <c r="K305" s="6"/>
    </row>
    <row r="306" spans="1:11" s="1" customFormat="1" ht="13.2" x14ac:dyDescent="0.25">
      <c r="A306" s="6"/>
      <c r="B306" s="6"/>
      <c r="D306" s="6"/>
      <c r="F306" s="6"/>
      <c r="G306" s="6"/>
      <c r="H306" s="6"/>
      <c r="I306" s="6"/>
      <c r="J306" s="6"/>
      <c r="K306" s="6"/>
    </row>
    <row r="307" spans="1:11" s="1" customFormat="1" ht="13.2" x14ac:dyDescent="0.25">
      <c r="A307" s="6"/>
      <c r="B307" s="6"/>
      <c r="D307" s="6"/>
      <c r="F307" s="6"/>
      <c r="G307" s="6"/>
      <c r="H307" s="6"/>
      <c r="I307" s="6"/>
      <c r="J307" s="6"/>
      <c r="K307" s="6"/>
    </row>
    <row r="308" spans="1:11" s="1" customFormat="1" ht="13.2" x14ac:dyDescent="0.25">
      <c r="A308" s="6"/>
      <c r="B308" s="6"/>
      <c r="D308" s="6"/>
      <c r="F308" s="6"/>
      <c r="G308" s="6"/>
      <c r="H308" s="6"/>
      <c r="I308" s="6"/>
      <c r="J308" s="6"/>
      <c r="K308" s="6"/>
    </row>
    <row r="309" spans="1:11" s="1" customFormat="1" ht="13.2" x14ac:dyDescent="0.25">
      <c r="A309" s="6"/>
      <c r="B309" s="6"/>
      <c r="D309" s="6"/>
      <c r="F309" s="6"/>
      <c r="G309" s="6"/>
      <c r="H309" s="6"/>
      <c r="I309" s="6"/>
      <c r="J309" s="6"/>
      <c r="K309" s="6"/>
    </row>
    <row r="310" spans="1:11" s="1" customFormat="1" ht="13.2" x14ac:dyDescent="0.25">
      <c r="A310" s="6"/>
      <c r="B310" s="6"/>
      <c r="D310" s="6"/>
      <c r="F310" s="6"/>
      <c r="G310" s="6"/>
      <c r="H310" s="6"/>
      <c r="I310" s="6"/>
      <c r="J310" s="6"/>
      <c r="K310" s="6"/>
    </row>
    <row r="311" spans="1:11" s="1" customFormat="1" ht="13.2" x14ac:dyDescent="0.25">
      <c r="A311" s="6"/>
      <c r="B311" s="6"/>
      <c r="D311" s="6"/>
      <c r="F311" s="6"/>
      <c r="G311" s="6"/>
      <c r="H311" s="6"/>
      <c r="I311" s="6"/>
      <c r="J311" s="6"/>
      <c r="K311" s="6"/>
    </row>
    <row r="312" spans="1:11" s="1" customFormat="1" ht="13.2" x14ac:dyDescent="0.25">
      <c r="A312" s="6"/>
      <c r="B312" s="6"/>
      <c r="D312" s="6"/>
      <c r="F312" s="6"/>
      <c r="G312" s="6"/>
      <c r="H312" s="6"/>
      <c r="I312" s="6"/>
      <c r="J312" s="6"/>
      <c r="K312" s="6"/>
    </row>
    <row r="313" spans="1:11" s="1" customFormat="1" ht="13.2" x14ac:dyDescent="0.25">
      <c r="A313" s="6"/>
      <c r="B313" s="6"/>
      <c r="D313" s="6"/>
      <c r="F313" s="6"/>
      <c r="G313" s="6"/>
      <c r="H313" s="6"/>
      <c r="I313" s="6"/>
      <c r="J313" s="6"/>
      <c r="K313" s="6"/>
    </row>
    <row r="314" spans="1:11" s="1" customFormat="1" ht="13.2" x14ac:dyDescent="0.25">
      <c r="A314" s="6"/>
      <c r="B314" s="6"/>
      <c r="D314" s="6"/>
      <c r="F314" s="6"/>
      <c r="G314" s="6"/>
      <c r="H314" s="6"/>
      <c r="I314" s="6"/>
      <c r="J314" s="6"/>
      <c r="K314" s="6"/>
    </row>
    <row r="315" spans="1:11" s="1" customFormat="1" ht="13.2" x14ac:dyDescent="0.25">
      <c r="A315" s="6"/>
      <c r="B315" s="6"/>
      <c r="D315" s="6"/>
      <c r="F315" s="6"/>
      <c r="G315" s="6"/>
      <c r="H315" s="6"/>
      <c r="I315" s="6"/>
      <c r="J315" s="6"/>
      <c r="K315" s="6"/>
    </row>
    <row r="316" spans="1:11" s="1" customFormat="1" ht="13.2" x14ac:dyDescent="0.25">
      <c r="A316" s="6"/>
      <c r="B316" s="6"/>
      <c r="D316" s="6"/>
      <c r="F316" s="6"/>
      <c r="G316" s="6"/>
      <c r="H316" s="6"/>
      <c r="I316" s="6"/>
      <c r="J316" s="6"/>
      <c r="K316" s="6"/>
    </row>
    <row r="317" spans="1:11" s="1" customFormat="1" ht="13.2" x14ac:dyDescent="0.25">
      <c r="A317" s="6"/>
      <c r="B317" s="6"/>
      <c r="D317" s="6"/>
      <c r="F317" s="6"/>
      <c r="G317" s="6"/>
      <c r="H317" s="6"/>
      <c r="I317" s="6"/>
      <c r="J317" s="6"/>
      <c r="K317" s="6"/>
    </row>
    <row r="318" spans="1:11" s="1" customFormat="1" ht="13.2" x14ac:dyDescent="0.25">
      <c r="A318" s="6"/>
      <c r="B318" s="6"/>
      <c r="D318" s="6"/>
      <c r="F318" s="6"/>
      <c r="G318" s="6"/>
      <c r="H318" s="6"/>
      <c r="I318" s="6"/>
      <c r="J318" s="6"/>
      <c r="K318" s="6"/>
    </row>
    <row r="319" spans="1:11" s="1" customFormat="1" ht="13.2" x14ac:dyDescent="0.25">
      <c r="A319" s="6"/>
      <c r="B319" s="6"/>
      <c r="D319" s="6"/>
      <c r="F319" s="6"/>
      <c r="G319" s="6"/>
      <c r="H319" s="6"/>
      <c r="I319" s="6"/>
      <c r="J319" s="6"/>
      <c r="K319" s="6"/>
    </row>
    <row r="320" spans="1:11" s="1" customFormat="1" ht="13.2" x14ac:dyDescent="0.25">
      <c r="A320" s="6"/>
      <c r="B320" s="6"/>
      <c r="D320" s="6"/>
      <c r="F320" s="6"/>
      <c r="G320" s="6"/>
      <c r="H320" s="6"/>
      <c r="I320" s="6"/>
      <c r="J320" s="6"/>
      <c r="K320" s="6"/>
    </row>
    <row r="321" spans="1:11" s="1" customFormat="1" ht="13.2" x14ac:dyDescent="0.25">
      <c r="A321" s="6"/>
      <c r="B321" s="6"/>
      <c r="D321" s="6"/>
      <c r="F321" s="6"/>
      <c r="G321" s="6"/>
      <c r="H321" s="6"/>
      <c r="I321" s="6"/>
      <c r="J321" s="6"/>
      <c r="K321" s="6"/>
    </row>
    <row r="322" spans="1:11" s="1" customFormat="1" ht="13.2" x14ac:dyDescent="0.25">
      <c r="A322" s="6"/>
      <c r="B322" s="6"/>
      <c r="D322" s="6"/>
      <c r="F322" s="6"/>
      <c r="G322" s="6"/>
      <c r="H322" s="6"/>
      <c r="I322" s="6"/>
      <c r="J322" s="6"/>
      <c r="K322" s="6"/>
    </row>
    <row r="323" spans="1:11" s="1" customFormat="1" ht="13.2" x14ac:dyDescent="0.25">
      <c r="A323" s="6"/>
      <c r="B323" s="6"/>
      <c r="D323" s="6"/>
      <c r="F323" s="6"/>
      <c r="G323" s="6"/>
      <c r="H323" s="6"/>
      <c r="I323" s="6"/>
      <c r="J323" s="6"/>
      <c r="K323" s="6"/>
    </row>
    <row r="324" spans="1:11" s="1" customFormat="1" ht="13.2" x14ac:dyDescent="0.25">
      <c r="A324" s="6"/>
      <c r="B324" s="6"/>
      <c r="D324" s="6"/>
      <c r="F324" s="6"/>
      <c r="G324" s="6"/>
      <c r="H324" s="6"/>
      <c r="I324" s="6"/>
      <c r="J324" s="6"/>
      <c r="K324" s="6"/>
    </row>
    <row r="325" spans="1:11" s="1" customFormat="1" ht="13.2" x14ac:dyDescent="0.25">
      <c r="A325" s="6"/>
      <c r="B325" s="6"/>
      <c r="D325" s="6"/>
      <c r="F325" s="6"/>
      <c r="G325" s="6"/>
      <c r="H325" s="6"/>
      <c r="I325" s="6"/>
      <c r="J325" s="6"/>
      <c r="K325" s="6"/>
    </row>
    <row r="326" spans="1:11" s="1" customFormat="1" ht="13.2" x14ac:dyDescent="0.25">
      <c r="A326" s="6"/>
      <c r="B326" s="6"/>
      <c r="D326" s="6"/>
      <c r="F326" s="6"/>
      <c r="G326" s="6"/>
      <c r="H326" s="6"/>
      <c r="I326" s="6"/>
      <c r="J326" s="6"/>
      <c r="K326" s="6"/>
    </row>
    <row r="327" spans="1:11" s="1" customFormat="1" ht="13.2" x14ac:dyDescent="0.25">
      <c r="A327" s="6"/>
      <c r="B327" s="6"/>
      <c r="D327" s="6"/>
      <c r="F327" s="6"/>
      <c r="G327" s="6"/>
      <c r="H327" s="6"/>
      <c r="I327" s="6"/>
      <c r="J327" s="6"/>
      <c r="K327" s="6"/>
    </row>
    <row r="328" spans="1:11" s="1" customFormat="1" ht="13.2" x14ac:dyDescent="0.25">
      <c r="A328" s="6"/>
      <c r="B328" s="6"/>
      <c r="D328" s="6"/>
      <c r="F328" s="6"/>
      <c r="G328" s="6"/>
      <c r="H328" s="6"/>
      <c r="I328" s="6"/>
      <c r="J328" s="6"/>
      <c r="K328" s="6"/>
    </row>
    <row r="329" spans="1:11" s="1" customFormat="1" ht="13.2" x14ac:dyDescent="0.25">
      <c r="A329" s="6"/>
      <c r="B329" s="6"/>
      <c r="D329" s="6"/>
      <c r="F329" s="6"/>
      <c r="G329" s="6"/>
      <c r="H329" s="6"/>
      <c r="I329" s="6"/>
      <c r="J329" s="6"/>
      <c r="K329" s="6"/>
    </row>
    <row r="330" spans="1:11" s="1" customFormat="1" ht="13.2" x14ac:dyDescent="0.25">
      <c r="A330" s="6"/>
      <c r="B330" s="6"/>
      <c r="D330" s="6"/>
      <c r="F330" s="6"/>
      <c r="G330" s="6"/>
      <c r="H330" s="6"/>
      <c r="I330" s="6"/>
      <c r="J330" s="6"/>
      <c r="K330" s="6"/>
    </row>
    <row r="331" spans="1:11" s="1" customFormat="1" ht="13.2" x14ac:dyDescent="0.25">
      <c r="A331" s="6"/>
      <c r="B331" s="6"/>
      <c r="D331" s="6"/>
      <c r="F331" s="6"/>
      <c r="G331" s="6"/>
      <c r="H331" s="6"/>
      <c r="I331" s="6"/>
      <c r="J331" s="6"/>
      <c r="K331" s="6"/>
    </row>
    <row r="332" spans="1:11" s="1" customFormat="1" ht="13.2" x14ac:dyDescent="0.25">
      <c r="A332" s="6"/>
      <c r="B332" s="6"/>
      <c r="D332" s="6"/>
      <c r="F332" s="6"/>
      <c r="G332" s="6"/>
      <c r="H332" s="6"/>
      <c r="I332" s="6"/>
      <c r="J332" s="6"/>
      <c r="K332" s="6"/>
    </row>
    <row r="333" spans="1:11" s="1" customFormat="1" ht="13.2" x14ac:dyDescent="0.25">
      <c r="A333" s="6"/>
      <c r="B333" s="6"/>
      <c r="D333" s="6"/>
      <c r="F333" s="6"/>
      <c r="G333" s="6"/>
      <c r="H333" s="6"/>
      <c r="I333" s="6"/>
      <c r="J333" s="6"/>
      <c r="K333" s="6"/>
    </row>
    <row r="334" spans="1:11" s="1" customFormat="1" ht="13.2" x14ac:dyDescent="0.25">
      <c r="A334" s="6"/>
      <c r="B334" s="6"/>
      <c r="D334" s="6"/>
      <c r="F334" s="6"/>
      <c r="G334" s="6"/>
      <c r="H334" s="6"/>
      <c r="I334" s="6"/>
      <c r="J334" s="6"/>
      <c r="K334" s="6"/>
    </row>
    <row r="335" spans="1:11" s="1" customFormat="1" ht="13.2" x14ac:dyDescent="0.25">
      <c r="A335" s="6"/>
      <c r="B335" s="6"/>
      <c r="D335" s="6"/>
      <c r="F335" s="6"/>
      <c r="G335" s="6"/>
      <c r="H335" s="6"/>
      <c r="I335" s="6"/>
      <c r="J335" s="6"/>
      <c r="K335" s="6"/>
    </row>
    <row r="336" spans="1:11" s="1" customFormat="1" ht="13.2" x14ac:dyDescent="0.25">
      <c r="A336" s="6"/>
      <c r="B336" s="6"/>
      <c r="D336" s="6"/>
      <c r="F336" s="6"/>
      <c r="G336" s="6"/>
      <c r="H336" s="6"/>
      <c r="I336" s="6"/>
      <c r="J336" s="6"/>
      <c r="K336" s="6"/>
    </row>
    <row r="337" spans="1:11" s="1" customFormat="1" ht="13.2" x14ac:dyDescent="0.25">
      <c r="A337" s="6"/>
      <c r="B337" s="6"/>
      <c r="D337" s="6"/>
      <c r="F337" s="6"/>
      <c r="G337" s="6"/>
      <c r="H337" s="6"/>
      <c r="I337" s="6"/>
      <c r="J337" s="6"/>
      <c r="K337" s="6"/>
    </row>
    <row r="338" spans="1:11" s="1" customFormat="1" ht="13.2" x14ac:dyDescent="0.25">
      <c r="A338" s="6"/>
      <c r="B338" s="6"/>
      <c r="D338" s="6"/>
      <c r="F338" s="6"/>
      <c r="G338" s="6"/>
      <c r="H338" s="6"/>
      <c r="I338" s="6"/>
      <c r="J338" s="6"/>
      <c r="K338" s="6"/>
    </row>
    <row r="339" spans="1:11" s="1" customFormat="1" ht="13.2" x14ac:dyDescent="0.25">
      <c r="A339" s="6"/>
      <c r="B339" s="6"/>
      <c r="D339" s="6"/>
      <c r="F339" s="6"/>
      <c r="G339" s="6"/>
      <c r="H339" s="6"/>
      <c r="I339" s="6"/>
      <c r="J339" s="6"/>
      <c r="K339" s="6"/>
    </row>
    <row r="340" spans="1:11" s="1" customFormat="1" ht="13.2" x14ac:dyDescent="0.25">
      <c r="A340" s="6"/>
      <c r="B340" s="6"/>
      <c r="D340" s="6"/>
      <c r="F340" s="6"/>
      <c r="G340" s="6"/>
      <c r="H340" s="6"/>
      <c r="I340" s="6"/>
      <c r="J340" s="6"/>
      <c r="K340" s="6"/>
    </row>
    <row r="341" spans="1:11" s="1" customFormat="1" ht="13.2" x14ac:dyDescent="0.25">
      <c r="A341" s="6"/>
      <c r="B341" s="6"/>
      <c r="D341" s="6"/>
      <c r="F341" s="6"/>
      <c r="G341" s="6"/>
      <c r="H341" s="6"/>
      <c r="I341" s="6"/>
      <c r="J341" s="6"/>
      <c r="K341" s="6"/>
    </row>
    <row r="342" spans="1:11" s="1" customFormat="1" ht="13.2" x14ac:dyDescent="0.25">
      <c r="A342" s="6"/>
      <c r="B342" s="6"/>
      <c r="D342" s="6"/>
      <c r="F342" s="6"/>
      <c r="G342" s="6"/>
      <c r="H342" s="6"/>
      <c r="I342" s="6"/>
      <c r="J342" s="6"/>
      <c r="K342" s="6"/>
    </row>
    <row r="343" spans="1:11" s="1" customFormat="1" ht="13.2" x14ac:dyDescent="0.25">
      <c r="A343" s="6"/>
      <c r="B343" s="6"/>
      <c r="D343" s="6"/>
      <c r="F343" s="6"/>
      <c r="G343" s="6"/>
      <c r="H343" s="6"/>
      <c r="I343" s="6"/>
      <c r="J343" s="6"/>
      <c r="K343" s="6"/>
    </row>
    <row r="344" spans="1:11" s="1" customFormat="1" ht="13.2" x14ac:dyDescent="0.25">
      <c r="A344" s="6"/>
      <c r="B344" s="6"/>
      <c r="D344" s="6"/>
      <c r="F344" s="6"/>
      <c r="G344" s="6"/>
      <c r="H344" s="6"/>
      <c r="I344" s="6"/>
      <c r="J344" s="6"/>
      <c r="K344" s="6"/>
    </row>
    <row r="345" spans="1:11" s="1" customFormat="1" ht="13.2" x14ac:dyDescent="0.25">
      <c r="A345" s="6"/>
      <c r="B345" s="6"/>
      <c r="D345" s="6"/>
      <c r="F345" s="6"/>
      <c r="G345" s="6"/>
      <c r="H345" s="6"/>
      <c r="I345" s="6"/>
      <c r="J345" s="6"/>
      <c r="K345" s="6"/>
    </row>
    <row r="346" spans="1:11" s="1" customFormat="1" ht="13.2" x14ac:dyDescent="0.25">
      <c r="A346" s="6"/>
      <c r="B346" s="6"/>
      <c r="D346" s="6"/>
      <c r="F346" s="6"/>
      <c r="G346" s="6"/>
      <c r="H346" s="6"/>
      <c r="I346" s="6"/>
      <c r="J346" s="6"/>
      <c r="K346" s="6"/>
    </row>
    <row r="347" spans="1:11" s="1" customFormat="1" ht="13.2" x14ac:dyDescent="0.25">
      <c r="A347" s="6"/>
      <c r="B347" s="6"/>
      <c r="D347" s="6"/>
      <c r="F347" s="6"/>
      <c r="G347" s="6"/>
      <c r="H347" s="6"/>
      <c r="I347" s="6"/>
      <c r="J347" s="6"/>
      <c r="K347" s="6"/>
    </row>
    <row r="348" spans="1:11" s="1" customFormat="1" ht="13.2" x14ac:dyDescent="0.25">
      <c r="A348" s="6"/>
      <c r="B348" s="6"/>
      <c r="D348" s="6"/>
      <c r="F348" s="6"/>
      <c r="G348" s="6"/>
      <c r="H348" s="6"/>
      <c r="I348" s="6"/>
      <c r="J348" s="6"/>
      <c r="K348" s="6"/>
    </row>
    <row r="349" spans="1:11" s="1" customFormat="1" ht="13.2" x14ac:dyDescent="0.25">
      <c r="A349" s="6"/>
      <c r="B349" s="6"/>
      <c r="D349" s="6"/>
      <c r="F349" s="6"/>
      <c r="G349" s="6"/>
      <c r="H349" s="6"/>
      <c r="I349" s="6"/>
      <c r="J349" s="6"/>
      <c r="K349" s="6"/>
    </row>
    <row r="350" spans="1:11" s="1" customFormat="1" ht="13.2" x14ac:dyDescent="0.25">
      <c r="A350" s="6"/>
      <c r="B350" s="6"/>
      <c r="D350" s="6"/>
      <c r="F350" s="6"/>
      <c r="G350" s="6"/>
      <c r="H350" s="6"/>
      <c r="I350" s="6"/>
      <c r="J350" s="6"/>
      <c r="K350" s="6"/>
    </row>
    <row r="351" spans="1:11" s="1" customFormat="1" ht="13.2" x14ac:dyDescent="0.25">
      <c r="A351" s="6"/>
      <c r="B351" s="6"/>
      <c r="D351" s="6"/>
      <c r="F351" s="6"/>
      <c r="G351" s="6"/>
      <c r="H351" s="6"/>
      <c r="I351" s="6"/>
      <c r="J351" s="6"/>
      <c r="K351" s="6"/>
    </row>
    <row r="352" spans="1:11" s="1" customFormat="1" ht="13.2" x14ac:dyDescent="0.25">
      <c r="A352" s="6"/>
      <c r="B352" s="6"/>
      <c r="D352" s="6"/>
      <c r="F352" s="6"/>
      <c r="G352" s="6"/>
      <c r="H352" s="6"/>
      <c r="I352" s="6"/>
      <c r="J352" s="6"/>
      <c r="K352" s="6"/>
    </row>
    <row r="353" spans="1:11" s="1" customFormat="1" ht="13.2" x14ac:dyDescent="0.25">
      <c r="A353" s="6"/>
      <c r="B353" s="6"/>
      <c r="D353" s="6"/>
      <c r="F353" s="6"/>
      <c r="G353" s="6"/>
      <c r="H353" s="6"/>
      <c r="I353" s="6"/>
      <c r="J353" s="6"/>
      <c r="K353" s="6"/>
    </row>
    <row r="354" spans="1:11" s="1" customFormat="1" ht="13.2" x14ac:dyDescent="0.25">
      <c r="A354" s="6"/>
      <c r="B354" s="6"/>
      <c r="D354" s="6"/>
      <c r="F354" s="6"/>
      <c r="G354" s="6"/>
      <c r="H354" s="6"/>
      <c r="I354" s="6"/>
      <c r="J354" s="6"/>
      <c r="K354" s="6"/>
    </row>
    <row r="355" spans="1:11" s="1" customFormat="1" ht="13.2" x14ac:dyDescent="0.25">
      <c r="A355" s="6"/>
      <c r="B355" s="6"/>
      <c r="D355" s="6"/>
      <c r="F355" s="6"/>
      <c r="G355" s="6"/>
      <c r="H355" s="6"/>
      <c r="I355" s="6"/>
      <c r="J355" s="6"/>
      <c r="K355" s="6"/>
    </row>
    <row r="356" spans="1:11" s="1" customFormat="1" ht="13.2" x14ac:dyDescent="0.25">
      <c r="A356" s="6"/>
      <c r="B356" s="6"/>
      <c r="D356" s="6"/>
      <c r="F356" s="6"/>
      <c r="G356" s="6"/>
      <c r="H356" s="6"/>
      <c r="I356" s="6"/>
      <c r="J356" s="6"/>
      <c r="K356" s="6"/>
    </row>
    <row r="357" spans="1:11" s="1" customFormat="1" ht="13.2" x14ac:dyDescent="0.25">
      <c r="A357" s="6"/>
      <c r="B357" s="6"/>
      <c r="D357" s="6"/>
      <c r="F357" s="6"/>
      <c r="G357" s="6"/>
      <c r="H357" s="6"/>
      <c r="I357" s="6"/>
      <c r="J357" s="6"/>
      <c r="K357" s="6"/>
    </row>
    <row r="358" spans="1:11" s="1" customFormat="1" ht="13.2" x14ac:dyDescent="0.25">
      <c r="A358" s="6"/>
      <c r="B358" s="6"/>
      <c r="D358" s="6"/>
      <c r="F358" s="6"/>
      <c r="G358" s="6"/>
      <c r="H358" s="6"/>
      <c r="I358" s="6"/>
      <c r="J358" s="6"/>
      <c r="K358" s="6"/>
    </row>
    <row r="359" spans="1:11" s="1" customFormat="1" ht="13.2" x14ac:dyDescent="0.25">
      <c r="A359" s="6"/>
      <c r="B359" s="6"/>
      <c r="D359" s="6"/>
      <c r="F359" s="6"/>
      <c r="G359" s="6"/>
      <c r="H359" s="6"/>
      <c r="I359" s="6"/>
      <c r="J359" s="6"/>
      <c r="K359" s="6"/>
    </row>
    <row r="360" spans="1:11" s="1" customFormat="1" ht="13.2" x14ac:dyDescent="0.25">
      <c r="A360" s="6"/>
      <c r="B360" s="6"/>
      <c r="D360" s="6"/>
      <c r="F360" s="6"/>
      <c r="G360" s="6"/>
      <c r="H360" s="6"/>
      <c r="I360" s="6"/>
      <c r="J360" s="6"/>
      <c r="K360" s="6"/>
    </row>
    <row r="361" spans="1:11" s="1" customFormat="1" ht="13.2" x14ac:dyDescent="0.25">
      <c r="A361" s="6"/>
      <c r="B361" s="6"/>
      <c r="D361" s="6"/>
      <c r="F361" s="6"/>
      <c r="G361" s="6"/>
      <c r="H361" s="6"/>
      <c r="I361" s="6"/>
      <c r="J361" s="6"/>
      <c r="K361" s="6"/>
    </row>
    <row r="362" spans="1:11" s="1" customFormat="1" ht="13.2" x14ac:dyDescent="0.25">
      <c r="A362" s="6"/>
      <c r="B362" s="6"/>
      <c r="D362" s="6"/>
      <c r="F362" s="6"/>
      <c r="G362" s="6"/>
      <c r="H362" s="6"/>
      <c r="I362" s="6"/>
      <c r="J362" s="6"/>
      <c r="K362" s="6"/>
    </row>
    <row r="363" spans="1:11" s="1" customFormat="1" ht="13.2" x14ac:dyDescent="0.25">
      <c r="A363" s="6"/>
      <c r="B363" s="6"/>
      <c r="D363" s="6"/>
      <c r="F363" s="6"/>
      <c r="G363" s="6"/>
      <c r="H363" s="6"/>
      <c r="I363" s="6"/>
      <c r="J363" s="6"/>
      <c r="K363" s="6"/>
    </row>
    <row r="364" spans="1:11" s="1" customFormat="1" ht="13.2" x14ac:dyDescent="0.25">
      <c r="A364" s="6"/>
      <c r="B364" s="6"/>
      <c r="D364" s="6"/>
      <c r="F364" s="6"/>
      <c r="G364" s="6"/>
      <c r="H364" s="6"/>
      <c r="I364" s="6"/>
      <c r="J364" s="6"/>
      <c r="K364" s="6"/>
    </row>
    <row r="365" spans="1:11" s="1" customFormat="1" ht="13.2" x14ac:dyDescent="0.25">
      <c r="A365" s="6"/>
      <c r="B365" s="6"/>
      <c r="D365" s="6"/>
      <c r="F365" s="6"/>
      <c r="G365" s="6"/>
      <c r="H365" s="6"/>
      <c r="I365" s="6"/>
      <c r="J365" s="6"/>
      <c r="K365" s="6"/>
    </row>
    <row r="366" spans="1:11" s="1" customFormat="1" ht="13.2" x14ac:dyDescent="0.25">
      <c r="A366" s="6"/>
      <c r="B366" s="6"/>
      <c r="D366" s="6"/>
      <c r="F366" s="6"/>
      <c r="G366" s="6"/>
      <c r="H366" s="6"/>
      <c r="I366" s="6"/>
      <c r="J366" s="6"/>
      <c r="K366" s="6"/>
    </row>
    <row r="367" spans="1:11" s="1" customFormat="1" ht="13.2" x14ac:dyDescent="0.25">
      <c r="A367" s="6"/>
      <c r="B367" s="6"/>
      <c r="D367" s="6"/>
      <c r="F367" s="6"/>
      <c r="G367" s="6"/>
      <c r="H367" s="6"/>
      <c r="I367" s="6"/>
      <c r="J367" s="6"/>
      <c r="K367" s="6"/>
    </row>
    <row r="368" spans="1:11" s="1" customFormat="1" ht="13.2" x14ac:dyDescent="0.25">
      <c r="A368" s="6"/>
      <c r="B368" s="6"/>
      <c r="D368" s="6"/>
      <c r="F368" s="6"/>
      <c r="G368" s="6"/>
      <c r="H368" s="6"/>
      <c r="I368" s="6"/>
      <c r="J368" s="6"/>
      <c r="K368" s="6"/>
    </row>
    <row r="369" spans="1:11" s="1" customFormat="1" ht="13.2" x14ac:dyDescent="0.25">
      <c r="A369" s="6"/>
      <c r="B369" s="6"/>
      <c r="D369" s="6"/>
      <c r="F369" s="6"/>
      <c r="G369" s="6"/>
      <c r="H369" s="6"/>
      <c r="I369" s="6"/>
      <c r="J369" s="6"/>
      <c r="K369" s="6"/>
    </row>
    <row r="370" spans="1:11" s="1" customFormat="1" ht="13.2" x14ac:dyDescent="0.25">
      <c r="A370" s="6"/>
      <c r="B370" s="6"/>
      <c r="D370" s="6"/>
      <c r="F370" s="6"/>
      <c r="G370" s="6"/>
      <c r="H370" s="6"/>
      <c r="I370" s="6"/>
      <c r="J370" s="6"/>
      <c r="K370" s="6"/>
    </row>
    <row r="371" spans="1:11" s="1" customFormat="1" ht="13.2" x14ac:dyDescent="0.25">
      <c r="A371" s="6"/>
      <c r="B371" s="6"/>
      <c r="D371" s="6"/>
      <c r="F371" s="6"/>
      <c r="G371" s="6"/>
      <c r="H371" s="6"/>
      <c r="I371" s="6"/>
      <c r="J371" s="6"/>
      <c r="K371" s="6"/>
    </row>
    <row r="372" spans="1:11" s="1" customFormat="1" ht="13.2" x14ac:dyDescent="0.25">
      <c r="A372" s="6"/>
      <c r="B372" s="6"/>
      <c r="D372" s="6"/>
      <c r="F372" s="6"/>
      <c r="G372" s="6"/>
      <c r="H372" s="6"/>
      <c r="I372" s="6"/>
      <c r="J372" s="6"/>
      <c r="K372" s="6"/>
    </row>
    <row r="373" spans="1:11" s="1" customFormat="1" ht="13.2" x14ac:dyDescent="0.25">
      <c r="A373" s="6"/>
      <c r="B373" s="6"/>
      <c r="D373" s="6"/>
      <c r="F373" s="6"/>
      <c r="G373" s="6"/>
      <c r="H373" s="6"/>
      <c r="I373" s="6"/>
      <c r="J373" s="6"/>
      <c r="K373" s="6"/>
    </row>
    <row r="374" spans="1:11" s="1" customFormat="1" ht="13.2" x14ac:dyDescent="0.25">
      <c r="A374" s="6"/>
      <c r="B374" s="6"/>
      <c r="D374" s="6"/>
      <c r="F374" s="6"/>
      <c r="G374" s="6"/>
      <c r="H374" s="6"/>
      <c r="I374" s="6"/>
      <c r="J374" s="6"/>
      <c r="K374" s="6"/>
    </row>
    <row r="375" spans="1:11" s="1" customFormat="1" ht="13.2" x14ac:dyDescent="0.25">
      <c r="A375" s="6"/>
      <c r="B375" s="6"/>
      <c r="D375" s="6"/>
      <c r="F375" s="6"/>
      <c r="G375" s="6"/>
      <c r="H375" s="6"/>
      <c r="I375" s="6"/>
      <c r="J375" s="6"/>
      <c r="K375" s="6"/>
    </row>
    <row r="376" spans="1:11" s="1" customFormat="1" ht="13.2" x14ac:dyDescent="0.25">
      <c r="A376" s="6"/>
      <c r="B376" s="6"/>
      <c r="D376" s="6"/>
      <c r="F376" s="6"/>
      <c r="G376" s="6"/>
      <c r="H376" s="6"/>
      <c r="I376" s="6"/>
      <c r="J376" s="6"/>
      <c r="K376" s="6"/>
    </row>
    <row r="377" spans="1:11" s="1" customFormat="1" ht="13.2" x14ac:dyDescent="0.25">
      <c r="A377" s="6"/>
      <c r="B377" s="6"/>
      <c r="D377" s="6"/>
      <c r="F377" s="6"/>
      <c r="G377" s="6"/>
      <c r="H377" s="6"/>
      <c r="I377" s="6"/>
      <c r="J377" s="6"/>
      <c r="K377" s="6"/>
    </row>
    <row r="378" spans="1:11" s="1" customFormat="1" ht="13.2" x14ac:dyDescent="0.25">
      <c r="A378" s="6"/>
      <c r="B378" s="6"/>
      <c r="D378" s="6"/>
      <c r="F378" s="6"/>
      <c r="G378" s="6"/>
      <c r="H378" s="6"/>
      <c r="I378" s="6"/>
      <c r="J378" s="6"/>
      <c r="K378" s="6"/>
    </row>
    <row r="379" spans="1:11" s="1" customFormat="1" ht="13.2" x14ac:dyDescent="0.25">
      <c r="A379" s="6"/>
      <c r="B379" s="6"/>
      <c r="D379" s="6"/>
      <c r="F379" s="6"/>
      <c r="G379" s="6"/>
      <c r="H379" s="6"/>
      <c r="I379" s="6"/>
      <c r="J379" s="6"/>
      <c r="K379" s="6"/>
    </row>
    <row r="380" spans="1:11" s="1" customFormat="1" ht="13.2" x14ac:dyDescent="0.25">
      <c r="A380" s="6"/>
      <c r="B380" s="6"/>
      <c r="D380" s="6"/>
      <c r="F380" s="6"/>
      <c r="G380" s="6"/>
      <c r="H380" s="6"/>
      <c r="I380" s="6"/>
      <c r="J380" s="6"/>
      <c r="K380" s="6"/>
    </row>
    <row r="381" spans="1:11" s="1" customFormat="1" ht="13.2" x14ac:dyDescent="0.25">
      <c r="A381" s="6"/>
      <c r="B381" s="6"/>
      <c r="D381" s="6"/>
      <c r="F381" s="6"/>
      <c r="G381" s="6"/>
      <c r="H381" s="6"/>
      <c r="I381" s="6"/>
      <c r="J381" s="6"/>
      <c r="K381" s="6"/>
    </row>
    <row r="382" spans="1:11" s="1" customFormat="1" ht="13.2" x14ac:dyDescent="0.25">
      <c r="A382" s="6"/>
      <c r="B382" s="6"/>
      <c r="D382" s="6"/>
      <c r="F382" s="6"/>
      <c r="G382" s="6"/>
      <c r="H382" s="6"/>
      <c r="I382" s="6"/>
      <c r="J382" s="6"/>
      <c r="K382" s="6"/>
    </row>
    <row r="383" spans="1:11" s="1" customFormat="1" ht="13.2" x14ac:dyDescent="0.25">
      <c r="A383" s="6"/>
      <c r="B383" s="6"/>
      <c r="D383" s="6"/>
      <c r="F383" s="6"/>
      <c r="G383" s="6"/>
      <c r="H383" s="6"/>
      <c r="I383" s="6"/>
      <c r="J383" s="6"/>
      <c r="K383" s="6"/>
    </row>
    <row r="384" spans="1:11" s="1" customFormat="1" ht="13.2" x14ac:dyDescent="0.25">
      <c r="A384" s="6"/>
      <c r="B384" s="6"/>
      <c r="D384" s="6"/>
      <c r="F384" s="6"/>
      <c r="G384" s="6"/>
      <c r="H384" s="6"/>
      <c r="I384" s="6"/>
      <c r="J384" s="6"/>
      <c r="K384" s="6"/>
    </row>
    <row r="385" spans="1:11" s="1" customFormat="1" ht="13.2" x14ac:dyDescent="0.25">
      <c r="A385" s="6"/>
      <c r="B385" s="6"/>
      <c r="D385" s="6"/>
      <c r="F385" s="6"/>
      <c r="G385" s="6"/>
      <c r="H385" s="6"/>
      <c r="I385" s="6"/>
      <c r="J385" s="6"/>
      <c r="K385" s="6"/>
    </row>
    <row r="386" spans="1:11" s="1" customFormat="1" ht="13.2" x14ac:dyDescent="0.25">
      <c r="A386" s="6"/>
      <c r="B386" s="6"/>
      <c r="D386" s="6"/>
      <c r="F386" s="6"/>
      <c r="G386" s="6"/>
      <c r="H386" s="6"/>
      <c r="I386" s="6"/>
      <c r="J386" s="6"/>
      <c r="K386" s="6"/>
    </row>
    <row r="387" spans="1:11" s="1" customFormat="1" ht="13.2" x14ac:dyDescent="0.25">
      <c r="A387" s="6"/>
      <c r="B387" s="6"/>
      <c r="D387" s="6"/>
      <c r="F387" s="6"/>
      <c r="G387" s="6"/>
      <c r="H387" s="6"/>
      <c r="I387" s="6"/>
      <c r="J387" s="6"/>
      <c r="K387" s="6"/>
    </row>
    <row r="388" spans="1:11" s="1" customFormat="1" ht="13.2" x14ac:dyDescent="0.25">
      <c r="A388" s="6"/>
      <c r="B388" s="6"/>
      <c r="D388" s="6"/>
      <c r="F388" s="6"/>
      <c r="G388" s="6"/>
      <c r="H388" s="6"/>
      <c r="I388" s="6"/>
      <c r="J388" s="6"/>
      <c r="K388" s="6"/>
    </row>
    <row r="389" spans="1:11" s="1" customFormat="1" ht="13.2" x14ac:dyDescent="0.25">
      <c r="A389" s="6"/>
      <c r="B389" s="6"/>
      <c r="D389" s="6"/>
      <c r="F389" s="6"/>
      <c r="G389" s="6"/>
      <c r="H389" s="6"/>
      <c r="I389" s="6"/>
      <c r="J389" s="6"/>
      <c r="K389" s="6"/>
    </row>
    <row r="390" spans="1:11" s="1" customFormat="1" ht="13.2" x14ac:dyDescent="0.25">
      <c r="A390" s="6"/>
      <c r="B390" s="6"/>
      <c r="D390" s="6"/>
      <c r="F390" s="6"/>
      <c r="G390" s="6"/>
      <c r="H390" s="6"/>
      <c r="I390" s="6"/>
      <c r="J390" s="6"/>
      <c r="K390" s="6"/>
    </row>
    <row r="391" spans="1:11" s="1" customFormat="1" ht="13.2" x14ac:dyDescent="0.25">
      <c r="A391" s="6"/>
      <c r="B391" s="6"/>
      <c r="D391" s="6"/>
      <c r="F391" s="6"/>
      <c r="G391" s="6"/>
      <c r="H391" s="6"/>
      <c r="I391" s="6"/>
      <c r="J391" s="6"/>
      <c r="K391" s="6"/>
    </row>
    <row r="392" spans="1:11" s="1" customFormat="1" ht="13.2" x14ac:dyDescent="0.25">
      <c r="A392" s="6"/>
      <c r="B392" s="6"/>
      <c r="D392" s="6"/>
      <c r="F392" s="6"/>
      <c r="G392" s="6"/>
      <c r="H392" s="6"/>
      <c r="I392" s="6"/>
      <c r="J392" s="6"/>
      <c r="K392" s="6"/>
    </row>
    <row r="393" spans="1:11" s="1" customFormat="1" ht="13.2" x14ac:dyDescent="0.25">
      <c r="A393" s="6"/>
      <c r="B393" s="6"/>
      <c r="D393" s="6"/>
      <c r="F393" s="6"/>
      <c r="G393" s="6"/>
      <c r="H393" s="6"/>
      <c r="I393" s="6"/>
      <c r="J393" s="6"/>
      <c r="K393" s="6"/>
    </row>
    <row r="394" spans="1:11" s="1" customFormat="1" ht="13.2" x14ac:dyDescent="0.25">
      <c r="A394" s="6"/>
      <c r="B394" s="6"/>
      <c r="D394" s="6"/>
      <c r="F394" s="6"/>
      <c r="G394" s="6"/>
      <c r="H394" s="6"/>
      <c r="I394" s="6"/>
      <c r="J394" s="6"/>
      <c r="K394" s="6"/>
    </row>
    <row r="395" spans="1:11" s="1" customFormat="1" ht="13.2" x14ac:dyDescent="0.25">
      <c r="A395" s="6"/>
      <c r="B395" s="6"/>
      <c r="D395" s="6"/>
      <c r="F395" s="6"/>
      <c r="G395" s="6"/>
      <c r="H395" s="6"/>
      <c r="I395" s="6"/>
      <c r="J395" s="6"/>
      <c r="K395" s="6"/>
    </row>
    <row r="396" spans="1:11" s="1" customFormat="1" ht="13.2" x14ac:dyDescent="0.25">
      <c r="A396" s="6"/>
      <c r="B396" s="6"/>
      <c r="D396" s="6"/>
      <c r="F396" s="6"/>
      <c r="G396" s="6"/>
      <c r="H396" s="6"/>
      <c r="I396" s="6"/>
      <c r="J396" s="6"/>
      <c r="K396" s="6"/>
    </row>
    <row r="397" spans="1:11" s="1" customFormat="1" ht="13.2" x14ac:dyDescent="0.25">
      <c r="A397" s="6"/>
      <c r="B397" s="6"/>
      <c r="D397" s="6"/>
      <c r="F397" s="6"/>
      <c r="G397" s="6"/>
      <c r="H397" s="6"/>
      <c r="I397" s="6"/>
      <c r="J397" s="6"/>
      <c r="K397" s="6"/>
    </row>
    <row r="398" spans="1:11" s="1" customFormat="1" ht="13.2" x14ac:dyDescent="0.25">
      <c r="A398" s="6"/>
      <c r="B398" s="6"/>
      <c r="D398" s="6"/>
      <c r="F398" s="6"/>
      <c r="G398" s="6"/>
      <c r="H398" s="6"/>
      <c r="I398" s="6"/>
      <c r="J398" s="6"/>
      <c r="K398" s="6"/>
    </row>
    <row r="399" spans="1:11" s="1" customFormat="1" ht="13.2" x14ac:dyDescent="0.25">
      <c r="A399" s="6"/>
      <c r="B399" s="6"/>
      <c r="D399" s="6"/>
      <c r="F399" s="6"/>
      <c r="G399" s="6"/>
      <c r="H399" s="6"/>
      <c r="I399" s="6"/>
      <c r="J399" s="6"/>
      <c r="K399" s="6"/>
    </row>
    <row r="400" spans="1:11" s="1" customFormat="1" ht="13.2" x14ac:dyDescent="0.25">
      <c r="A400" s="6"/>
      <c r="B400" s="6"/>
      <c r="D400" s="6"/>
      <c r="F400" s="6"/>
      <c r="G400" s="6"/>
      <c r="H400" s="6"/>
      <c r="I400" s="6"/>
      <c r="J400" s="6"/>
      <c r="K400" s="6"/>
    </row>
    <row r="401" spans="1:11" s="1" customFormat="1" ht="13.2" x14ac:dyDescent="0.25">
      <c r="A401" s="6"/>
      <c r="B401" s="6"/>
      <c r="D401" s="6"/>
      <c r="F401" s="6"/>
      <c r="G401" s="6"/>
      <c r="H401" s="6"/>
      <c r="I401" s="6"/>
      <c r="J401" s="6"/>
      <c r="K401" s="6"/>
    </row>
    <row r="402" spans="1:11" s="1" customFormat="1" ht="13.2" x14ac:dyDescent="0.25">
      <c r="A402" s="6"/>
      <c r="B402" s="6"/>
      <c r="D402" s="6"/>
      <c r="F402" s="6"/>
      <c r="G402" s="6"/>
      <c r="H402" s="6"/>
      <c r="I402" s="6"/>
      <c r="J402" s="6"/>
      <c r="K402" s="6"/>
    </row>
    <row r="403" spans="1:11" s="1" customFormat="1" ht="13.2" x14ac:dyDescent="0.25">
      <c r="A403" s="6"/>
      <c r="B403" s="6"/>
      <c r="D403" s="6"/>
      <c r="F403" s="6"/>
      <c r="G403" s="6"/>
      <c r="H403" s="6"/>
      <c r="I403" s="6"/>
      <c r="J403" s="6"/>
      <c r="K403" s="6"/>
    </row>
    <row r="404" spans="1:11" s="1" customFormat="1" ht="13.2" x14ac:dyDescent="0.25">
      <c r="A404" s="6"/>
      <c r="B404" s="6"/>
      <c r="D404" s="6"/>
      <c r="F404" s="6"/>
      <c r="G404" s="6"/>
      <c r="H404" s="6"/>
      <c r="I404" s="6"/>
      <c r="J404" s="6"/>
      <c r="K404" s="6"/>
    </row>
    <row r="405" spans="1:11" s="1" customFormat="1" ht="13.2" x14ac:dyDescent="0.25">
      <c r="A405" s="6"/>
      <c r="B405" s="6"/>
      <c r="D405" s="6"/>
      <c r="F405" s="6"/>
      <c r="G405" s="6"/>
      <c r="H405" s="6"/>
      <c r="I405" s="6"/>
      <c r="J405" s="6"/>
      <c r="K405" s="6"/>
    </row>
    <row r="406" spans="1:11" s="1" customFormat="1" ht="13.2" x14ac:dyDescent="0.25">
      <c r="A406" s="6"/>
      <c r="B406" s="6"/>
      <c r="D406" s="6"/>
      <c r="F406" s="6"/>
      <c r="G406" s="6"/>
      <c r="H406" s="6"/>
      <c r="I406" s="6"/>
      <c r="J406" s="6"/>
      <c r="K406" s="6"/>
    </row>
    <row r="407" spans="1:11" s="1" customFormat="1" ht="13.2" x14ac:dyDescent="0.25">
      <c r="A407" s="6"/>
      <c r="B407" s="6"/>
      <c r="D407" s="6"/>
      <c r="F407" s="6"/>
      <c r="G407" s="6"/>
      <c r="H407" s="6"/>
      <c r="I407" s="6"/>
      <c r="J407" s="6"/>
      <c r="K407" s="6"/>
    </row>
    <row r="408" spans="1:11" s="1" customFormat="1" ht="13.2" x14ac:dyDescent="0.25">
      <c r="A408" s="6"/>
      <c r="B408" s="6"/>
      <c r="D408" s="6"/>
      <c r="F408" s="6"/>
      <c r="G408" s="6"/>
      <c r="H408" s="6"/>
      <c r="I408" s="6"/>
      <c r="J408" s="6"/>
      <c r="K408" s="6"/>
    </row>
    <row r="409" spans="1:11" s="1" customFormat="1" ht="13.2" x14ac:dyDescent="0.25">
      <c r="A409" s="6"/>
      <c r="B409" s="6"/>
      <c r="D409" s="6"/>
      <c r="F409" s="6"/>
      <c r="G409" s="6"/>
      <c r="H409" s="6"/>
      <c r="I409" s="6"/>
      <c r="J409" s="6"/>
      <c r="K409" s="6"/>
    </row>
    <row r="410" spans="1:11" s="1" customFormat="1" ht="13.2" x14ac:dyDescent="0.25">
      <c r="A410" s="6"/>
      <c r="B410" s="6"/>
      <c r="D410" s="6"/>
      <c r="F410" s="6"/>
      <c r="G410" s="6"/>
      <c r="H410" s="6"/>
      <c r="I410" s="6"/>
      <c r="J410" s="6"/>
      <c r="K410" s="6"/>
    </row>
    <row r="411" spans="1:11" s="1" customFormat="1" ht="13.2" x14ac:dyDescent="0.25">
      <c r="A411" s="6"/>
      <c r="B411" s="6"/>
      <c r="D411" s="6"/>
      <c r="F411" s="6"/>
      <c r="G411" s="6"/>
      <c r="H411" s="6"/>
      <c r="I411" s="6"/>
      <c r="J411" s="6"/>
      <c r="K411" s="6"/>
    </row>
    <row r="412" spans="1:11" s="1" customFormat="1" ht="13.2" x14ac:dyDescent="0.25">
      <c r="A412" s="6"/>
      <c r="B412" s="6"/>
      <c r="D412" s="6"/>
      <c r="F412" s="6"/>
      <c r="G412" s="6"/>
      <c r="H412" s="6"/>
      <c r="I412" s="6"/>
      <c r="J412" s="6"/>
      <c r="K412" s="6"/>
    </row>
    <row r="413" spans="1:11" s="1" customFormat="1" ht="13.2" x14ac:dyDescent="0.25">
      <c r="A413" s="6"/>
      <c r="B413" s="6"/>
      <c r="D413" s="6"/>
      <c r="F413" s="6"/>
      <c r="G413" s="6"/>
      <c r="H413" s="6"/>
      <c r="I413" s="6"/>
      <c r="J413" s="6"/>
      <c r="K413" s="6"/>
    </row>
    <row r="414" spans="1:11" s="1" customFormat="1" ht="13.2" x14ac:dyDescent="0.25">
      <c r="A414" s="6"/>
      <c r="B414" s="6"/>
      <c r="D414" s="6"/>
      <c r="F414" s="6"/>
      <c r="G414" s="6"/>
      <c r="H414" s="6"/>
      <c r="I414" s="6"/>
      <c r="J414" s="6"/>
      <c r="K414" s="6"/>
    </row>
    <row r="415" spans="1:11" s="1" customFormat="1" ht="13.2" x14ac:dyDescent="0.25">
      <c r="A415" s="6"/>
      <c r="B415" s="6"/>
      <c r="D415" s="6"/>
      <c r="F415" s="6"/>
      <c r="G415" s="6"/>
      <c r="H415" s="6"/>
      <c r="I415" s="6"/>
      <c r="J415" s="6"/>
      <c r="K415" s="6"/>
    </row>
    <row r="416" spans="1:11" s="1" customFormat="1" ht="13.2" x14ac:dyDescent="0.25">
      <c r="A416" s="6"/>
      <c r="B416" s="6"/>
      <c r="D416" s="6"/>
      <c r="F416" s="6"/>
      <c r="G416" s="6"/>
      <c r="H416" s="6"/>
      <c r="I416" s="6"/>
      <c r="J416" s="6"/>
      <c r="K416" s="6"/>
    </row>
    <row r="417" spans="1:11" s="1" customFormat="1" ht="13.2" x14ac:dyDescent="0.25">
      <c r="A417" s="6"/>
      <c r="B417" s="6"/>
      <c r="D417" s="6"/>
      <c r="F417" s="6"/>
      <c r="G417" s="6"/>
      <c r="H417" s="6"/>
      <c r="I417" s="6"/>
      <c r="J417" s="6"/>
      <c r="K417" s="6"/>
    </row>
    <row r="418" spans="1:11" s="1" customFormat="1" ht="13.2" x14ac:dyDescent="0.25">
      <c r="A418" s="6"/>
      <c r="B418" s="6"/>
      <c r="D418" s="6"/>
      <c r="F418" s="6"/>
      <c r="G418" s="6"/>
      <c r="H418" s="6"/>
      <c r="I418" s="6"/>
      <c r="J418" s="6"/>
      <c r="K418" s="6"/>
    </row>
    <row r="419" spans="1:11" s="1" customFormat="1" ht="13.2" x14ac:dyDescent="0.25">
      <c r="A419" s="6"/>
      <c r="B419" s="6"/>
      <c r="D419" s="6"/>
      <c r="F419" s="6"/>
      <c r="G419" s="6"/>
      <c r="H419" s="6"/>
      <c r="I419" s="6"/>
      <c r="J419" s="6"/>
      <c r="K419" s="6"/>
    </row>
    <row r="420" spans="1:11" s="1" customFormat="1" ht="13.2" x14ac:dyDescent="0.25">
      <c r="A420" s="6"/>
      <c r="B420" s="6"/>
      <c r="D420" s="6"/>
      <c r="F420" s="6"/>
      <c r="G420" s="6"/>
      <c r="H420" s="6"/>
      <c r="I420" s="6"/>
      <c r="J420" s="6"/>
      <c r="K420" s="6"/>
    </row>
    <row r="421" spans="1:11" s="1" customFormat="1" ht="13.2" x14ac:dyDescent="0.25">
      <c r="A421" s="6"/>
      <c r="B421" s="6"/>
      <c r="D421" s="6"/>
      <c r="F421" s="6"/>
      <c r="G421" s="6"/>
      <c r="H421" s="6"/>
      <c r="I421" s="6"/>
      <c r="J421" s="6"/>
      <c r="K421" s="6"/>
    </row>
    <row r="422" spans="1:11" s="1" customFormat="1" ht="13.2" x14ac:dyDescent="0.25">
      <c r="A422" s="6"/>
      <c r="B422" s="6"/>
      <c r="D422" s="6"/>
      <c r="F422" s="6"/>
      <c r="G422" s="6"/>
      <c r="H422" s="6"/>
      <c r="I422" s="6"/>
      <c r="J422" s="6"/>
      <c r="K422" s="6"/>
    </row>
    <row r="423" spans="1:11" s="1" customFormat="1" ht="13.2" x14ac:dyDescent="0.25">
      <c r="A423" s="6"/>
      <c r="B423" s="6"/>
      <c r="D423" s="6"/>
      <c r="F423" s="6"/>
      <c r="G423" s="6"/>
      <c r="H423" s="6"/>
      <c r="I423" s="6"/>
      <c r="J423" s="6"/>
      <c r="K423" s="6"/>
    </row>
    <row r="424" spans="1:11" s="1" customFormat="1" ht="13.2" x14ac:dyDescent="0.25">
      <c r="A424" s="6"/>
      <c r="B424" s="6"/>
      <c r="D424" s="6"/>
      <c r="F424" s="6"/>
      <c r="G424" s="6"/>
      <c r="H424" s="6"/>
      <c r="I424" s="6"/>
      <c r="J424" s="6"/>
      <c r="K424" s="6"/>
    </row>
    <row r="425" spans="1:11" s="1" customFormat="1" ht="13.2" x14ac:dyDescent="0.25">
      <c r="A425" s="6"/>
      <c r="B425" s="6"/>
      <c r="D425" s="6"/>
      <c r="F425" s="6"/>
      <c r="G425" s="6"/>
      <c r="H425" s="6"/>
      <c r="I425" s="6"/>
      <c r="J425" s="6"/>
      <c r="K425" s="6"/>
    </row>
    <row r="426" spans="1:11" s="1" customFormat="1" ht="13.2" x14ac:dyDescent="0.25">
      <c r="A426" s="6"/>
      <c r="B426" s="6"/>
      <c r="D426" s="6"/>
      <c r="F426" s="6"/>
      <c r="G426" s="6"/>
      <c r="H426" s="6"/>
      <c r="I426" s="6"/>
      <c r="J426" s="6"/>
      <c r="K426" s="6"/>
    </row>
    <row r="427" spans="1:11" s="1" customFormat="1" ht="13.2" x14ac:dyDescent="0.25">
      <c r="A427" s="6"/>
      <c r="B427" s="6"/>
      <c r="D427" s="6"/>
      <c r="F427" s="6"/>
      <c r="G427" s="6"/>
      <c r="H427" s="6"/>
      <c r="I427" s="6"/>
      <c r="J427" s="6"/>
      <c r="K427" s="6"/>
    </row>
    <row r="428" spans="1:11" s="1" customFormat="1" ht="13.2" x14ac:dyDescent="0.25">
      <c r="A428" s="6"/>
      <c r="B428" s="6"/>
      <c r="D428" s="6"/>
      <c r="F428" s="6"/>
      <c r="G428" s="6"/>
      <c r="H428" s="6"/>
      <c r="I428" s="6"/>
      <c r="J428" s="6"/>
      <c r="K428" s="6"/>
    </row>
    <row r="429" spans="1:11" s="1" customFormat="1" ht="13.2" x14ac:dyDescent="0.25">
      <c r="A429" s="6"/>
      <c r="B429" s="6"/>
      <c r="D429" s="6"/>
      <c r="F429" s="6"/>
      <c r="G429" s="6"/>
      <c r="H429" s="6"/>
      <c r="I429" s="6"/>
      <c r="J429" s="6"/>
      <c r="K429" s="6"/>
    </row>
    <row r="430" spans="1:11" s="1" customFormat="1" ht="13.2" x14ac:dyDescent="0.25">
      <c r="A430" s="6"/>
      <c r="B430" s="6"/>
      <c r="D430" s="6"/>
      <c r="F430" s="6"/>
      <c r="G430" s="6"/>
      <c r="H430" s="6"/>
      <c r="I430" s="6"/>
      <c r="J430" s="6"/>
      <c r="K430" s="6"/>
    </row>
    <row r="431" spans="1:11" s="1" customFormat="1" ht="13.2" x14ac:dyDescent="0.25">
      <c r="A431" s="6"/>
      <c r="B431" s="6"/>
      <c r="D431" s="6"/>
      <c r="F431" s="6"/>
      <c r="G431" s="6"/>
      <c r="H431" s="6"/>
      <c r="I431" s="6"/>
      <c r="J431" s="6"/>
      <c r="K431" s="6"/>
    </row>
    <row r="432" spans="1:11" s="1" customFormat="1" ht="13.2" x14ac:dyDescent="0.25">
      <c r="A432" s="6"/>
      <c r="B432" s="6"/>
      <c r="D432" s="6"/>
      <c r="F432" s="6"/>
      <c r="G432" s="6"/>
      <c r="H432" s="6"/>
      <c r="I432" s="6"/>
      <c r="J432" s="6"/>
      <c r="K432" s="6"/>
    </row>
    <row r="433" spans="1:11" s="1" customFormat="1" ht="13.2" x14ac:dyDescent="0.25">
      <c r="A433" s="6"/>
      <c r="B433" s="6"/>
      <c r="D433" s="6"/>
      <c r="F433" s="6"/>
      <c r="G433" s="6"/>
      <c r="H433" s="6"/>
      <c r="I433" s="6"/>
      <c r="J433" s="6"/>
      <c r="K433" s="6"/>
    </row>
    <row r="434" spans="1:11" s="1" customFormat="1" ht="13.2" x14ac:dyDescent="0.25">
      <c r="A434" s="6"/>
      <c r="B434" s="6"/>
      <c r="D434" s="6"/>
      <c r="F434" s="6"/>
      <c r="G434" s="6"/>
      <c r="H434" s="6"/>
      <c r="I434" s="6"/>
      <c r="J434" s="6"/>
      <c r="K434" s="6"/>
    </row>
    <row r="435" spans="1:11" s="1" customFormat="1" ht="13.2" x14ac:dyDescent="0.25">
      <c r="A435" s="6"/>
      <c r="B435" s="6"/>
      <c r="D435" s="6"/>
      <c r="F435" s="6"/>
      <c r="G435" s="6"/>
      <c r="H435" s="6"/>
      <c r="I435" s="6"/>
      <c r="J435" s="6"/>
      <c r="K435" s="6"/>
    </row>
    <row r="436" spans="1:11" s="1" customFormat="1" ht="13.2" x14ac:dyDescent="0.25">
      <c r="A436" s="6"/>
      <c r="B436" s="6"/>
      <c r="D436" s="6"/>
      <c r="F436" s="6"/>
      <c r="G436" s="6"/>
      <c r="H436" s="6"/>
      <c r="I436" s="6"/>
      <c r="J436" s="6"/>
      <c r="K436" s="6"/>
    </row>
    <row r="437" spans="1:11" s="1" customFormat="1" ht="13.2" x14ac:dyDescent="0.25">
      <c r="A437" s="6"/>
      <c r="B437" s="6"/>
      <c r="D437" s="6"/>
      <c r="F437" s="6"/>
      <c r="G437" s="6"/>
      <c r="H437" s="6"/>
      <c r="I437" s="6"/>
      <c r="J437" s="6"/>
      <c r="K437" s="6"/>
    </row>
    <row r="438" spans="1:11" s="1" customFormat="1" ht="13.2" x14ac:dyDescent="0.25">
      <c r="A438" s="6"/>
      <c r="B438" s="6"/>
      <c r="D438" s="6"/>
      <c r="F438" s="6"/>
      <c r="G438" s="6"/>
      <c r="H438" s="6"/>
      <c r="I438" s="6"/>
      <c r="J438" s="6"/>
      <c r="K438" s="6"/>
    </row>
    <row r="439" spans="1:11" s="1" customFormat="1" ht="13.2" x14ac:dyDescent="0.25">
      <c r="A439" s="6"/>
      <c r="B439" s="6"/>
      <c r="D439" s="6"/>
      <c r="F439" s="6"/>
      <c r="G439" s="6"/>
      <c r="H439" s="6"/>
      <c r="I439" s="6"/>
      <c r="J439" s="6"/>
      <c r="K439" s="6"/>
    </row>
    <row r="440" spans="1:11" s="1" customFormat="1" ht="13.2" x14ac:dyDescent="0.25">
      <c r="A440" s="6"/>
      <c r="B440" s="6"/>
      <c r="D440" s="6"/>
      <c r="F440" s="6"/>
      <c r="G440" s="6"/>
      <c r="H440" s="6"/>
      <c r="I440" s="6"/>
      <c r="J440" s="6"/>
      <c r="K440" s="6"/>
    </row>
    <row r="441" spans="1:11" s="1" customFormat="1" ht="13.2" x14ac:dyDescent="0.25">
      <c r="A441" s="6"/>
      <c r="B441" s="6"/>
      <c r="D441" s="6"/>
      <c r="F441" s="6"/>
      <c r="G441" s="6"/>
      <c r="H441" s="6"/>
      <c r="I441" s="6"/>
      <c r="J441" s="6"/>
      <c r="K441" s="6"/>
    </row>
    <row r="442" spans="1:11" s="1" customFormat="1" ht="13.2" x14ac:dyDescent="0.25">
      <c r="A442" s="6"/>
      <c r="B442" s="6"/>
      <c r="D442" s="6"/>
      <c r="F442" s="6"/>
      <c r="G442" s="6"/>
      <c r="H442" s="6"/>
      <c r="I442" s="6"/>
      <c r="J442" s="6"/>
      <c r="K442" s="6"/>
    </row>
    <row r="443" spans="1:11" s="1" customFormat="1" ht="13.2" x14ac:dyDescent="0.25">
      <c r="A443" s="6"/>
      <c r="B443" s="6"/>
      <c r="D443" s="6"/>
      <c r="F443" s="6"/>
      <c r="G443" s="6"/>
      <c r="H443" s="6"/>
      <c r="I443" s="6"/>
      <c r="J443" s="6"/>
      <c r="K443" s="6"/>
    </row>
    <row r="444" spans="1:11" s="1" customFormat="1" ht="13.2" x14ac:dyDescent="0.25">
      <c r="A444" s="6"/>
      <c r="B444" s="6"/>
      <c r="D444" s="6"/>
      <c r="F444" s="6"/>
      <c r="G444" s="6"/>
      <c r="H444" s="6"/>
      <c r="I444" s="6"/>
      <c r="J444" s="6"/>
      <c r="K444" s="6"/>
    </row>
    <row r="445" spans="1:11" s="1" customFormat="1" ht="13.2" x14ac:dyDescent="0.25">
      <c r="A445" s="6"/>
      <c r="B445" s="6"/>
      <c r="D445" s="6"/>
      <c r="F445" s="6"/>
      <c r="G445" s="6"/>
      <c r="H445" s="6"/>
      <c r="I445" s="6"/>
      <c r="J445" s="6"/>
      <c r="K445" s="6"/>
    </row>
    <row r="446" spans="1:11" s="1" customFormat="1" ht="13.2" x14ac:dyDescent="0.25">
      <c r="A446" s="6"/>
      <c r="B446" s="6"/>
      <c r="D446" s="6"/>
      <c r="F446" s="6"/>
      <c r="G446" s="6"/>
      <c r="H446" s="6"/>
      <c r="I446" s="6"/>
      <c r="J446" s="6"/>
      <c r="K446" s="6"/>
    </row>
    <row r="447" spans="1:11" s="1" customFormat="1" ht="13.2" x14ac:dyDescent="0.25">
      <c r="A447" s="6"/>
      <c r="B447" s="6"/>
      <c r="D447" s="6"/>
      <c r="F447" s="6"/>
      <c r="G447" s="6"/>
      <c r="H447" s="6"/>
      <c r="I447" s="6"/>
      <c r="J447" s="6"/>
      <c r="K447" s="6"/>
    </row>
    <row r="448" spans="1:11" s="1" customFormat="1" ht="13.2" x14ac:dyDescent="0.25">
      <c r="A448" s="6"/>
      <c r="B448" s="6"/>
      <c r="D448" s="6"/>
      <c r="F448" s="6"/>
      <c r="G448" s="6"/>
      <c r="H448" s="6"/>
      <c r="I448" s="6"/>
      <c r="J448" s="6"/>
      <c r="K448" s="6"/>
    </row>
    <row r="449" spans="1:11" s="1" customFormat="1" ht="13.2" x14ac:dyDescent="0.25">
      <c r="A449" s="6"/>
      <c r="B449" s="6"/>
      <c r="D449" s="6"/>
      <c r="F449" s="6"/>
      <c r="G449" s="6"/>
      <c r="H449" s="6"/>
      <c r="I449" s="6"/>
      <c r="J449" s="6"/>
      <c r="K449" s="6"/>
    </row>
    <row r="450" spans="1:11" s="1" customFormat="1" ht="13.2" x14ac:dyDescent="0.25">
      <c r="A450" s="6"/>
      <c r="B450" s="6"/>
      <c r="D450" s="6"/>
      <c r="F450" s="6"/>
      <c r="G450" s="6"/>
      <c r="H450" s="6"/>
      <c r="I450" s="6"/>
      <c r="J450" s="6"/>
      <c r="K450" s="6"/>
    </row>
    <row r="451" spans="1:11" s="1" customFormat="1" ht="13.2" x14ac:dyDescent="0.25">
      <c r="A451" s="6"/>
      <c r="B451" s="6"/>
      <c r="D451" s="6"/>
      <c r="F451" s="6"/>
      <c r="G451" s="6"/>
      <c r="H451" s="6"/>
      <c r="I451" s="6"/>
      <c r="J451" s="6"/>
      <c r="K451" s="6"/>
    </row>
    <row r="452" spans="1:11" s="1" customFormat="1" ht="13.2" x14ac:dyDescent="0.25">
      <c r="A452" s="6"/>
      <c r="B452" s="6"/>
      <c r="D452" s="6"/>
      <c r="F452" s="6"/>
      <c r="G452" s="6"/>
      <c r="H452" s="6"/>
      <c r="I452" s="6"/>
      <c r="J452" s="6"/>
      <c r="K452" s="6"/>
    </row>
    <row r="453" spans="1:11" s="1" customFormat="1" ht="13.2" x14ac:dyDescent="0.25">
      <c r="A453" s="6"/>
      <c r="B453" s="6"/>
      <c r="D453" s="6"/>
      <c r="F453" s="6"/>
      <c r="G453" s="6"/>
      <c r="H453" s="6"/>
      <c r="I453" s="6"/>
      <c r="J453" s="6"/>
      <c r="K453" s="6"/>
    </row>
    <row r="454" spans="1:11" s="1" customFormat="1" ht="13.2" x14ac:dyDescent="0.25">
      <c r="A454" s="6"/>
      <c r="B454" s="6"/>
      <c r="D454" s="6"/>
      <c r="F454" s="6"/>
      <c r="G454" s="6"/>
      <c r="H454" s="6"/>
      <c r="I454" s="6"/>
      <c r="J454" s="6"/>
      <c r="K454" s="6"/>
    </row>
    <row r="455" spans="1:11" s="1" customFormat="1" ht="13.2" x14ac:dyDescent="0.25">
      <c r="A455" s="6"/>
      <c r="B455" s="6"/>
      <c r="D455" s="6"/>
      <c r="F455" s="6"/>
      <c r="G455" s="6"/>
      <c r="H455" s="6"/>
      <c r="I455" s="6"/>
      <c r="J455" s="6"/>
      <c r="K455" s="6"/>
    </row>
    <row r="456" spans="1:11" s="1" customFormat="1" ht="13.2" x14ac:dyDescent="0.25">
      <c r="A456" s="6"/>
      <c r="B456" s="6"/>
      <c r="D456" s="6"/>
      <c r="F456" s="6"/>
      <c r="G456" s="6"/>
      <c r="H456" s="6"/>
      <c r="I456" s="6"/>
      <c r="J456" s="6"/>
      <c r="K456" s="6"/>
    </row>
    <row r="457" spans="1:11" s="1" customFormat="1" ht="13.2" x14ac:dyDescent="0.25">
      <c r="A457" s="6"/>
      <c r="B457" s="6"/>
      <c r="D457" s="6"/>
      <c r="F457" s="6"/>
      <c r="G457" s="6"/>
      <c r="H457" s="6"/>
      <c r="I457" s="6"/>
      <c r="J457" s="6"/>
      <c r="K457" s="6"/>
    </row>
    <row r="458" spans="1:11" s="1" customFormat="1" ht="13.2" x14ac:dyDescent="0.25">
      <c r="A458" s="6"/>
      <c r="B458" s="6"/>
      <c r="D458" s="6"/>
      <c r="F458" s="6"/>
      <c r="G458" s="6"/>
      <c r="H458" s="6"/>
      <c r="I458" s="6"/>
      <c r="J458" s="6"/>
      <c r="K458" s="6"/>
    </row>
    <row r="459" spans="1:11" s="1" customFormat="1" ht="13.2" x14ac:dyDescent="0.25">
      <c r="A459" s="6"/>
      <c r="B459" s="6"/>
      <c r="D459" s="6"/>
      <c r="F459" s="6"/>
      <c r="G459" s="6"/>
      <c r="H459" s="6"/>
      <c r="I459" s="6"/>
      <c r="J459" s="6"/>
      <c r="K459" s="6"/>
    </row>
    <row r="460" spans="1:11" s="1" customFormat="1" ht="13.2" x14ac:dyDescent="0.25">
      <c r="A460" s="6"/>
      <c r="B460" s="6"/>
      <c r="D460" s="6"/>
      <c r="F460" s="6"/>
      <c r="G460" s="6"/>
      <c r="H460" s="6"/>
      <c r="I460" s="6"/>
      <c r="J460" s="6"/>
      <c r="K460" s="6"/>
    </row>
    <row r="461" spans="1:11" s="1" customFormat="1" ht="13.2" x14ac:dyDescent="0.25">
      <c r="A461" s="6"/>
      <c r="B461" s="6"/>
      <c r="D461" s="6"/>
      <c r="F461" s="6"/>
      <c r="G461" s="6"/>
      <c r="H461" s="6"/>
      <c r="I461" s="6"/>
      <c r="J461" s="6"/>
      <c r="K461" s="6"/>
    </row>
    <row r="462" spans="1:11" s="1" customFormat="1" ht="13.2" x14ac:dyDescent="0.25">
      <c r="A462" s="6"/>
      <c r="B462" s="6"/>
      <c r="D462" s="6"/>
      <c r="F462" s="6"/>
      <c r="G462" s="6"/>
      <c r="H462" s="6"/>
      <c r="I462" s="6"/>
      <c r="J462" s="6"/>
      <c r="K462" s="6"/>
    </row>
    <row r="463" spans="1:11" s="1" customFormat="1" ht="13.2" x14ac:dyDescent="0.25">
      <c r="A463" s="6"/>
      <c r="B463" s="6"/>
      <c r="D463" s="6"/>
      <c r="F463" s="6"/>
      <c r="G463" s="6"/>
      <c r="H463" s="6"/>
      <c r="I463" s="6"/>
      <c r="J463" s="6"/>
      <c r="K463" s="6"/>
    </row>
    <row r="464" spans="1:11" s="1" customFormat="1" ht="13.2" x14ac:dyDescent="0.25">
      <c r="A464" s="6"/>
      <c r="B464" s="6"/>
      <c r="D464" s="6"/>
      <c r="F464" s="6"/>
      <c r="G464" s="6"/>
      <c r="H464" s="6"/>
      <c r="I464" s="6"/>
      <c r="J464" s="6"/>
      <c r="K464" s="6"/>
    </row>
    <row r="465" spans="1:11" s="1" customFormat="1" ht="13.2" x14ac:dyDescent="0.25">
      <c r="A465" s="6"/>
      <c r="B465" s="6"/>
      <c r="D465" s="6"/>
      <c r="F465" s="6"/>
      <c r="G465" s="6"/>
      <c r="H465" s="6"/>
      <c r="I465" s="6"/>
      <c r="J465" s="6"/>
      <c r="K465" s="6"/>
    </row>
    <row r="466" spans="1:11" s="1" customFormat="1" ht="13.2" x14ac:dyDescent="0.25">
      <c r="A466" s="6"/>
      <c r="B466" s="6"/>
      <c r="D466" s="6"/>
      <c r="F466" s="6"/>
      <c r="G466" s="6"/>
      <c r="H466" s="6"/>
      <c r="I466" s="6"/>
      <c r="J466" s="6"/>
      <c r="K466" s="6"/>
    </row>
    <row r="467" spans="1:11" s="1" customFormat="1" ht="13.2" x14ac:dyDescent="0.25">
      <c r="A467" s="6"/>
      <c r="B467" s="6"/>
      <c r="D467" s="6"/>
      <c r="F467" s="6"/>
      <c r="G467" s="6"/>
      <c r="H467" s="6"/>
      <c r="I467" s="6"/>
      <c r="J467" s="6"/>
      <c r="K467" s="6"/>
    </row>
    <row r="468" spans="1:11" s="1" customFormat="1" ht="13.2" x14ac:dyDescent="0.25">
      <c r="A468" s="6"/>
      <c r="B468" s="6"/>
      <c r="D468" s="6"/>
      <c r="F468" s="6"/>
      <c r="G468" s="6"/>
      <c r="H468" s="6"/>
      <c r="I468" s="6"/>
      <c r="J468" s="6"/>
      <c r="K468" s="6"/>
    </row>
    <row r="469" spans="1:11" s="1" customFormat="1" ht="13.2" x14ac:dyDescent="0.25">
      <c r="A469" s="6"/>
      <c r="B469" s="6"/>
      <c r="D469" s="6"/>
      <c r="F469" s="6"/>
      <c r="G469" s="6"/>
      <c r="H469" s="6"/>
      <c r="I469" s="6"/>
      <c r="J469" s="6"/>
      <c r="K469" s="6"/>
    </row>
    <row r="470" spans="1:11" s="1" customFormat="1" ht="13.2" x14ac:dyDescent="0.25">
      <c r="A470" s="6"/>
      <c r="B470" s="6"/>
      <c r="D470" s="6"/>
      <c r="F470" s="6"/>
      <c r="G470" s="6"/>
      <c r="H470" s="6"/>
      <c r="I470" s="6"/>
      <c r="J470" s="6"/>
      <c r="K470" s="6"/>
    </row>
    <row r="471" spans="1:11" s="1" customFormat="1" ht="13.2" x14ac:dyDescent="0.25">
      <c r="A471" s="6"/>
      <c r="B471" s="6"/>
      <c r="D471" s="6"/>
      <c r="F471" s="6"/>
      <c r="G471" s="6"/>
      <c r="H471" s="6"/>
      <c r="I471" s="6"/>
      <c r="J471" s="6"/>
      <c r="K471" s="6"/>
    </row>
    <row r="472" spans="1:11" s="1" customFormat="1" ht="13.2" x14ac:dyDescent="0.25">
      <c r="A472" s="6"/>
      <c r="B472" s="6"/>
      <c r="D472" s="6"/>
      <c r="F472" s="6"/>
      <c r="G472" s="6"/>
      <c r="H472" s="6"/>
      <c r="I472" s="6"/>
      <c r="J472" s="6"/>
      <c r="K472" s="6"/>
    </row>
    <row r="473" spans="1:11" s="1" customFormat="1" ht="13.2" x14ac:dyDescent="0.25">
      <c r="A473" s="6"/>
      <c r="B473" s="6"/>
      <c r="D473" s="6"/>
      <c r="F473" s="6"/>
      <c r="G473" s="6"/>
      <c r="H473" s="6"/>
      <c r="I473" s="6"/>
      <c r="J473" s="6"/>
      <c r="K473" s="6"/>
    </row>
    <row r="474" spans="1:11" s="1" customFormat="1" ht="13.2" x14ac:dyDescent="0.25">
      <c r="A474" s="6"/>
      <c r="B474" s="6"/>
      <c r="D474" s="6"/>
      <c r="F474" s="6"/>
      <c r="G474" s="6"/>
      <c r="H474" s="6"/>
      <c r="I474" s="6"/>
      <c r="J474" s="6"/>
      <c r="K474" s="6"/>
    </row>
    <row r="475" spans="1:11" s="1" customFormat="1" ht="13.2" x14ac:dyDescent="0.25">
      <c r="A475" s="6"/>
      <c r="B475" s="6"/>
      <c r="D475" s="6"/>
      <c r="F475" s="6"/>
      <c r="G475" s="6"/>
      <c r="H475" s="6"/>
      <c r="I475" s="6"/>
      <c r="J475" s="6"/>
      <c r="K475" s="6"/>
    </row>
    <row r="476" spans="1:11" s="1" customFormat="1" ht="13.2" x14ac:dyDescent="0.25">
      <c r="A476" s="6"/>
      <c r="B476" s="6"/>
      <c r="D476" s="6"/>
      <c r="F476" s="6"/>
      <c r="G476" s="6"/>
      <c r="H476" s="6"/>
      <c r="I476" s="6"/>
      <c r="J476" s="6"/>
      <c r="K476" s="6"/>
    </row>
    <row r="477" spans="1:11" s="1" customFormat="1" ht="13.2" x14ac:dyDescent="0.25">
      <c r="A477" s="6"/>
      <c r="B477" s="6"/>
      <c r="D477" s="6"/>
      <c r="F477" s="6"/>
      <c r="G477" s="6"/>
      <c r="H477" s="6"/>
      <c r="I477" s="6"/>
      <c r="J477" s="6"/>
      <c r="K477" s="6"/>
    </row>
    <row r="478" spans="1:11" s="1" customFormat="1" ht="13.2" x14ac:dyDescent="0.25">
      <c r="A478" s="6"/>
      <c r="B478" s="6"/>
      <c r="D478" s="6"/>
      <c r="F478" s="6"/>
      <c r="G478" s="6"/>
      <c r="H478" s="6"/>
      <c r="I478" s="6"/>
      <c r="J478" s="6"/>
      <c r="K478" s="6"/>
    </row>
    <row r="479" spans="1:11" s="1" customFormat="1" ht="13.2" x14ac:dyDescent="0.25">
      <c r="A479" s="6"/>
      <c r="B479" s="6"/>
      <c r="D479" s="6"/>
      <c r="F479" s="6"/>
      <c r="G479" s="6"/>
      <c r="H479" s="6"/>
      <c r="I479" s="6"/>
      <c r="J479" s="6"/>
      <c r="K479" s="6"/>
    </row>
    <row r="480" spans="1:11" s="1" customFormat="1" ht="13.2" x14ac:dyDescent="0.25">
      <c r="A480" s="6"/>
      <c r="B480" s="6"/>
      <c r="D480" s="6"/>
      <c r="F480" s="6"/>
      <c r="G480" s="6"/>
      <c r="H480" s="6"/>
      <c r="I480" s="6"/>
      <c r="J480" s="6"/>
      <c r="K480" s="6"/>
    </row>
    <row r="481" spans="1:11" s="1" customFormat="1" ht="13.2" x14ac:dyDescent="0.25">
      <c r="A481" s="6"/>
      <c r="B481" s="6"/>
      <c r="D481" s="6"/>
      <c r="F481" s="6"/>
      <c r="G481" s="6"/>
      <c r="H481" s="6"/>
      <c r="I481" s="6"/>
      <c r="J481" s="6"/>
      <c r="K481" s="6"/>
    </row>
    <row r="482" spans="1:11" s="1" customFormat="1" ht="13.2" x14ac:dyDescent="0.25">
      <c r="A482" s="6"/>
      <c r="B482" s="6"/>
      <c r="D482" s="6"/>
      <c r="F482" s="6"/>
      <c r="G482" s="6"/>
      <c r="H482" s="6"/>
      <c r="I482" s="6"/>
      <c r="J482" s="6"/>
      <c r="K482" s="6"/>
    </row>
    <row r="483" spans="1:11" s="1" customFormat="1" ht="13.2" x14ac:dyDescent="0.25">
      <c r="A483" s="6"/>
      <c r="B483" s="6"/>
      <c r="D483" s="6"/>
      <c r="F483" s="6"/>
      <c r="G483" s="6"/>
      <c r="H483" s="6"/>
      <c r="I483" s="6"/>
      <c r="J483" s="6"/>
      <c r="K483" s="6"/>
    </row>
    <row r="484" spans="1:11" s="1" customFormat="1" ht="13.2" x14ac:dyDescent="0.25">
      <c r="A484" s="6"/>
      <c r="B484" s="6"/>
      <c r="D484" s="6"/>
      <c r="F484" s="6"/>
      <c r="G484" s="6"/>
      <c r="H484" s="6"/>
      <c r="I484" s="6"/>
      <c r="J484" s="6"/>
      <c r="K484" s="6"/>
    </row>
    <row r="485" spans="1:11" s="1" customFormat="1" ht="13.2" x14ac:dyDescent="0.25">
      <c r="A485" s="6"/>
      <c r="B485" s="6"/>
      <c r="D485" s="6"/>
      <c r="F485" s="6"/>
      <c r="G485" s="6"/>
      <c r="H485" s="6"/>
      <c r="I485" s="6"/>
      <c r="J485" s="6"/>
      <c r="K485" s="6"/>
    </row>
    <row r="486" spans="1:11" s="1" customFormat="1" ht="13.2" x14ac:dyDescent="0.25">
      <c r="A486" s="6"/>
      <c r="B486" s="6"/>
      <c r="D486" s="6"/>
      <c r="F486" s="6"/>
      <c r="G486" s="6"/>
      <c r="H486" s="6"/>
      <c r="I486" s="6"/>
      <c r="J486" s="6"/>
      <c r="K486" s="6"/>
    </row>
    <row r="487" spans="1:11" s="1" customFormat="1" ht="13.2" x14ac:dyDescent="0.25">
      <c r="A487" s="6"/>
      <c r="B487" s="6"/>
      <c r="D487" s="6"/>
      <c r="F487" s="6"/>
      <c r="G487" s="6"/>
      <c r="H487" s="6"/>
      <c r="I487" s="6"/>
      <c r="J487" s="6"/>
      <c r="K487" s="6"/>
    </row>
    <row r="488" spans="1:11" s="1" customFormat="1" ht="13.2" x14ac:dyDescent="0.25">
      <c r="A488" s="6"/>
      <c r="B488" s="6"/>
      <c r="D488" s="6"/>
      <c r="F488" s="6"/>
      <c r="G488" s="6"/>
      <c r="H488" s="6"/>
      <c r="I488" s="6"/>
      <c r="J488" s="6"/>
      <c r="K488" s="6"/>
    </row>
    <row r="489" spans="1:11" s="1" customFormat="1" ht="13.2" x14ac:dyDescent="0.25">
      <c r="A489" s="6"/>
      <c r="B489" s="6"/>
      <c r="D489" s="6"/>
      <c r="F489" s="6"/>
      <c r="G489" s="6"/>
      <c r="H489" s="6"/>
      <c r="I489" s="6"/>
      <c r="J489" s="6"/>
      <c r="K489" s="6"/>
    </row>
    <row r="490" spans="1:11" s="1" customFormat="1" ht="13.2" x14ac:dyDescent="0.25">
      <c r="A490" s="6"/>
      <c r="B490" s="6"/>
      <c r="D490" s="6"/>
      <c r="F490" s="6"/>
      <c r="G490" s="6"/>
      <c r="H490" s="6"/>
      <c r="I490" s="6"/>
      <c r="J490" s="6"/>
      <c r="K490" s="6"/>
    </row>
    <row r="491" spans="1:11" s="1" customFormat="1" ht="13.2" x14ac:dyDescent="0.25">
      <c r="A491" s="6"/>
      <c r="B491" s="6"/>
      <c r="D491" s="6"/>
      <c r="F491" s="6"/>
      <c r="G491" s="6"/>
      <c r="H491" s="6"/>
      <c r="I491" s="6"/>
      <c r="J491" s="6"/>
      <c r="K491" s="6"/>
    </row>
    <row r="492" spans="1:11" s="1" customFormat="1" ht="13.2" x14ac:dyDescent="0.25">
      <c r="A492" s="6"/>
      <c r="B492" s="6"/>
      <c r="D492" s="6"/>
      <c r="F492" s="6"/>
      <c r="G492" s="6"/>
      <c r="H492" s="6"/>
      <c r="I492" s="6"/>
      <c r="J492" s="6"/>
      <c r="K492" s="6"/>
    </row>
    <row r="493" spans="1:11" s="1" customFormat="1" ht="13.2" x14ac:dyDescent="0.25">
      <c r="A493" s="6"/>
      <c r="B493" s="6"/>
      <c r="D493" s="6"/>
      <c r="F493" s="6"/>
      <c r="G493" s="6"/>
      <c r="H493" s="6"/>
      <c r="I493" s="6"/>
      <c r="J493" s="6"/>
      <c r="K493" s="6"/>
    </row>
    <row r="494" spans="1:11" s="1" customFormat="1" ht="13.2" x14ac:dyDescent="0.25">
      <c r="A494" s="6"/>
      <c r="B494" s="6"/>
      <c r="D494" s="6"/>
      <c r="F494" s="6"/>
      <c r="G494" s="6"/>
      <c r="H494" s="6"/>
      <c r="I494" s="6"/>
      <c r="J494" s="6"/>
      <c r="K494" s="6"/>
    </row>
    <row r="495" spans="1:11" s="1" customFormat="1" ht="13.2" x14ac:dyDescent="0.25">
      <c r="A495" s="6"/>
      <c r="B495" s="6"/>
      <c r="D495" s="6"/>
      <c r="F495" s="6"/>
      <c r="G495" s="6"/>
      <c r="H495" s="6"/>
      <c r="I495" s="6"/>
      <c r="J495" s="6"/>
      <c r="K495" s="6"/>
    </row>
    <row r="496" spans="1:11" s="1" customFormat="1" ht="13.2" x14ac:dyDescent="0.25">
      <c r="A496" s="6"/>
      <c r="B496" s="6"/>
      <c r="D496" s="6"/>
      <c r="F496" s="6"/>
      <c r="G496" s="6"/>
      <c r="H496" s="6"/>
      <c r="I496" s="6"/>
      <c r="J496" s="6"/>
      <c r="K496" s="6"/>
    </row>
    <row r="497" spans="1:11" s="1" customFormat="1" ht="13.2" x14ac:dyDescent="0.25">
      <c r="A497" s="6"/>
      <c r="B497" s="6"/>
      <c r="D497" s="6"/>
      <c r="F497" s="6"/>
      <c r="G497" s="6"/>
      <c r="H497" s="6"/>
      <c r="I497" s="6"/>
      <c r="J497" s="6"/>
      <c r="K497" s="6"/>
    </row>
    <row r="498" spans="1:11" s="1" customFormat="1" ht="13.2" x14ac:dyDescent="0.25">
      <c r="A498" s="6"/>
      <c r="B498" s="6"/>
      <c r="D498" s="6"/>
      <c r="F498" s="6"/>
      <c r="G498" s="6"/>
      <c r="H498" s="6"/>
      <c r="I498" s="6"/>
      <c r="J498" s="6"/>
      <c r="K498" s="6"/>
    </row>
    <row r="499" spans="1:11" s="1" customFormat="1" ht="13.2" x14ac:dyDescent="0.25">
      <c r="A499" s="6"/>
      <c r="B499" s="6"/>
      <c r="D499" s="6"/>
      <c r="F499" s="6"/>
      <c r="G499" s="6"/>
      <c r="H499" s="6"/>
      <c r="I499" s="6"/>
      <c r="J499" s="6"/>
      <c r="K499" s="6"/>
    </row>
    <row r="500" spans="1:11" s="1" customFormat="1" ht="13.2" x14ac:dyDescent="0.25">
      <c r="A500" s="6"/>
      <c r="B500" s="6"/>
      <c r="D500" s="6"/>
      <c r="F500" s="6"/>
      <c r="G500" s="6"/>
      <c r="H500" s="6"/>
      <c r="I500" s="6"/>
      <c r="J500" s="6"/>
      <c r="K500" s="6"/>
    </row>
    <row r="501" spans="1:11" s="1" customFormat="1" ht="13.2" x14ac:dyDescent="0.25">
      <c r="A501" s="6"/>
      <c r="B501" s="6"/>
      <c r="D501" s="6"/>
      <c r="F501" s="6"/>
      <c r="G501" s="6"/>
      <c r="H501" s="6"/>
      <c r="I501" s="6"/>
      <c r="J501" s="6"/>
      <c r="K501" s="6"/>
    </row>
    <row r="502" spans="1:11" s="1" customFormat="1" ht="13.2" x14ac:dyDescent="0.25">
      <c r="A502" s="6"/>
      <c r="B502" s="6"/>
      <c r="D502" s="6"/>
      <c r="F502" s="6"/>
      <c r="G502" s="6"/>
      <c r="H502" s="6"/>
      <c r="I502" s="6"/>
      <c r="J502" s="6"/>
      <c r="K502" s="6"/>
    </row>
    <row r="503" spans="1:11" s="1" customFormat="1" ht="13.2" x14ac:dyDescent="0.25">
      <c r="A503" s="6"/>
      <c r="B503" s="6"/>
      <c r="D503" s="6"/>
      <c r="F503" s="6"/>
      <c r="G503" s="6"/>
      <c r="H503" s="6"/>
      <c r="I503" s="6"/>
      <c r="J503" s="6"/>
      <c r="K503" s="6"/>
    </row>
    <row r="504" spans="1:11" s="1" customFormat="1" ht="13.2" x14ac:dyDescent="0.25">
      <c r="A504" s="6"/>
      <c r="B504" s="6"/>
      <c r="D504" s="6"/>
      <c r="F504" s="6"/>
      <c r="G504" s="6"/>
      <c r="H504" s="6"/>
      <c r="I504" s="6"/>
      <c r="J504" s="6"/>
      <c r="K504" s="6"/>
    </row>
    <row r="505" spans="1:11" s="1" customFormat="1" ht="13.2" x14ac:dyDescent="0.25">
      <c r="A505" s="6"/>
      <c r="B505" s="6"/>
      <c r="D505" s="6"/>
      <c r="F505" s="6"/>
      <c r="G505" s="6"/>
      <c r="H505" s="6"/>
      <c r="I505" s="6"/>
      <c r="J505" s="6"/>
      <c r="K505" s="6"/>
    </row>
    <row r="506" spans="1:11" s="1" customFormat="1" ht="13.2" x14ac:dyDescent="0.25">
      <c r="A506" s="6"/>
      <c r="B506" s="6"/>
      <c r="D506" s="6"/>
      <c r="F506" s="6"/>
      <c r="G506" s="6"/>
      <c r="H506" s="6"/>
      <c r="I506" s="6"/>
      <c r="J506" s="6"/>
      <c r="K506" s="6"/>
    </row>
    <row r="507" spans="1:11" s="1" customFormat="1" ht="13.2" x14ac:dyDescent="0.25">
      <c r="A507" s="6"/>
      <c r="B507" s="6"/>
      <c r="D507" s="6"/>
      <c r="F507" s="6"/>
      <c r="G507" s="6"/>
      <c r="H507" s="6"/>
      <c r="I507" s="6"/>
      <c r="J507" s="6"/>
      <c r="K507" s="6"/>
    </row>
    <row r="508" spans="1:11" s="1" customFormat="1" ht="13.2" x14ac:dyDescent="0.25">
      <c r="A508" s="6"/>
      <c r="B508" s="6"/>
      <c r="D508" s="6"/>
      <c r="F508" s="6"/>
      <c r="G508" s="6"/>
      <c r="H508" s="6"/>
      <c r="I508" s="6"/>
      <c r="J508" s="6"/>
      <c r="K508" s="6"/>
    </row>
    <row r="509" spans="1:11" s="1" customFormat="1" ht="13.2" x14ac:dyDescent="0.25">
      <c r="A509" s="6"/>
      <c r="B509" s="6"/>
      <c r="D509" s="6"/>
      <c r="F509" s="6"/>
      <c r="G509" s="6"/>
      <c r="H509" s="6"/>
      <c r="I509" s="6"/>
      <c r="J509" s="6"/>
      <c r="K509" s="6"/>
    </row>
    <row r="510" spans="1:11" s="1" customFormat="1" ht="13.2" x14ac:dyDescent="0.25">
      <c r="A510" s="6"/>
      <c r="B510" s="6"/>
      <c r="D510" s="6"/>
      <c r="F510" s="6"/>
      <c r="G510" s="6"/>
      <c r="H510" s="6"/>
      <c r="I510" s="6"/>
      <c r="J510" s="6"/>
      <c r="K510" s="6"/>
    </row>
    <row r="511" spans="1:11" s="1" customFormat="1" ht="13.2" x14ac:dyDescent="0.25">
      <c r="A511" s="6"/>
      <c r="B511" s="6"/>
      <c r="D511" s="6"/>
      <c r="F511" s="6"/>
      <c r="G511" s="6"/>
      <c r="H511" s="6"/>
      <c r="I511" s="6"/>
      <c r="J511" s="6"/>
      <c r="K511" s="6"/>
    </row>
    <row r="512" spans="1:11" s="1" customFormat="1" ht="13.2" x14ac:dyDescent="0.25">
      <c r="A512" s="6"/>
      <c r="B512" s="6"/>
      <c r="D512" s="6"/>
      <c r="F512" s="6"/>
      <c r="G512" s="6"/>
      <c r="H512" s="6"/>
      <c r="I512" s="6"/>
      <c r="J512" s="6"/>
      <c r="K512" s="6"/>
    </row>
    <row r="513" spans="1:11" s="1" customFormat="1" ht="13.2" x14ac:dyDescent="0.25">
      <c r="A513" s="6"/>
      <c r="B513" s="6"/>
      <c r="D513" s="6"/>
      <c r="F513" s="6"/>
      <c r="G513" s="6"/>
      <c r="H513" s="6"/>
      <c r="I513" s="6"/>
      <c r="J513" s="6"/>
      <c r="K513" s="6"/>
    </row>
    <row r="514" spans="1:11" s="1" customFormat="1" ht="13.2" x14ac:dyDescent="0.25">
      <c r="A514" s="6"/>
      <c r="B514" s="6"/>
      <c r="D514" s="6"/>
      <c r="F514" s="6"/>
      <c r="G514" s="6"/>
      <c r="H514" s="6"/>
      <c r="I514" s="6"/>
      <c r="J514" s="6"/>
      <c r="K514" s="6"/>
    </row>
    <row r="515" spans="1:11" s="1" customFormat="1" ht="13.2" x14ac:dyDescent="0.25">
      <c r="A515" s="6"/>
      <c r="B515" s="6"/>
      <c r="D515" s="6"/>
      <c r="F515" s="6"/>
      <c r="G515" s="6"/>
      <c r="H515" s="6"/>
      <c r="I515" s="6"/>
      <c r="J515" s="6"/>
      <c r="K515" s="6"/>
    </row>
    <row r="516" spans="1:11" s="1" customFormat="1" ht="13.2" x14ac:dyDescent="0.25">
      <c r="A516" s="6"/>
      <c r="B516" s="6"/>
      <c r="D516" s="6"/>
      <c r="F516" s="6"/>
      <c r="G516" s="6"/>
      <c r="H516" s="6"/>
      <c r="I516" s="6"/>
      <c r="J516" s="6"/>
      <c r="K516" s="6"/>
    </row>
    <row r="517" spans="1:11" s="1" customFormat="1" ht="13.2" x14ac:dyDescent="0.25">
      <c r="A517" s="6"/>
      <c r="B517" s="6"/>
      <c r="D517" s="6"/>
      <c r="F517" s="6"/>
      <c r="G517" s="6"/>
      <c r="H517" s="6"/>
      <c r="I517" s="6"/>
      <c r="J517" s="6"/>
      <c r="K517" s="6"/>
    </row>
    <row r="518" spans="1:11" s="1" customFormat="1" ht="13.2" x14ac:dyDescent="0.25">
      <c r="A518" s="6"/>
      <c r="B518" s="6"/>
      <c r="D518" s="6"/>
      <c r="F518" s="6"/>
      <c r="G518" s="6"/>
      <c r="H518" s="6"/>
      <c r="I518" s="6"/>
      <c r="J518" s="6"/>
      <c r="K518" s="6"/>
    </row>
    <row r="519" spans="1:11" s="1" customFormat="1" ht="13.2" x14ac:dyDescent="0.25">
      <c r="A519" s="6"/>
      <c r="B519" s="6"/>
      <c r="D519" s="6"/>
      <c r="F519" s="6"/>
      <c r="G519" s="6"/>
      <c r="H519" s="6"/>
      <c r="I519" s="6"/>
      <c r="J519" s="6"/>
      <c r="K519" s="6"/>
    </row>
    <row r="520" spans="1:11" s="1" customFormat="1" ht="13.2" x14ac:dyDescent="0.25">
      <c r="A520" s="6"/>
      <c r="B520" s="6"/>
      <c r="D520" s="6"/>
      <c r="F520" s="6"/>
      <c r="G520" s="6"/>
      <c r="H520" s="6"/>
      <c r="I520" s="6"/>
      <c r="J520" s="6"/>
      <c r="K520" s="6"/>
    </row>
    <row r="521" spans="1:11" s="1" customFormat="1" ht="13.2" x14ac:dyDescent="0.25">
      <c r="A521" s="6"/>
      <c r="B521" s="6"/>
      <c r="D521" s="6"/>
      <c r="F521" s="6"/>
      <c r="G521" s="6"/>
      <c r="H521" s="6"/>
      <c r="I521" s="6"/>
      <c r="J521" s="6"/>
      <c r="K521" s="6"/>
    </row>
    <row r="522" spans="1:11" s="1" customFormat="1" ht="13.2" x14ac:dyDescent="0.25">
      <c r="A522" s="6"/>
      <c r="B522" s="6"/>
      <c r="D522" s="6"/>
      <c r="F522" s="6"/>
      <c r="G522" s="6"/>
      <c r="H522" s="6"/>
      <c r="I522" s="6"/>
      <c r="J522" s="6"/>
      <c r="K522" s="6"/>
    </row>
    <row r="523" spans="1:11" s="1" customFormat="1" ht="13.2" x14ac:dyDescent="0.25">
      <c r="A523" s="6"/>
      <c r="B523" s="6"/>
      <c r="D523" s="6"/>
      <c r="F523" s="6"/>
      <c r="G523" s="6"/>
      <c r="H523" s="6"/>
      <c r="I523" s="6"/>
      <c r="J523" s="6"/>
      <c r="K523" s="6"/>
    </row>
    <row r="524" spans="1:11" s="1" customFormat="1" ht="13.2" x14ac:dyDescent="0.25">
      <c r="A524" s="6"/>
      <c r="B524" s="6"/>
      <c r="D524" s="6"/>
      <c r="F524" s="6"/>
      <c r="G524" s="6"/>
      <c r="H524" s="6"/>
      <c r="I524" s="6"/>
      <c r="J524" s="6"/>
      <c r="K524" s="6"/>
    </row>
    <row r="525" spans="1:11" s="1" customFormat="1" ht="13.2" x14ac:dyDescent="0.25">
      <c r="A525" s="6"/>
      <c r="B525" s="6"/>
      <c r="D525" s="6"/>
      <c r="F525" s="6"/>
      <c r="G525" s="6"/>
      <c r="H525" s="6"/>
      <c r="I525" s="6"/>
      <c r="J525" s="6"/>
      <c r="K525" s="6"/>
    </row>
    <row r="526" spans="1:11" s="1" customFormat="1" ht="13.2" x14ac:dyDescent="0.25">
      <c r="A526" s="6"/>
      <c r="B526" s="6"/>
      <c r="D526" s="6"/>
      <c r="F526" s="6"/>
      <c r="G526" s="6"/>
      <c r="H526" s="6"/>
      <c r="I526" s="6"/>
      <c r="J526" s="6"/>
      <c r="K526" s="6"/>
    </row>
    <row r="527" spans="1:11" s="1" customFormat="1" ht="13.2" x14ac:dyDescent="0.25">
      <c r="A527" s="6"/>
      <c r="B527" s="6"/>
      <c r="D527" s="6"/>
      <c r="F527" s="6"/>
      <c r="G527" s="6"/>
      <c r="H527" s="6"/>
      <c r="I527" s="6"/>
      <c r="J527" s="6"/>
      <c r="K527" s="6"/>
    </row>
    <row r="528" spans="1:11" s="1" customFormat="1" ht="13.2" x14ac:dyDescent="0.25">
      <c r="A528" s="6"/>
      <c r="B528" s="6"/>
      <c r="D528" s="6"/>
      <c r="F528" s="6"/>
      <c r="G528" s="6"/>
      <c r="H528" s="6"/>
      <c r="I528" s="6"/>
      <c r="J528" s="6"/>
      <c r="K528" s="6"/>
    </row>
    <row r="529" spans="1:11" s="1" customFormat="1" ht="13.2" x14ac:dyDescent="0.25">
      <c r="A529" s="6"/>
      <c r="B529" s="6"/>
      <c r="D529" s="6"/>
      <c r="F529" s="6"/>
      <c r="G529" s="6"/>
      <c r="H529" s="6"/>
      <c r="I529" s="6"/>
      <c r="J529" s="6"/>
      <c r="K529" s="6"/>
    </row>
    <row r="530" spans="1:11" s="1" customFormat="1" ht="13.2" x14ac:dyDescent="0.25">
      <c r="A530" s="6"/>
      <c r="B530" s="6"/>
      <c r="D530" s="6"/>
      <c r="F530" s="6"/>
      <c r="G530" s="6"/>
      <c r="H530" s="6"/>
      <c r="I530" s="6"/>
      <c r="J530" s="6"/>
      <c r="K530" s="6"/>
    </row>
    <row r="531" spans="1:11" s="1" customFormat="1" ht="13.2" x14ac:dyDescent="0.25">
      <c r="A531" s="6"/>
      <c r="B531" s="6"/>
      <c r="D531" s="6"/>
      <c r="F531" s="6"/>
      <c r="G531" s="6"/>
      <c r="H531" s="6"/>
      <c r="I531" s="6"/>
      <c r="J531" s="6"/>
      <c r="K531" s="6"/>
    </row>
    <row r="532" spans="1:11" s="1" customFormat="1" ht="13.2" x14ac:dyDescent="0.25">
      <c r="A532" s="6"/>
      <c r="B532" s="6"/>
      <c r="D532" s="6"/>
      <c r="F532" s="6"/>
      <c r="G532" s="6"/>
      <c r="H532" s="6"/>
      <c r="I532" s="6"/>
      <c r="J532" s="6"/>
      <c r="K532" s="6"/>
    </row>
    <row r="533" spans="1:11" s="1" customFormat="1" ht="13.2" x14ac:dyDescent="0.25">
      <c r="A533" s="6"/>
      <c r="B533" s="6"/>
      <c r="D533" s="6"/>
      <c r="F533" s="6"/>
      <c r="G533" s="6"/>
      <c r="H533" s="6"/>
      <c r="I533" s="6"/>
      <c r="J533" s="6"/>
      <c r="K533" s="6"/>
    </row>
    <row r="534" spans="1:11" s="1" customFormat="1" ht="13.2" x14ac:dyDescent="0.25">
      <c r="A534" s="6"/>
      <c r="B534" s="6"/>
      <c r="D534" s="6"/>
      <c r="F534" s="6"/>
      <c r="G534" s="6"/>
      <c r="H534" s="6"/>
      <c r="I534" s="6"/>
      <c r="J534" s="6"/>
      <c r="K534" s="6"/>
    </row>
    <row r="535" spans="1:11" s="1" customFormat="1" ht="13.2" x14ac:dyDescent="0.25">
      <c r="A535" s="6"/>
      <c r="B535" s="6"/>
      <c r="D535" s="6"/>
      <c r="F535" s="6"/>
      <c r="G535" s="6"/>
      <c r="H535" s="6"/>
      <c r="I535" s="6"/>
      <c r="J535" s="6"/>
      <c r="K535" s="6"/>
    </row>
    <row r="536" spans="1:11" s="1" customFormat="1" ht="13.2" x14ac:dyDescent="0.25">
      <c r="A536" s="6"/>
      <c r="B536" s="6"/>
      <c r="D536" s="6"/>
      <c r="F536" s="6"/>
      <c r="G536" s="6"/>
      <c r="H536" s="6"/>
      <c r="I536" s="6"/>
      <c r="J536" s="6"/>
      <c r="K536" s="6"/>
    </row>
    <row r="537" spans="1:11" s="1" customFormat="1" ht="13.2" x14ac:dyDescent="0.25">
      <c r="A537" s="6"/>
      <c r="B537" s="6"/>
      <c r="D537" s="6"/>
      <c r="F537" s="6"/>
      <c r="G537" s="6"/>
      <c r="H537" s="6"/>
      <c r="I537" s="6"/>
      <c r="J537" s="6"/>
      <c r="K537" s="6"/>
    </row>
    <row r="538" spans="1:11" s="1" customFormat="1" ht="13.2" x14ac:dyDescent="0.25">
      <c r="A538" s="6"/>
      <c r="B538" s="6"/>
      <c r="D538" s="6"/>
      <c r="F538" s="6"/>
      <c r="G538" s="6"/>
      <c r="H538" s="6"/>
      <c r="I538" s="6"/>
      <c r="J538" s="6"/>
      <c r="K538" s="6"/>
    </row>
    <row r="539" spans="1:11" s="1" customFormat="1" ht="13.2" x14ac:dyDescent="0.25">
      <c r="A539" s="6"/>
      <c r="B539" s="6"/>
      <c r="D539" s="6"/>
      <c r="F539" s="6"/>
      <c r="G539" s="6"/>
      <c r="H539" s="6"/>
      <c r="I539" s="6"/>
      <c r="J539" s="6"/>
      <c r="K539" s="6"/>
    </row>
    <row r="540" spans="1:11" s="1" customFormat="1" ht="13.2" x14ac:dyDescent="0.25">
      <c r="A540" s="6"/>
      <c r="B540" s="6"/>
      <c r="D540" s="6"/>
      <c r="F540" s="6"/>
      <c r="G540" s="6"/>
      <c r="H540" s="6"/>
      <c r="I540" s="6"/>
      <c r="J540" s="6"/>
      <c r="K540" s="6"/>
    </row>
    <row r="541" spans="1:11" s="1" customFormat="1" ht="13.2" x14ac:dyDescent="0.25">
      <c r="A541" s="6"/>
      <c r="B541" s="6"/>
      <c r="D541" s="6"/>
      <c r="F541" s="6"/>
      <c r="G541" s="6"/>
      <c r="H541" s="6"/>
      <c r="I541" s="6"/>
      <c r="J541" s="6"/>
      <c r="K541" s="6"/>
    </row>
    <row r="542" spans="1:11" s="1" customFormat="1" ht="13.2" x14ac:dyDescent="0.25">
      <c r="A542" s="6"/>
      <c r="B542" s="6"/>
      <c r="D542" s="6"/>
      <c r="F542" s="6"/>
      <c r="G542" s="6"/>
      <c r="H542" s="6"/>
      <c r="I542" s="6"/>
      <c r="J542" s="6"/>
      <c r="K542" s="6"/>
    </row>
    <row r="543" spans="1:11" s="1" customFormat="1" ht="13.2" x14ac:dyDescent="0.25">
      <c r="A543" s="6"/>
      <c r="B543" s="6"/>
      <c r="D543" s="6"/>
      <c r="F543" s="6"/>
      <c r="G543" s="6"/>
      <c r="H543" s="6"/>
      <c r="I543" s="6"/>
      <c r="J543" s="6"/>
      <c r="K543" s="6"/>
    </row>
    <row r="544" spans="1:11" s="1" customFormat="1" ht="13.2" x14ac:dyDescent="0.25">
      <c r="A544" s="6"/>
      <c r="B544" s="6"/>
      <c r="D544" s="6"/>
      <c r="F544" s="6"/>
      <c r="G544" s="6"/>
      <c r="H544" s="6"/>
      <c r="I544" s="6"/>
      <c r="J544" s="6"/>
      <c r="K544" s="6"/>
    </row>
    <row r="545" spans="1:11" s="1" customFormat="1" ht="13.2" x14ac:dyDescent="0.25">
      <c r="A545" s="6"/>
      <c r="B545" s="6"/>
      <c r="D545" s="6"/>
      <c r="F545" s="6"/>
      <c r="G545" s="6"/>
      <c r="H545" s="6"/>
      <c r="I545" s="6"/>
      <c r="J545" s="6"/>
      <c r="K545" s="6"/>
    </row>
    <row r="546" spans="1:11" s="1" customFormat="1" ht="13.2" x14ac:dyDescent="0.25">
      <c r="A546" s="6"/>
      <c r="B546" s="6"/>
      <c r="D546" s="6"/>
      <c r="F546" s="6"/>
      <c r="G546" s="6"/>
      <c r="H546" s="6"/>
      <c r="I546" s="6"/>
      <c r="J546" s="6"/>
      <c r="K546" s="6"/>
    </row>
    <row r="547" spans="1:11" s="1" customFormat="1" ht="13.2" x14ac:dyDescent="0.25">
      <c r="A547" s="6"/>
      <c r="B547" s="6"/>
      <c r="D547" s="6"/>
      <c r="F547" s="6"/>
      <c r="G547" s="6"/>
      <c r="H547" s="6"/>
      <c r="I547" s="6"/>
      <c r="J547" s="6"/>
      <c r="K547" s="6"/>
    </row>
    <row r="548" spans="1:11" s="1" customFormat="1" ht="13.2" x14ac:dyDescent="0.25">
      <c r="A548" s="6"/>
      <c r="B548" s="6"/>
      <c r="D548" s="6"/>
      <c r="F548" s="6"/>
      <c r="G548" s="6"/>
      <c r="H548" s="6"/>
      <c r="I548" s="6"/>
      <c r="J548" s="6"/>
      <c r="K548" s="6"/>
    </row>
    <row r="549" spans="1:11" s="1" customFormat="1" ht="13.2" x14ac:dyDescent="0.25">
      <c r="A549" s="6"/>
      <c r="B549" s="6"/>
      <c r="D549" s="6"/>
      <c r="F549" s="6"/>
      <c r="G549" s="6"/>
      <c r="H549" s="6"/>
      <c r="I549" s="6"/>
      <c r="J549" s="6"/>
      <c r="K549" s="6"/>
    </row>
    <row r="550" spans="1:11" s="1" customFormat="1" ht="13.2" x14ac:dyDescent="0.25">
      <c r="A550" s="6"/>
      <c r="B550" s="6"/>
      <c r="D550" s="6"/>
      <c r="F550" s="6"/>
      <c r="G550" s="6"/>
      <c r="H550" s="6"/>
      <c r="I550" s="6"/>
      <c r="J550" s="6"/>
      <c r="K550" s="6"/>
    </row>
    <row r="551" spans="1:11" s="1" customFormat="1" ht="13.2" x14ac:dyDescent="0.25">
      <c r="A551" s="6"/>
      <c r="B551" s="6"/>
      <c r="D551" s="6"/>
      <c r="F551" s="6"/>
      <c r="G551" s="6"/>
      <c r="H551" s="6"/>
      <c r="I551" s="6"/>
      <c r="J551" s="6"/>
      <c r="K551" s="6"/>
    </row>
    <row r="552" spans="1:11" s="1" customFormat="1" ht="13.2" x14ac:dyDescent="0.25">
      <c r="A552" s="6"/>
      <c r="B552" s="6"/>
      <c r="D552" s="6"/>
      <c r="F552" s="6"/>
      <c r="G552" s="6"/>
      <c r="H552" s="6"/>
      <c r="I552" s="6"/>
      <c r="J552" s="6"/>
      <c r="K552" s="6"/>
    </row>
    <row r="553" spans="1:11" s="1" customFormat="1" ht="13.2" x14ac:dyDescent="0.25">
      <c r="A553" s="6"/>
      <c r="B553" s="6"/>
      <c r="D553" s="6"/>
      <c r="F553" s="6"/>
      <c r="G553" s="6"/>
      <c r="H553" s="6"/>
      <c r="I553" s="6"/>
      <c r="J553" s="6"/>
      <c r="K553" s="6"/>
    </row>
    <row r="554" spans="1:11" s="1" customFormat="1" ht="13.2" x14ac:dyDescent="0.25">
      <c r="A554" s="6"/>
      <c r="B554" s="6"/>
      <c r="D554" s="6"/>
      <c r="F554" s="6"/>
      <c r="G554" s="6"/>
      <c r="H554" s="6"/>
      <c r="I554" s="6"/>
      <c r="J554" s="6"/>
      <c r="K554" s="6"/>
    </row>
    <row r="555" spans="1:11" s="1" customFormat="1" ht="13.2" x14ac:dyDescent="0.25">
      <c r="A555" s="6"/>
      <c r="B555" s="6"/>
      <c r="D555" s="6"/>
      <c r="F555" s="6"/>
      <c r="G555" s="6"/>
      <c r="H555" s="6"/>
      <c r="I555" s="6"/>
      <c r="J555" s="6"/>
      <c r="K555" s="6"/>
    </row>
    <row r="556" spans="1:11" s="1" customFormat="1" ht="13.2" x14ac:dyDescent="0.25">
      <c r="A556" s="6"/>
      <c r="B556" s="6"/>
      <c r="D556" s="6"/>
      <c r="F556" s="6"/>
      <c r="G556" s="6"/>
      <c r="H556" s="6"/>
      <c r="I556" s="6"/>
      <c r="J556" s="6"/>
      <c r="K556" s="6"/>
    </row>
    <row r="557" spans="1:11" s="1" customFormat="1" ht="13.2" x14ac:dyDescent="0.25">
      <c r="A557" s="6"/>
      <c r="B557" s="6"/>
      <c r="D557" s="6"/>
      <c r="F557" s="6"/>
      <c r="G557" s="6"/>
      <c r="H557" s="6"/>
      <c r="I557" s="6"/>
      <c r="J557" s="6"/>
      <c r="K557" s="6"/>
    </row>
    <row r="558" spans="1:11" s="1" customFormat="1" ht="13.2" x14ac:dyDescent="0.25">
      <c r="A558" s="6"/>
      <c r="B558" s="6"/>
      <c r="D558" s="6"/>
      <c r="F558" s="6"/>
      <c r="G558" s="6"/>
      <c r="H558" s="6"/>
      <c r="I558" s="6"/>
      <c r="J558" s="6"/>
      <c r="K558" s="6"/>
    </row>
    <row r="559" spans="1:11" s="1" customFormat="1" ht="13.2" x14ac:dyDescent="0.25">
      <c r="A559" s="6"/>
      <c r="B559" s="6"/>
      <c r="D559" s="6"/>
      <c r="F559" s="6"/>
      <c r="G559" s="6"/>
      <c r="H559" s="6"/>
      <c r="I559" s="6"/>
      <c r="J559" s="6"/>
      <c r="K559" s="6"/>
    </row>
    <row r="560" spans="1:11" s="1" customFormat="1" ht="13.2" x14ac:dyDescent="0.25">
      <c r="A560" s="6"/>
      <c r="B560" s="6"/>
      <c r="D560" s="6"/>
      <c r="F560" s="6"/>
      <c r="G560" s="6"/>
      <c r="H560" s="6"/>
      <c r="I560" s="6"/>
      <c r="J560" s="6"/>
      <c r="K560" s="6"/>
    </row>
    <row r="561" spans="1:11" s="1" customFormat="1" ht="13.2" x14ac:dyDescent="0.25">
      <c r="A561" s="6"/>
      <c r="B561" s="6"/>
      <c r="D561" s="6"/>
      <c r="F561" s="6"/>
      <c r="G561" s="6"/>
      <c r="H561" s="6"/>
      <c r="I561" s="6"/>
      <c r="J561" s="6"/>
      <c r="K561" s="6"/>
    </row>
    <row r="562" spans="1:11" s="1" customFormat="1" ht="13.2" x14ac:dyDescent="0.25">
      <c r="A562" s="6"/>
      <c r="B562" s="6"/>
      <c r="D562" s="6"/>
      <c r="F562" s="6"/>
      <c r="G562" s="6"/>
      <c r="H562" s="6"/>
      <c r="I562" s="6"/>
      <c r="J562" s="6"/>
      <c r="K562" s="6"/>
    </row>
    <row r="563" spans="1:11" s="1" customFormat="1" ht="13.2" x14ac:dyDescent="0.25">
      <c r="A563" s="6"/>
      <c r="B563" s="6"/>
      <c r="D563" s="6"/>
      <c r="F563" s="6"/>
      <c r="G563" s="6"/>
      <c r="H563" s="6"/>
      <c r="I563" s="6"/>
      <c r="J563" s="6"/>
      <c r="K563" s="6"/>
    </row>
    <row r="564" spans="1:11" s="1" customFormat="1" ht="13.2" x14ac:dyDescent="0.25">
      <c r="A564" s="6"/>
      <c r="B564" s="6"/>
      <c r="D564" s="6"/>
      <c r="F564" s="6"/>
      <c r="G564" s="6"/>
      <c r="H564" s="6"/>
      <c r="I564" s="6"/>
      <c r="J564" s="6"/>
      <c r="K564" s="6"/>
    </row>
    <row r="565" spans="1:11" s="1" customFormat="1" ht="13.2" x14ac:dyDescent="0.25">
      <c r="A565" s="6"/>
      <c r="B565" s="6"/>
      <c r="D565" s="6"/>
      <c r="F565" s="6"/>
      <c r="G565" s="6"/>
      <c r="H565" s="6"/>
      <c r="I565" s="6"/>
      <c r="J565" s="6"/>
      <c r="K565" s="6"/>
    </row>
    <row r="566" spans="1:11" s="1" customFormat="1" ht="13.2" x14ac:dyDescent="0.25">
      <c r="A566" s="6"/>
      <c r="B566" s="6"/>
      <c r="D566" s="6"/>
      <c r="F566" s="6"/>
      <c r="G566" s="6"/>
      <c r="H566" s="6"/>
      <c r="I566" s="6"/>
      <c r="J566" s="6"/>
      <c r="K566" s="6"/>
    </row>
    <row r="567" spans="1:11" s="1" customFormat="1" ht="13.2" x14ac:dyDescent="0.25">
      <c r="A567" s="6"/>
      <c r="B567" s="6"/>
      <c r="D567" s="6"/>
      <c r="F567" s="6"/>
      <c r="G567" s="6"/>
      <c r="H567" s="6"/>
      <c r="I567" s="6"/>
      <c r="J567" s="6"/>
      <c r="K567" s="6"/>
    </row>
    <row r="568" spans="1:11" s="1" customFormat="1" ht="13.2" x14ac:dyDescent="0.25">
      <c r="A568" s="6"/>
      <c r="B568" s="6"/>
      <c r="D568" s="6"/>
      <c r="F568" s="6"/>
      <c r="G568" s="6"/>
      <c r="H568" s="6"/>
      <c r="I568" s="6"/>
      <c r="J568" s="6"/>
      <c r="K568" s="6"/>
    </row>
    <row r="569" spans="1:11" s="1" customFormat="1" ht="13.2" x14ac:dyDescent="0.25">
      <c r="A569" s="6"/>
      <c r="B569" s="6"/>
      <c r="D569" s="6"/>
      <c r="F569" s="6"/>
      <c r="G569" s="6"/>
      <c r="H569" s="6"/>
      <c r="I569" s="6"/>
      <c r="J569" s="6"/>
      <c r="K569" s="6"/>
    </row>
    <row r="570" spans="1:11" s="1" customFormat="1" ht="13.2" x14ac:dyDescent="0.25">
      <c r="A570" s="6"/>
      <c r="B570" s="6"/>
      <c r="D570" s="6"/>
      <c r="F570" s="6"/>
      <c r="G570" s="6"/>
      <c r="H570" s="6"/>
      <c r="I570" s="6"/>
      <c r="J570" s="6"/>
      <c r="K570" s="6"/>
    </row>
    <row r="571" spans="1:11" s="1" customFormat="1" ht="13.2" x14ac:dyDescent="0.25">
      <c r="A571" s="6"/>
      <c r="B571" s="6"/>
      <c r="D571" s="6"/>
      <c r="F571" s="6"/>
      <c r="G571" s="6"/>
      <c r="H571" s="6"/>
      <c r="I571" s="6"/>
      <c r="J571" s="6"/>
      <c r="K571" s="6"/>
    </row>
    <row r="572" spans="1:11" s="1" customFormat="1" ht="13.2" x14ac:dyDescent="0.25">
      <c r="A572" s="6"/>
      <c r="B572" s="6"/>
      <c r="D572" s="6"/>
      <c r="F572" s="6"/>
      <c r="G572" s="6"/>
      <c r="H572" s="6"/>
      <c r="I572" s="6"/>
      <c r="J572" s="6"/>
      <c r="K572" s="6"/>
    </row>
    <row r="573" spans="1:11" s="1" customFormat="1" ht="13.2" x14ac:dyDescent="0.25">
      <c r="A573" s="6"/>
      <c r="B573" s="6"/>
      <c r="D573" s="6"/>
      <c r="F573" s="6"/>
      <c r="G573" s="6"/>
      <c r="H573" s="6"/>
      <c r="I573" s="6"/>
      <c r="J573" s="6"/>
      <c r="K573" s="6"/>
    </row>
    <row r="574" spans="1:11" s="1" customFormat="1" ht="13.2" x14ac:dyDescent="0.25">
      <c r="A574" s="6"/>
      <c r="B574" s="6"/>
      <c r="D574" s="6"/>
      <c r="F574" s="6"/>
      <c r="G574" s="6"/>
      <c r="H574" s="6"/>
      <c r="I574" s="6"/>
      <c r="J574" s="6"/>
      <c r="K574" s="6"/>
    </row>
    <row r="575" spans="1:11" s="1" customFormat="1" ht="13.2" x14ac:dyDescent="0.25">
      <c r="A575" s="6"/>
      <c r="B575" s="6"/>
      <c r="D575" s="6"/>
      <c r="F575" s="6"/>
      <c r="G575" s="6"/>
      <c r="H575" s="6"/>
      <c r="I575" s="6"/>
      <c r="J575" s="6"/>
      <c r="K575" s="6"/>
    </row>
    <row r="576" spans="1:11" s="1" customFormat="1" ht="13.2" x14ac:dyDescent="0.25">
      <c r="A576" s="6"/>
      <c r="B576" s="6"/>
      <c r="D576" s="6"/>
      <c r="F576" s="6"/>
      <c r="G576" s="6"/>
      <c r="H576" s="6"/>
      <c r="I576" s="6"/>
      <c r="J576" s="6"/>
      <c r="K576" s="6"/>
    </row>
    <row r="577" spans="1:11" s="1" customFormat="1" ht="13.2" x14ac:dyDescent="0.25">
      <c r="A577" s="6"/>
      <c r="B577" s="6"/>
      <c r="D577" s="6"/>
      <c r="F577" s="6"/>
      <c r="G577" s="6"/>
      <c r="H577" s="6"/>
      <c r="I577" s="6"/>
      <c r="J577" s="6"/>
      <c r="K577" s="6"/>
    </row>
    <row r="578" spans="1:11" s="1" customFormat="1" ht="13.2" x14ac:dyDescent="0.25">
      <c r="A578" s="6"/>
      <c r="B578" s="6"/>
      <c r="D578" s="6"/>
      <c r="F578" s="6"/>
      <c r="G578" s="6"/>
      <c r="H578" s="6"/>
      <c r="I578" s="6"/>
      <c r="J578" s="6"/>
      <c r="K578" s="6"/>
    </row>
    <row r="579" spans="1:11" s="1" customFormat="1" ht="13.2" x14ac:dyDescent="0.25">
      <c r="A579" s="6"/>
      <c r="B579" s="6"/>
      <c r="D579" s="6"/>
      <c r="F579" s="6"/>
      <c r="G579" s="6"/>
      <c r="H579" s="6"/>
      <c r="I579" s="6"/>
      <c r="J579" s="6"/>
      <c r="K579" s="6"/>
    </row>
    <row r="580" spans="1:11" s="1" customFormat="1" ht="13.2" x14ac:dyDescent="0.25">
      <c r="A580" s="6"/>
      <c r="B580" s="6"/>
      <c r="D580" s="6"/>
      <c r="F580" s="6"/>
      <c r="G580" s="6"/>
      <c r="H580" s="6"/>
      <c r="I580" s="6"/>
      <c r="J580" s="6"/>
      <c r="K580" s="6"/>
    </row>
    <row r="581" spans="1:11" s="1" customFormat="1" ht="13.2" x14ac:dyDescent="0.25">
      <c r="A581" s="6"/>
      <c r="B581" s="6"/>
      <c r="D581" s="6"/>
      <c r="F581" s="6"/>
      <c r="G581" s="6"/>
      <c r="H581" s="6"/>
      <c r="I581" s="6"/>
      <c r="J581" s="6"/>
      <c r="K581" s="6"/>
    </row>
    <row r="582" spans="1:11" s="1" customFormat="1" ht="13.2" x14ac:dyDescent="0.25">
      <c r="A582" s="6"/>
      <c r="B582" s="6"/>
      <c r="D582" s="6"/>
      <c r="F582" s="6"/>
      <c r="G582" s="6"/>
      <c r="H582" s="6"/>
      <c r="I582" s="6"/>
      <c r="J582" s="6"/>
      <c r="K582" s="6"/>
    </row>
    <row r="583" spans="1:11" s="1" customFormat="1" ht="13.2" x14ac:dyDescent="0.25">
      <c r="A583" s="6"/>
      <c r="B583" s="6"/>
      <c r="D583" s="6"/>
      <c r="F583" s="6"/>
      <c r="G583" s="6"/>
      <c r="H583" s="6"/>
      <c r="I583" s="6"/>
      <c r="J583" s="6"/>
      <c r="K583" s="6"/>
    </row>
    <row r="584" spans="1:11" s="1" customFormat="1" ht="13.2" x14ac:dyDescent="0.25">
      <c r="A584" s="6"/>
      <c r="B584" s="6"/>
      <c r="D584" s="6"/>
      <c r="F584" s="6"/>
      <c r="G584" s="6"/>
      <c r="H584" s="6"/>
      <c r="I584" s="6"/>
      <c r="J584" s="6"/>
      <c r="K584" s="6"/>
    </row>
    <row r="585" spans="1:11" s="1" customFormat="1" ht="13.2" x14ac:dyDescent="0.25">
      <c r="A585" s="6"/>
      <c r="B585" s="6"/>
      <c r="D585" s="6"/>
      <c r="F585" s="6"/>
      <c r="G585" s="6"/>
      <c r="H585" s="6"/>
      <c r="I585" s="6"/>
      <c r="J585" s="6"/>
      <c r="K585" s="6"/>
    </row>
    <row r="586" spans="1:11" s="1" customFormat="1" ht="13.2" x14ac:dyDescent="0.25">
      <c r="A586" s="6"/>
      <c r="B586" s="6"/>
      <c r="D586" s="6"/>
      <c r="F586" s="6"/>
      <c r="G586" s="6"/>
      <c r="H586" s="6"/>
      <c r="I586" s="6"/>
      <c r="J586" s="6"/>
      <c r="K586" s="6"/>
    </row>
    <row r="587" spans="1:11" s="1" customFormat="1" ht="13.2" x14ac:dyDescent="0.25">
      <c r="A587" s="6"/>
      <c r="B587" s="6"/>
      <c r="D587" s="6"/>
      <c r="F587" s="6"/>
      <c r="G587" s="6"/>
      <c r="H587" s="6"/>
      <c r="I587" s="6"/>
      <c r="J587" s="6"/>
      <c r="K587" s="6"/>
    </row>
    <row r="588" spans="1:11" s="1" customFormat="1" ht="13.2" x14ac:dyDescent="0.25">
      <c r="A588" s="6"/>
      <c r="B588" s="6"/>
      <c r="D588" s="6"/>
      <c r="F588" s="6"/>
      <c r="G588" s="6"/>
      <c r="H588" s="6"/>
      <c r="I588" s="6"/>
      <c r="J588" s="6"/>
      <c r="K588" s="6"/>
    </row>
    <row r="589" spans="1:11" s="1" customFormat="1" ht="13.2" x14ac:dyDescent="0.25">
      <c r="A589" s="6"/>
      <c r="B589" s="6"/>
      <c r="D589" s="6"/>
      <c r="F589" s="6"/>
      <c r="G589" s="6"/>
      <c r="H589" s="6"/>
      <c r="I589" s="6"/>
      <c r="J589" s="6"/>
      <c r="K589" s="6"/>
    </row>
    <row r="590" spans="1:11" s="1" customFormat="1" ht="13.2" x14ac:dyDescent="0.25">
      <c r="A590" s="6"/>
      <c r="B590" s="6"/>
      <c r="D590" s="6"/>
      <c r="F590" s="6"/>
      <c r="G590" s="6"/>
      <c r="H590" s="6"/>
      <c r="I590" s="6"/>
      <c r="J590" s="6"/>
      <c r="K590" s="6"/>
    </row>
    <row r="591" spans="1:11" s="1" customFormat="1" ht="13.2" x14ac:dyDescent="0.25">
      <c r="A591" s="6"/>
      <c r="B591" s="6"/>
      <c r="D591" s="6"/>
      <c r="F591" s="6"/>
      <c r="G591" s="6"/>
      <c r="H591" s="6"/>
      <c r="I591" s="6"/>
      <c r="J591" s="6"/>
      <c r="K591" s="6"/>
    </row>
    <row r="592" spans="1:11" s="1" customFormat="1" ht="13.2" x14ac:dyDescent="0.25">
      <c r="A592" s="6"/>
      <c r="B592" s="6"/>
      <c r="D592" s="6"/>
      <c r="F592" s="6"/>
      <c r="G592" s="6"/>
      <c r="H592" s="6"/>
      <c r="I592" s="6"/>
      <c r="J592" s="6"/>
      <c r="K592" s="6"/>
    </row>
    <row r="593" spans="1:11" s="1" customFormat="1" ht="13.2" x14ac:dyDescent="0.25">
      <c r="A593" s="6"/>
      <c r="B593" s="6"/>
      <c r="D593" s="6"/>
      <c r="F593" s="6"/>
      <c r="G593" s="6"/>
      <c r="H593" s="6"/>
      <c r="I593" s="6"/>
      <c r="J593" s="6"/>
      <c r="K593" s="6"/>
    </row>
    <row r="594" spans="1:11" s="1" customFormat="1" ht="13.2" x14ac:dyDescent="0.25">
      <c r="A594" s="6"/>
      <c r="B594" s="6"/>
      <c r="D594" s="6"/>
      <c r="F594" s="6"/>
      <c r="G594" s="6"/>
      <c r="H594" s="6"/>
      <c r="I594" s="6"/>
      <c r="J594" s="6"/>
      <c r="K594" s="6"/>
    </row>
    <row r="595" spans="1:11" s="1" customFormat="1" ht="13.2" x14ac:dyDescent="0.25">
      <c r="A595" s="6"/>
      <c r="B595" s="6"/>
      <c r="D595" s="6"/>
      <c r="F595" s="6"/>
      <c r="G595" s="6"/>
      <c r="H595" s="6"/>
      <c r="I595" s="6"/>
      <c r="J595" s="6"/>
      <c r="K595" s="6"/>
    </row>
    <row r="596" spans="1:11" s="1" customFormat="1" ht="13.2" x14ac:dyDescent="0.25">
      <c r="A596" s="6"/>
      <c r="B596" s="6"/>
      <c r="D596" s="6"/>
      <c r="F596" s="6"/>
      <c r="G596" s="6"/>
      <c r="H596" s="6"/>
      <c r="I596" s="6"/>
      <c r="J596" s="6"/>
      <c r="K596" s="6"/>
    </row>
    <row r="597" spans="1:11" s="1" customFormat="1" ht="13.2" x14ac:dyDescent="0.25">
      <c r="A597" s="6"/>
      <c r="B597" s="6"/>
      <c r="D597" s="6"/>
      <c r="F597" s="6"/>
      <c r="G597" s="6"/>
      <c r="H597" s="6"/>
      <c r="I597" s="6"/>
      <c r="J597" s="6"/>
      <c r="K597" s="6"/>
    </row>
    <row r="598" spans="1:11" s="1" customFormat="1" ht="13.2" x14ac:dyDescent="0.25">
      <c r="A598" s="6"/>
      <c r="B598" s="6"/>
      <c r="D598" s="6"/>
      <c r="F598" s="6"/>
      <c r="G598" s="6"/>
      <c r="H598" s="6"/>
      <c r="I598" s="6"/>
      <c r="J598" s="6"/>
      <c r="K598" s="6"/>
    </row>
    <row r="599" spans="1:11" s="1" customFormat="1" ht="13.2" x14ac:dyDescent="0.25">
      <c r="A599" s="6"/>
      <c r="B599" s="6"/>
      <c r="D599" s="6"/>
      <c r="F599" s="6"/>
      <c r="G599" s="6"/>
      <c r="H599" s="6"/>
      <c r="I599" s="6"/>
      <c r="J599" s="6"/>
      <c r="K599" s="6"/>
    </row>
    <row r="600" spans="1:11" s="1" customFormat="1" ht="13.2" x14ac:dyDescent="0.25">
      <c r="A600" s="6"/>
      <c r="B600" s="6"/>
      <c r="D600" s="6"/>
      <c r="F600" s="6"/>
      <c r="G600" s="6"/>
      <c r="H600" s="6"/>
      <c r="I600" s="6"/>
      <c r="J600" s="6"/>
      <c r="K600" s="6"/>
    </row>
    <row r="601" spans="1:11" s="1" customFormat="1" ht="13.2" x14ac:dyDescent="0.25">
      <c r="A601" s="6"/>
      <c r="B601" s="6"/>
      <c r="D601" s="6"/>
      <c r="F601" s="6"/>
      <c r="G601" s="6"/>
      <c r="H601" s="6"/>
      <c r="I601" s="6"/>
      <c r="J601" s="6"/>
      <c r="K601" s="6"/>
    </row>
    <row r="602" spans="1:11" s="1" customFormat="1" ht="13.2" x14ac:dyDescent="0.25">
      <c r="A602" s="6"/>
      <c r="B602" s="6"/>
      <c r="D602" s="6"/>
      <c r="F602" s="6"/>
      <c r="G602" s="6"/>
      <c r="H602" s="6"/>
      <c r="I602" s="6"/>
      <c r="J602" s="6"/>
      <c r="K602" s="6"/>
    </row>
    <row r="603" spans="1:11" s="1" customFormat="1" ht="13.2" x14ac:dyDescent="0.25">
      <c r="A603" s="6"/>
      <c r="B603" s="6"/>
      <c r="D603" s="6"/>
      <c r="F603" s="6"/>
      <c r="G603" s="6"/>
      <c r="H603" s="6"/>
      <c r="I603" s="6"/>
      <c r="J603" s="6"/>
      <c r="K603" s="6"/>
    </row>
    <row r="604" spans="1:11" s="1" customFormat="1" ht="13.2" x14ac:dyDescent="0.25">
      <c r="A604" s="6"/>
      <c r="B604" s="6"/>
      <c r="D604" s="6"/>
      <c r="F604" s="6"/>
      <c r="G604" s="6"/>
      <c r="H604" s="6"/>
      <c r="I604" s="6"/>
      <c r="J604" s="6"/>
      <c r="K604" s="6"/>
    </row>
    <row r="605" spans="1:11" s="1" customFormat="1" ht="13.2" x14ac:dyDescent="0.25">
      <c r="A605" s="6"/>
      <c r="B605" s="6"/>
      <c r="D605" s="6"/>
      <c r="F605" s="6"/>
      <c r="G605" s="6"/>
      <c r="H605" s="6"/>
      <c r="I605" s="6"/>
      <c r="J605" s="6"/>
      <c r="K605" s="6"/>
    </row>
    <row r="606" spans="1:11" s="1" customFormat="1" ht="13.2" x14ac:dyDescent="0.25">
      <c r="A606" s="6"/>
      <c r="B606" s="6"/>
      <c r="D606" s="6"/>
      <c r="F606" s="6"/>
      <c r="G606" s="6"/>
      <c r="H606" s="6"/>
      <c r="I606" s="6"/>
      <c r="J606" s="6"/>
      <c r="K606" s="6"/>
    </row>
    <row r="607" spans="1:11" s="1" customFormat="1" ht="13.2" x14ac:dyDescent="0.25">
      <c r="A607" s="6"/>
      <c r="B607" s="6"/>
      <c r="D607" s="6"/>
      <c r="F607" s="6"/>
      <c r="G607" s="6"/>
      <c r="H607" s="6"/>
      <c r="I607" s="6"/>
      <c r="J607" s="6"/>
      <c r="K607" s="6"/>
    </row>
    <row r="608" spans="1:11" s="1" customFormat="1" ht="13.2" x14ac:dyDescent="0.25">
      <c r="A608" s="6"/>
      <c r="B608" s="6"/>
      <c r="D608" s="6"/>
      <c r="F608" s="6"/>
      <c r="G608" s="6"/>
      <c r="H608" s="6"/>
      <c r="I608" s="6"/>
      <c r="J608" s="6"/>
      <c r="K608" s="6"/>
    </row>
    <row r="609" spans="1:11" s="1" customFormat="1" ht="13.2" x14ac:dyDescent="0.25">
      <c r="A609" s="6"/>
      <c r="B609" s="6"/>
      <c r="D609" s="6"/>
      <c r="F609" s="6"/>
      <c r="G609" s="6"/>
      <c r="H609" s="6"/>
      <c r="I609" s="6"/>
      <c r="J609" s="6"/>
      <c r="K609" s="6"/>
    </row>
    <row r="610" spans="1:11" s="1" customFormat="1" ht="13.2" x14ac:dyDescent="0.25">
      <c r="A610" s="6"/>
      <c r="B610" s="6"/>
      <c r="D610" s="6"/>
      <c r="F610" s="6"/>
      <c r="G610" s="6"/>
      <c r="H610" s="6"/>
      <c r="I610" s="6"/>
      <c r="J610" s="6"/>
      <c r="K610" s="6"/>
    </row>
    <row r="611" spans="1:11" s="1" customFormat="1" ht="13.2" x14ac:dyDescent="0.25">
      <c r="A611" s="6"/>
      <c r="B611" s="6"/>
      <c r="D611" s="6"/>
      <c r="F611" s="6"/>
      <c r="G611" s="6"/>
      <c r="H611" s="6"/>
      <c r="I611" s="6"/>
      <c r="J611" s="6"/>
      <c r="K611" s="6"/>
    </row>
    <row r="612" spans="1:11" s="1" customFormat="1" ht="13.2" x14ac:dyDescent="0.25">
      <c r="A612" s="6"/>
      <c r="B612" s="6"/>
      <c r="D612" s="6"/>
      <c r="F612" s="6"/>
      <c r="G612" s="6"/>
      <c r="H612" s="6"/>
      <c r="I612" s="6"/>
      <c r="J612" s="6"/>
      <c r="K612" s="6"/>
    </row>
    <row r="613" spans="1:11" s="1" customFormat="1" ht="13.2" x14ac:dyDescent="0.25">
      <c r="A613" s="6"/>
      <c r="B613" s="6"/>
      <c r="D613" s="6"/>
      <c r="F613" s="6"/>
      <c r="G613" s="6"/>
      <c r="H613" s="6"/>
      <c r="I613" s="6"/>
      <c r="J613" s="6"/>
      <c r="K613" s="6"/>
    </row>
    <row r="614" spans="1:11" s="1" customFormat="1" ht="13.2" x14ac:dyDescent="0.25">
      <c r="A614" s="6"/>
      <c r="B614" s="6"/>
      <c r="D614" s="6"/>
      <c r="F614" s="6"/>
      <c r="G614" s="6"/>
      <c r="H614" s="6"/>
      <c r="I614" s="6"/>
      <c r="J614" s="6"/>
      <c r="K614" s="6"/>
    </row>
    <row r="615" spans="1:11" s="1" customFormat="1" ht="13.2" x14ac:dyDescent="0.25">
      <c r="A615" s="6"/>
      <c r="B615" s="6"/>
      <c r="D615" s="6"/>
      <c r="F615" s="6"/>
      <c r="G615" s="6"/>
      <c r="H615" s="6"/>
      <c r="I615" s="6"/>
      <c r="J615" s="6"/>
      <c r="K615" s="6"/>
    </row>
    <row r="616" spans="1:11" s="1" customFormat="1" ht="13.2" x14ac:dyDescent="0.25">
      <c r="A616" s="6"/>
      <c r="B616" s="6"/>
      <c r="D616" s="6"/>
      <c r="F616" s="6"/>
      <c r="G616" s="6"/>
      <c r="H616" s="6"/>
      <c r="I616" s="6"/>
      <c r="J616" s="6"/>
      <c r="K616" s="6"/>
    </row>
    <row r="617" spans="1:11" s="1" customFormat="1" ht="13.2" x14ac:dyDescent="0.25">
      <c r="A617" s="6"/>
      <c r="B617" s="6"/>
      <c r="D617" s="6"/>
      <c r="F617" s="6"/>
      <c r="G617" s="6"/>
      <c r="H617" s="6"/>
      <c r="I617" s="6"/>
      <c r="J617" s="6"/>
      <c r="K617" s="6"/>
    </row>
    <row r="618" spans="1:11" s="1" customFormat="1" ht="13.2" x14ac:dyDescent="0.25">
      <c r="A618" s="6"/>
      <c r="B618" s="6"/>
      <c r="D618" s="6"/>
      <c r="F618" s="6"/>
      <c r="G618" s="6"/>
      <c r="H618" s="6"/>
      <c r="I618" s="6"/>
      <c r="J618" s="6"/>
      <c r="K618" s="6"/>
    </row>
    <row r="619" spans="1:11" s="1" customFormat="1" ht="13.2" x14ac:dyDescent="0.25">
      <c r="A619" s="6"/>
      <c r="B619" s="6"/>
      <c r="D619" s="6"/>
      <c r="F619" s="6"/>
      <c r="G619" s="6"/>
      <c r="H619" s="6"/>
      <c r="I619" s="6"/>
      <c r="J619" s="6"/>
      <c r="K619" s="6"/>
    </row>
    <row r="620" spans="1:11" s="1" customFormat="1" ht="13.2" x14ac:dyDescent="0.25">
      <c r="A620" s="6"/>
      <c r="B620" s="6"/>
      <c r="D620" s="6"/>
      <c r="F620" s="6"/>
      <c r="G620" s="6"/>
      <c r="H620" s="6"/>
      <c r="I620" s="6"/>
      <c r="J620" s="6"/>
      <c r="K620" s="6"/>
    </row>
    <row r="621" spans="1:11" s="1" customFormat="1" ht="13.2" x14ac:dyDescent="0.25">
      <c r="A621" s="6"/>
      <c r="B621" s="6"/>
      <c r="D621" s="6"/>
      <c r="F621" s="6"/>
      <c r="G621" s="6"/>
      <c r="H621" s="6"/>
      <c r="I621" s="6"/>
      <c r="J621" s="6"/>
      <c r="K621" s="6"/>
    </row>
    <row r="622" spans="1:11" s="1" customFormat="1" ht="13.2" x14ac:dyDescent="0.25">
      <c r="A622" s="6"/>
      <c r="B622" s="6"/>
      <c r="D622" s="6"/>
      <c r="F622" s="6"/>
      <c r="G622" s="6"/>
      <c r="H622" s="6"/>
      <c r="I622" s="6"/>
      <c r="J622" s="6"/>
      <c r="K622" s="6"/>
    </row>
    <row r="623" spans="1:11" s="1" customFormat="1" ht="13.2" x14ac:dyDescent="0.25">
      <c r="A623" s="6"/>
      <c r="B623" s="6"/>
      <c r="D623" s="6"/>
      <c r="F623" s="6"/>
      <c r="G623" s="6"/>
      <c r="H623" s="6"/>
      <c r="I623" s="6"/>
      <c r="J623" s="6"/>
      <c r="K623" s="6"/>
    </row>
    <row r="624" spans="1:11" s="1" customFormat="1" ht="13.2" x14ac:dyDescent="0.25">
      <c r="A624" s="6"/>
      <c r="B624" s="6"/>
      <c r="D624" s="6"/>
      <c r="F624" s="6"/>
      <c r="G624" s="6"/>
      <c r="H624" s="6"/>
      <c r="I624" s="6"/>
      <c r="J624" s="6"/>
      <c r="K624" s="6"/>
    </row>
    <row r="625" spans="1:11" s="1" customFormat="1" ht="13.2" x14ac:dyDescent="0.25">
      <c r="A625" s="6"/>
      <c r="B625" s="6"/>
      <c r="D625" s="6"/>
      <c r="F625" s="6"/>
      <c r="G625" s="6"/>
      <c r="H625" s="6"/>
      <c r="I625" s="6"/>
      <c r="J625" s="6"/>
      <c r="K625" s="6"/>
    </row>
    <row r="626" spans="1:11" s="1" customFormat="1" ht="13.2" x14ac:dyDescent="0.25">
      <c r="A626" s="6"/>
      <c r="B626" s="6"/>
      <c r="D626" s="6"/>
      <c r="F626" s="6"/>
      <c r="G626" s="6"/>
      <c r="H626" s="6"/>
      <c r="I626" s="6"/>
      <c r="J626" s="6"/>
      <c r="K626" s="6"/>
    </row>
    <row r="627" spans="1:11" s="1" customFormat="1" ht="13.2" x14ac:dyDescent="0.25">
      <c r="A627" s="6"/>
      <c r="B627" s="6"/>
      <c r="D627" s="6"/>
      <c r="F627" s="6"/>
      <c r="G627" s="6"/>
      <c r="H627" s="6"/>
      <c r="I627" s="6"/>
      <c r="J627" s="6"/>
      <c r="K627" s="6"/>
    </row>
    <row r="628" spans="1:11" s="1" customFormat="1" ht="13.2" x14ac:dyDescent="0.25">
      <c r="A628" s="6"/>
      <c r="B628" s="6"/>
      <c r="D628" s="6"/>
      <c r="F628" s="6"/>
      <c r="G628" s="6"/>
      <c r="H628" s="6"/>
      <c r="I628" s="6"/>
      <c r="J628" s="6"/>
      <c r="K628" s="6"/>
    </row>
    <row r="629" spans="1:11" s="1" customFormat="1" ht="13.2" x14ac:dyDescent="0.25">
      <c r="A629" s="6"/>
      <c r="B629" s="6"/>
      <c r="D629" s="6"/>
      <c r="F629" s="6"/>
      <c r="G629" s="6"/>
      <c r="H629" s="6"/>
      <c r="I629" s="6"/>
      <c r="J629" s="6"/>
      <c r="K629" s="6"/>
    </row>
    <row r="630" spans="1:11" s="1" customFormat="1" ht="13.2" x14ac:dyDescent="0.25">
      <c r="A630" s="6"/>
      <c r="B630" s="6"/>
      <c r="D630" s="6"/>
      <c r="F630" s="6"/>
      <c r="G630" s="6"/>
      <c r="H630" s="6"/>
      <c r="I630" s="6"/>
      <c r="J630" s="6"/>
      <c r="K630" s="6"/>
    </row>
    <row r="631" spans="1:11" s="1" customFormat="1" ht="13.2" x14ac:dyDescent="0.25">
      <c r="A631" s="6"/>
      <c r="B631" s="6"/>
      <c r="D631" s="6"/>
      <c r="F631" s="6"/>
      <c r="G631" s="6"/>
      <c r="H631" s="6"/>
      <c r="I631" s="6"/>
      <c r="J631" s="6"/>
      <c r="K631" s="6"/>
    </row>
    <row r="632" spans="1:11" s="1" customFormat="1" ht="13.2" x14ac:dyDescent="0.25">
      <c r="A632" s="6"/>
      <c r="B632" s="6"/>
      <c r="D632" s="6"/>
      <c r="F632" s="6"/>
      <c r="G632" s="6"/>
      <c r="H632" s="6"/>
      <c r="I632" s="6"/>
      <c r="J632" s="6"/>
      <c r="K632" s="6"/>
    </row>
    <row r="633" spans="1:11" s="1" customFormat="1" ht="13.2" x14ac:dyDescent="0.25">
      <c r="A633" s="6"/>
      <c r="B633" s="6"/>
      <c r="D633" s="6"/>
      <c r="F633" s="6"/>
      <c r="G633" s="6"/>
      <c r="H633" s="6"/>
      <c r="I633" s="6"/>
      <c r="J633" s="6"/>
      <c r="K633" s="6"/>
    </row>
    <row r="634" spans="1:11" s="1" customFormat="1" ht="13.2" x14ac:dyDescent="0.25">
      <c r="A634" s="6"/>
      <c r="B634" s="6"/>
      <c r="D634" s="6"/>
      <c r="F634" s="6"/>
      <c r="G634" s="6"/>
      <c r="H634" s="6"/>
      <c r="I634" s="6"/>
      <c r="J634" s="6"/>
      <c r="K634" s="6"/>
    </row>
    <row r="635" spans="1:11" s="1" customFormat="1" ht="13.2" x14ac:dyDescent="0.25">
      <c r="A635" s="6"/>
      <c r="B635" s="6"/>
      <c r="D635" s="6"/>
      <c r="F635" s="6"/>
      <c r="G635" s="6"/>
      <c r="H635" s="6"/>
      <c r="I635" s="6"/>
      <c r="J635" s="6"/>
      <c r="K635" s="6"/>
    </row>
    <row r="636" spans="1:11" s="1" customFormat="1" ht="13.2" x14ac:dyDescent="0.25">
      <c r="A636" s="6"/>
      <c r="B636" s="6"/>
      <c r="D636" s="6"/>
      <c r="F636" s="6"/>
      <c r="G636" s="6"/>
      <c r="H636" s="6"/>
      <c r="I636" s="6"/>
      <c r="J636" s="6"/>
      <c r="K636" s="6"/>
    </row>
    <row r="637" spans="1:11" s="1" customFormat="1" ht="13.2" x14ac:dyDescent="0.25">
      <c r="A637" s="6"/>
      <c r="B637" s="6"/>
      <c r="D637" s="6"/>
      <c r="F637" s="6"/>
      <c r="G637" s="6"/>
      <c r="H637" s="6"/>
      <c r="I637" s="6"/>
      <c r="J637" s="6"/>
      <c r="K637" s="6"/>
    </row>
    <row r="638" spans="1:11" s="1" customFormat="1" ht="13.2" x14ac:dyDescent="0.25">
      <c r="A638" s="6"/>
      <c r="B638" s="6"/>
      <c r="D638" s="6"/>
      <c r="F638" s="6"/>
      <c r="G638" s="6"/>
      <c r="H638" s="6"/>
      <c r="I638" s="6"/>
      <c r="J638" s="6"/>
      <c r="K638" s="6"/>
    </row>
    <row r="639" spans="1:11" s="1" customFormat="1" ht="13.2" x14ac:dyDescent="0.25">
      <c r="A639" s="6"/>
      <c r="B639" s="6"/>
      <c r="D639" s="6"/>
      <c r="F639" s="6"/>
      <c r="G639" s="6"/>
      <c r="H639" s="6"/>
      <c r="I639" s="6"/>
      <c r="J639" s="6"/>
      <c r="K639" s="6"/>
    </row>
    <row r="640" spans="1:11" s="1" customFormat="1" ht="13.2" x14ac:dyDescent="0.25">
      <c r="A640" s="6"/>
      <c r="B640" s="6"/>
      <c r="D640" s="6"/>
      <c r="F640" s="6"/>
      <c r="G640" s="6"/>
      <c r="H640" s="6"/>
      <c r="I640" s="6"/>
      <c r="J640" s="6"/>
      <c r="K640" s="6"/>
    </row>
    <row r="641" spans="1:11" s="1" customFormat="1" ht="13.2" x14ac:dyDescent="0.25">
      <c r="A641" s="6"/>
      <c r="B641" s="6"/>
      <c r="D641" s="6"/>
      <c r="F641" s="6"/>
      <c r="G641" s="6"/>
      <c r="H641" s="6"/>
      <c r="I641" s="6"/>
      <c r="J641" s="6"/>
      <c r="K641" s="6"/>
    </row>
    <row r="642" spans="1:11" s="1" customFormat="1" ht="13.2" x14ac:dyDescent="0.25">
      <c r="A642" s="6"/>
      <c r="B642" s="6"/>
      <c r="D642" s="6"/>
      <c r="F642" s="6"/>
      <c r="G642" s="6"/>
      <c r="H642" s="6"/>
      <c r="I642" s="6"/>
      <c r="J642" s="6"/>
      <c r="K642" s="6"/>
    </row>
    <row r="643" spans="1:11" s="1" customFormat="1" ht="13.2" x14ac:dyDescent="0.25">
      <c r="A643" s="6"/>
      <c r="B643" s="6"/>
      <c r="D643" s="6"/>
      <c r="F643" s="6"/>
      <c r="G643" s="6"/>
      <c r="H643" s="6"/>
      <c r="I643" s="6"/>
      <c r="J643" s="6"/>
      <c r="K643" s="6"/>
    </row>
    <row r="644" spans="1:11" s="1" customFormat="1" ht="13.2" x14ac:dyDescent="0.25">
      <c r="A644" s="6"/>
      <c r="B644" s="6"/>
      <c r="D644" s="6"/>
      <c r="F644" s="6"/>
      <c r="G644" s="6"/>
      <c r="H644" s="6"/>
      <c r="I644" s="6"/>
      <c r="J644" s="6"/>
      <c r="K644" s="6"/>
    </row>
    <row r="645" spans="1:11" s="1" customFormat="1" ht="13.2" x14ac:dyDescent="0.25">
      <c r="A645" s="6"/>
      <c r="B645" s="6"/>
      <c r="D645" s="6"/>
      <c r="F645" s="6"/>
      <c r="G645" s="6"/>
      <c r="H645" s="6"/>
      <c r="I645" s="6"/>
      <c r="J645" s="6"/>
      <c r="K645" s="6"/>
    </row>
    <row r="646" spans="1:11" s="1" customFormat="1" ht="13.2" x14ac:dyDescent="0.25">
      <c r="A646" s="6"/>
      <c r="B646" s="6"/>
      <c r="D646" s="6"/>
      <c r="F646" s="6"/>
      <c r="G646" s="6"/>
      <c r="H646" s="6"/>
      <c r="I646" s="6"/>
      <c r="J646" s="6"/>
      <c r="K646" s="6"/>
    </row>
    <row r="647" spans="1:11" s="1" customFormat="1" ht="13.2" x14ac:dyDescent="0.25">
      <c r="A647" s="6"/>
      <c r="B647" s="6"/>
      <c r="D647" s="6"/>
      <c r="F647" s="6"/>
      <c r="G647" s="6"/>
      <c r="H647" s="6"/>
      <c r="I647" s="6"/>
      <c r="J647" s="6"/>
      <c r="K647" s="6"/>
    </row>
    <row r="648" spans="1:11" s="1" customFormat="1" ht="13.2" x14ac:dyDescent="0.25">
      <c r="A648" s="6"/>
      <c r="B648" s="6"/>
      <c r="D648" s="6"/>
      <c r="F648" s="6"/>
      <c r="G648" s="6"/>
      <c r="H648" s="6"/>
      <c r="I648" s="6"/>
      <c r="J648" s="6"/>
      <c r="K648" s="6"/>
    </row>
    <row r="649" spans="1:11" s="1" customFormat="1" ht="13.2" x14ac:dyDescent="0.25">
      <c r="A649" s="6"/>
      <c r="B649" s="6"/>
      <c r="D649" s="6"/>
      <c r="F649" s="6"/>
      <c r="G649" s="6"/>
      <c r="H649" s="6"/>
      <c r="I649" s="6"/>
      <c r="J649" s="6"/>
      <c r="K649" s="6"/>
    </row>
    <row r="650" spans="1:11" s="1" customFormat="1" ht="13.2" x14ac:dyDescent="0.25">
      <c r="A650" s="6"/>
      <c r="B650" s="6"/>
      <c r="D650" s="6"/>
      <c r="F650" s="6"/>
      <c r="G650" s="6"/>
      <c r="H650" s="6"/>
      <c r="I650" s="6"/>
      <c r="J650" s="6"/>
      <c r="K650" s="6"/>
    </row>
    <row r="651" spans="1:11" s="1" customFormat="1" ht="13.2" x14ac:dyDescent="0.25">
      <c r="A651" s="6"/>
      <c r="B651" s="6"/>
      <c r="D651" s="6"/>
      <c r="F651" s="6"/>
      <c r="G651" s="6"/>
      <c r="H651" s="6"/>
      <c r="I651" s="6"/>
      <c r="J651" s="6"/>
      <c r="K651" s="6"/>
    </row>
    <row r="652" spans="1:11" s="1" customFormat="1" ht="13.2" x14ac:dyDescent="0.25">
      <c r="A652" s="6"/>
      <c r="B652" s="6"/>
      <c r="D652" s="6"/>
      <c r="F652" s="6"/>
      <c r="G652" s="6"/>
      <c r="H652" s="6"/>
      <c r="I652" s="6"/>
      <c r="J652" s="6"/>
      <c r="K652" s="6"/>
    </row>
    <row r="653" spans="1:11" s="1" customFormat="1" ht="13.2" x14ac:dyDescent="0.25">
      <c r="A653" s="6"/>
      <c r="B653" s="6"/>
      <c r="D653" s="6"/>
      <c r="F653" s="6"/>
      <c r="G653" s="6"/>
      <c r="H653" s="6"/>
      <c r="I653" s="6"/>
      <c r="J653" s="6"/>
      <c r="K653" s="6"/>
    </row>
    <row r="654" spans="1:11" s="1" customFormat="1" ht="13.2" x14ac:dyDescent="0.25">
      <c r="A654" s="6"/>
      <c r="B654" s="6"/>
      <c r="D654" s="6"/>
      <c r="F654" s="6"/>
      <c r="G654" s="6"/>
      <c r="H654" s="6"/>
      <c r="I654" s="6"/>
      <c r="J654" s="6"/>
      <c r="K654" s="6"/>
    </row>
    <row r="655" spans="1:11" s="1" customFormat="1" ht="13.2" x14ac:dyDescent="0.25">
      <c r="A655" s="6"/>
      <c r="B655" s="6"/>
      <c r="D655" s="6"/>
      <c r="F655" s="6"/>
      <c r="G655" s="6"/>
      <c r="H655" s="6"/>
      <c r="I655" s="6"/>
      <c r="J655" s="6"/>
      <c r="K655" s="6"/>
    </row>
    <row r="656" spans="1:11" s="1" customFormat="1" ht="13.2" x14ac:dyDescent="0.25">
      <c r="A656" s="6"/>
      <c r="B656" s="6"/>
      <c r="D656" s="6"/>
      <c r="F656" s="6"/>
      <c r="G656" s="6"/>
      <c r="H656" s="6"/>
      <c r="I656" s="6"/>
      <c r="J656" s="6"/>
      <c r="K656" s="6"/>
    </row>
    <row r="657" spans="1:11" s="1" customFormat="1" ht="13.2" x14ac:dyDescent="0.25">
      <c r="A657" s="6"/>
      <c r="B657" s="6"/>
      <c r="D657" s="6"/>
      <c r="F657" s="6"/>
      <c r="G657" s="6"/>
      <c r="H657" s="6"/>
      <c r="I657" s="6"/>
      <c r="J657" s="6"/>
      <c r="K657" s="6"/>
    </row>
    <row r="658" spans="1:11" s="1" customFormat="1" ht="13.2" x14ac:dyDescent="0.25">
      <c r="A658" s="6"/>
      <c r="B658" s="6"/>
      <c r="D658" s="6"/>
      <c r="F658" s="6"/>
      <c r="G658" s="6"/>
      <c r="H658" s="6"/>
      <c r="I658" s="6"/>
      <c r="J658" s="6"/>
      <c r="K658" s="6"/>
    </row>
    <row r="659" spans="1:11" s="1" customFormat="1" ht="13.2" x14ac:dyDescent="0.25">
      <c r="A659" s="6"/>
      <c r="B659" s="6"/>
      <c r="D659" s="6"/>
      <c r="F659" s="6"/>
      <c r="G659" s="6"/>
      <c r="H659" s="6"/>
      <c r="I659" s="6"/>
      <c r="J659" s="6"/>
      <c r="K659" s="6"/>
    </row>
    <row r="660" spans="1:11" s="1" customFormat="1" ht="13.2" x14ac:dyDescent="0.25">
      <c r="A660" s="6"/>
      <c r="B660" s="6"/>
      <c r="D660" s="6"/>
      <c r="F660" s="6"/>
      <c r="G660" s="6"/>
      <c r="H660" s="6"/>
      <c r="I660" s="6"/>
      <c r="J660" s="6"/>
      <c r="K660" s="6"/>
    </row>
    <row r="661" spans="1:11" s="1" customFormat="1" ht="13.2" x14ac:dyDescent="0.25">
      <c r="A661" s="6"/>
      <c r="B661" s="6"/>
      <c r="D661" s="6"/>
      <c r="F661" s="6"/>
      <c r="G661" s="6"/>
      <c r="H661" s="6"/>
      <c r="I661" s="6"/>
      <c r="J661" s="6"/>
      <c r="K661" s="6"/>
    </row>
    <row r="662" spans="1:11" s="1" customFormat="1" ht="13.2" x14ac:dyDescent="0.25">
      <c r="A662" s="6"/>
      <c r="B662" s="6"/>
      <c r="D662" s="6"/>
      <c r="F662" s="6"/>
      <c r="G662" s="6"/>
      <c r="H662" s="6"/>
      <c r="I662" s="6"/>
      <c r="J662" s="6"/>
      <c r="K662" s="6"/>
    </row>
    <row r="663" spans="1:11" s="1" customFormat="1" ht="13.2" x14ac:dyDescent="0.25">
      <c r="A663" s="6"/>
      <c r="B663" s="6"/>
      <c r="D663" s="6"/>
      <c r="F663" s="6"/>
      <c r="G663" s="6"/>
      <c r="H663" s="6"/>
      <c r="I663" s="6"/>
      <c r="J663" s="6"/>
      <c r="K663" s="6"/>
    </row>
    <row r="664" spans="1:11" s="1" customFormat="1" ht="13.2" x14ac:dyDescent="0.25">
      <c r="A664" s="6"/>
      <c r="B664" s="6"/>
      <c r="D664" s="6"/>
      <c r="F664" s="6"/>
      <c r="G664" s="6"/>
      <c r="H664" s="6"/>
      <c r="I664" s="6"/>
      <c r="J664" s="6"/>
      <c r="K664" s="6"/>
    </row>
    <row r="665" spans="1:11" s="1" customFormat="1" ht="13.2" x14ac:dyDescent="0.25">
      <c r="A665" s="6"/>
      <c r="B665" s="6"/>
      <c r="D665" s="6"/>
      <c r="F665" s="6"/>
      <c r="G665" s="6"/>
      <c r="H665" s="6"/>
      <c r="I665" s="6"/>
      <c r="J665" s="6"/>
      <c r="K665" s="6"/>
    </row>
    <row r="666" spans="1:11" s="1" customFormat="1" ht="13.2" x14ac:dyDescent="0.25">
      <c r="A666" s="6"/>
      <c r="B666" s="6"/>
      <c r="D666" s="6"/>
      <c r="F666" s="6"/>
      <c r="G666" s="6"/>
      <c r="H666" s="6"/>
      <c r="I666" s="6"/>
      <c r="J666" s="6"/>
      <c r="K666" s="6"/>
    </row>
    <row r="667" spans="1:11" s="1" customFormat="1" ht="13.2" x14ac:dyDescent="0.25">
      <c r="A667" s="6"/>
      <c r="B667" s="6"/>
      <c r="D667" s="6"/>
      <c r="F667" s="6"/>
      <c r="G667" s="6"/>
      <c r="H667" s="6"/>
      <c r="I667" s="6"/>
      <c r="J667" s="6"/>
      <c r="K667" s="6"/>
    </row>
    <row r="668" spans="1:11" s="1" customFormat="1" ht="13.2" x14ac:dyDescent="0.25">
      <c r="A668" s="6"/>
      <c r="B668" s="6"/>
      <c r="D668" s="6"/>
      <c r="F668" s="6"/>
      <c r="G668" s="6"/>
      <c r="H668" s="6"/>
      <c r="I668" s="6"/>
      <c r="J668" s="6"/>
      <c r="K668" s="6"/>
    </row>
    <row r="669" spans="1:11" s="1" customFormat="1" ht="13.2" x14ac:dyDescent="0.25">
      <c r="A669" s="6"/>
      <c r="B669" s="6"/>
      <c r="D669" s="6"/>
      <c r="F669" s="6"/>
      <c r="G669" s="6"/>
      <c r="H669" s="6"/>
      <c r="I669" s="6"/>
      <c r="J669" s="6"/>
      <c r="K669" s="6"/>
    </row>
    <row r="670" spans="1:11" s="1" customFormat="1" ht="13.2" x14ac:dyDescent="0.25">
      <c r="A670" s="6"/>
      <c r="B670" s="6"/>
      <c r="D670" s="6"/>
      <c r="F670" s="6"/>
      <c r="G670" s="6"/>
      <c r="H670" s="6"/>
      <c r="I670" s="6"/>
      <c r="J670" s="6"/>
      <c r="K670" s="6"/>
    </row>
    <row r="671" spans="1:11" s="1" customFormat="1" ht="13.2" x14ac:dyDescent="0.25">
      <c r="A671" s="6"/>
      <c r="B671" s="6"/>
      <c r="D671" s="6"/>
      <c r="F671" s="6"/>
      <c r="G671" s="6"/>
      <c r="H671" s="6"/>
      <c r="I671" s="6"/>
      <c r="J671" s="6"/>
      <c r="K671" s="6"/>
    </row>
    <row r="672" spans="1:11" s="1" customFormat="1" ht="13.2" x14ac:dyDescent="0.25">
      <c r="A672" s="6"/>
      <c r="B672" s="6"/>
      <c r="D672" s="6"/>
      <c r="F672" s="6"/>
      <c r="G672" s="6"/>
      <c r="H672" s="6"/>
      <c r="I672" s="6"/>
      <c r="J672" s="6"/>
      <c r="K672" s="6"/>
    </row>
    <row r="673" spans="1:11" s="1" customFormat="1" ht="13.2" x14ac:dyDescent="0.25">
      <c r="A673" s="6"/>
      <c r="B673" s="6"/>
      <c r="D673" s="6"/>
      <c r="F673" s="6"/>
      <c r="G673" s="6"/>
      <c r="H673" s="6"/>
      <c r="I673" s="6"/>
      <c r="J673" s="6"/>
      <c r="K673" s="6"/>
    </row>
    <row r="674" spans="1:11" s="1" customFormat="1" ht="13.2" x14ac:dyDescent="0.25">
      <c r="A674" s="6"/>
      <c r="B674" s="6"/>
      <c r="D674" s="6"/>
      <c r="F674" s="6"/>
      <c r="G674" s="6"/>
      <c r="H674" s="6"/>
      <c r="I674" s="6"/>
      <c r="J674" s="6"/>
      <c r="K674" s="6"/>
    </row>
    <row r="675" spans="1:11" s="1" customFormat="1" ht="13.2" x14ac:dyDescent="0.25">
      <c r="A675" s="6"/>
      <c r="B675" s="6"/>
      <c r="D675" s="6"/>
      <c r="F675" s="6"/>
      <c r="G675" s="6"/>
      <c r="H675" s="6"/>
      <c r="I675" s="6"/>
      <c r="J675" s="6"/>
      <c r="K675" s="6"/>
    </row>
    <row r="676" spans="1:11" s="1" customFormat="1" ht="13.2" x14ac:dyDescent="0.25">
      <c r="A676" s="6"/>
      <c r="B676" s="6"/>
      <c r="D676" s="6"/>
      <c r="F676" s="6"/>
      <c r="G676" s="6"/>
      <c r="H676" s="6"/>
      <c r="I676" s="6"/>
      <c r="J676" s="6"/>
      <c r="K676" s="6"/>
    </row>
    <row r="677" spans="1:11" s="1" customFormat="1" ht="13.2" x14ac:dyDescent="0.25">
      <c r="A677" s="6"/>
      <c r="B677" s="6"/>
      <c r="D677" s="6"/>
      <c r="F677" s="6"/>
      <c r="G677" s="6"/>
      <c r="H677" s="6"/>
      <c r="I677" s="6"/>
      <c r="J677" s="6"/>
      <c r="K677" s="6"/>
    </row>
    <row r="678" spans="1:11" s="1" customFormat="1" ht="13.2" x14ac:dyDescent="0.25">
      <c r="A678" s="6"/>
      <c r="B678" s="6"/>
      <c r="D678" s="6"/>
      <c r="F678" s="6"/>
      <c r="G678" s="6"/>
      <c r="H678" s="6"/>
      <c r="I678" s="6"/>
      <c r="J678" s="6"/>
      <c r="K678" s="6"/>
    </row>
    <row r="679" spans="1:11" s="1" customFormat="1" ht="13.2" x14ac:dyDescent="0.25">
      <c r="A679" s="6"/>
      <c r="B679" s="6"/>
      <c r="D679" s="6"/>
      <c r="F679" s="6"/>
      <c r="G679" s="6"/>
      <c r="H679" s="6"/>
      <c r="I679" s="6"/>
      <c r="J679" s="6"/>
      <c r="K679" s="6"/>
    </row>
    <row r="680" spans="1:11" s="1" customFormat="1" ht="13.2" x14ac:dyDescent="0.25">
      <c r="A680" s="6"/>
      <c r="B680" s="6"/>
      <c r="D680" s="6"/>
      <c r="F680" s="6"/>
      <c r="G680" s="6"/>
      <c r="H680" s="6"/>
      <c r="I680" s="6"/>
      <c r="J680" s="6"/>
      <c r="K680" s="6"/>
    </row>
    <row r="681" spans="1:11" s="1" customFormat="1" ht="13.2" x14ac:dyDescent="0.25">
      <c r="A681" s="6"/>
      <c r="B681" s="6"/>
      <c r="D681" s="6"/>
      <c r="F681" s="6"/>
      <c r="G681" s="6"/>
      <c r="H681" s="6"/>
      <c r="I681" s="6"/>
      <c r="J681" s="6"/>
      <c r="K681" s="6"/>
    </row>
    <row r="682" spans="1:11" s="1" customFormat="1" ht="13.2" x14ac:dyDescent="0.25">
      <c r="A682" s="6"/>
      <c r="B682" s="6"/>
      <c r="D682" s="6"/>
      <c r="F682" s="6"/>
      <c r="G682" s="6"/>
      <c r="H682" s="6"/>
      <c r="I682" s="6"/>
      <c r="J682" s="6"/>
      <c r="K682" s="6"/>
    </row>
    <row r="683" spans="1:11" s="1" customFormat="1" ht="13.2" x14ac:dyDescent="0.25">
      <c r="A683" s="6"/>
      <c r="B683" s="6"/>
      <c r="D683" s="6"/>
      <c r="F683" s="6"/>
      <c r="G683" s="6"/>
      <c r="H683" s="6"/>
      <c r="I683" s="6"/>
      <c r="J683" s="6"/>
      <c r="K683" s="6"/>
    </row>
    <row r="684" spans="1:11" s="1" customFormat="1" ht="13.2" x14ac:dyDescent="0.25">
      <c r="A684" s="6"/>
      <c r="B684" s="6"/>
      <c r="D684" s="6"/>
      <c r="F684" s="6"/>
      <c r="G684" s="6"/>
      <c r="H684" s="6"/>
      <c r="I684" s="6"/>
      <c r="J684" s="6"/>
      <c r="K684" s="6"/>
    </row>
    <row r="685" spans="1:11" s="1" customFormat="1" ht="13.2" x14ac:dyDescent="0.25">
      <c r="A685" s="6"/>
      <c r="B685" s="6"/>
      <c r="D685" s="6"/>
      <c r="F685" s="6"/>
      <c r="G685" s="6"/>
      <c r="H685" s="6"/>
      <c r="I685" s="6"/>
      <c r="J685" s="6"/>
      <c r="K685" s="6"/>
    </row>
    <row r="686" spans="1:11" s="1" customFormat="1" ht="13.2" x14ac:dyDescent="0.25">
      <c r="A686" s="6"/>
      <c r="B686" s="6"/>
      <c r="D686" s="6"/>
      <c r="F686" s="6"/>
      <c r="G686" s="6"/>
      <c r="H686" s="6"/>
      <c r="I686" s="6"/>
      <c r="J686" s="6"/>
      <c r="K686" s="6"/>
    </row>
    <row r="687" spans="1:11" s="1" customFormat="1" ht="13.2" x14ac:dyDescent="0.25">
      <c r="A687" s="6"/>
      <c r="B687" s="6"/>
      <c r="D687" s="6"/>
      <c r="F687" s="6"/>
      <c r="G687" s="6"/>
      <c r="H687" s="6"/>
      <c r="I687" s="6"/>
      <c r="J687" s="6"/>
      <c r="K687" s="6"/>
    </row>
    <row r="688" spans="1:11" s="1" customFormat="1" ht="13.2" x14ac:dyDescent="0.25">
      <c r="A688" s="6"/>
      <c r="B688" s="6"/>
      <c r="D688" s="6"/>
      <c r="F688" s="6"/>
      <c r="G688" s="6"/>
      <c r="H688" s="6"/>
      <c r="I688" s="6"/>
      <c r="J688" s="6"/>
      <c r="K688" s="6"/>
    </row>
    <row r="689" spans="1:11" s="1" customFormat="1" ht="13.2" x14ac:dyDescent="0.25">
      <c r="A689" s="6"/>
      <c r="B689" s="6"/>
      <c r="D689" s="6"/>
      <c r="F689" s="6"/>
      <c r="G689" s="6"/>
      <c r="H689" s="6"/>
      <c r="I689" s="6"/>
      <c r="J689" s="6"/>
      <c r="K689" s="6"/>
    </row>
    <row r="690" spans="1:11" s="1" customFormat="1" ht="13.2" x14ac:dyDescent="0.25">
      <c r="A690" s="6"/>
      <c r="B690" s="6"/>
      <c r="D690" s="6"/>
      <c r="F690" s="6"/>
      <c r="G690" s="6"/>
      <c r="H690" s="6"/>
      <c r="I690" s="6"/>
      <c r="J690" s="6"/>
      <c r="K690" s="6"/>
    </row>
    <row r="691" spans="1:11" s="1" customFormat="1" ht="13.2" x14ac:dyDescent="0.25">
      <c r="A691" s="6"/>
      <c r="B691" s="6"/>
      <c r="D691" s="6"/>
      <c r="F691" s="6"/>
      <c r="G691" s="6"/>
      <c r="H691" s="6"/>
      <c r="I691" s="6"/>
      <c r="J691" s="6"/>
      <c r="K691" s="6"/>
    </row>
    <row r="692" spans="1:11" s="1" customFormat="1" ht="13.2" x14ac:dyDescent="0.25">
      <c r="A692" s="6"/>
      <c r="B692" s="6"/>
      <c r="D692" s="6"/>
      <c r="F692" s="6"/>
      <c r="G692" s="6"/>
      <c r="H692" s="6"/>
      <c r="I692" s="6"/>
      <c r="J692" s="6"/>
      <c r="K692" s="6"/>
    </row>
    <row r="693" spans="1:11" s="1" customFormat="1" ht="13.2" x14ac:dyDescent="0.25">
      <c r="A693" s="6"/>
      <c r="B693" s="6"/>
      <c r="D693" s="6"/>
      <c r="F693" s="6"/>
      <c r="G693" s="6"/>
      <c r="H693" s="6"/>
      <c r="I693" s="6"/>
      <c r="J693" s="6"/>
      <c r="K693" s="6"/>
    </row>
    <row r="694" spans="1:11" s="1" customFormat="1" ht="13.2" x14ac:dyDescent="0.25">
      <c r="A694" s="6"/>
      <c r="B694" s="6"/>
      <c r="D694" s="6"/>
      <c r="F694" s="6"/>
      <c r="G694" s="6"/>
      <c r="H694" s="6"/>
      <c r="I694" s="6"/>
      <c r="J694" s="6"/>
      <c r="K694" s="6"/>
    </row>
    <row r="695" spans="1:11" s="1" customFormat="1" ht="13.2" x14ac:dyDescent="0.25">
      <c r="A695" s="6"/>
      <c r="B695" s="6"/>
      <c r="D695" s="6"/>
      <c r="F695" s="6"/>
      <c r="G695" s="6"/>
      <c r="H695" s="6"/>
      <c r="I695" s="6"/>
      <c r="J695" s="6"/>
      <c r="K695" s="6"/>
    </row>
    <row r="696" spans="1:11" s="1" customFormat="1" ht="13.2" x14ac:dyDescent="0.25">
      <c r="A696" s="6"/>
      <c r="B696" s="6"/>
      <c r="D696" s="6"/>
      <c r="F696" s="6"/>
      <c r="G696" s="6"/>
      <c r="H696" s="6"/>
      <c r="I696" s="6"/>
      <c r="J696" s="6"/>
      <c r="K696" s="6"/>
    </row>
    <row r="697" spans="1:11" s="1" customFormat="1" ht="13.2" x14ac:dyDescent="0.25">
      <c r="A697" s="6"/>
      <c r="B697" s="6"/>
      <c r="D697" s="6"/>
      <c r="F697" s="6"/>
      <c r="G697" s="6"/>
      <c r="H697" s="6"/>
      <c r="I697" s="6"/>
      <c r="J697" s="6"/>
      <c r="K697" s="6"/>
    </row>
    <row r="698" spans="1:11" s="1" customFormat="1" ht="13.2" x14ac:dyDescent="0.25">
      <c r="A698" s="6"/>
      <c r="B698" s="6"/>
      <c r="D698" s="6"/>
      <c r="F698" s="6"/>
      <c r="G698" s="6"/>
      <c r="H698" s="6"/>
      <c r="I698" s="6"/>
      <c r="J698" s="6"/>
      <c r="K698" s="6"/>
    </row>
    <row r="699" spans="1:11" s="1" customFormat="1" ht="13.2" x14ac:dyDescent="0.25">
      <c r="A699" s="6"/>
      <c r="B699" s="6"/>
      <c r="D699" s="6"/>
      <c r="F699" s="6"/>
      <c r="G699" s="6"/>
      <c r="H699" s="6"/>
      <c r="I699" s="6"/>
      <c r="J699" s="6"/>
      <c r="K699" s="6"/>
    </row>
    <row r="700" spans="1:11" s="1" customFormat="1" ht="13.2" x14ac:dyDescent="0.25">
      <c r="A700" s="6"/>
      <c r="B700" s="6"/>
      <c r="D700" s="6"/>
      <c r="F700" s="6"/>
      <c r="G700" s="6"/>
      <c r="H700" s="6"/>
      <c r="I700" s="6"/>
      <c r="J700" s="6"/>
      <c r="K700" s="6"/>
    </row>
    <row r="701" spans="1:11" s="1" customFormat="1" ht="13.2" x14ac:dyDescent="0.25">
      <c r="A701" s="6"/>
      <c r="B701" s="6"/>
      <c r="D701" s="6"/>
      <c r="F701" s="6"/>
      <c r="G701" s="6"/>
      <c r="H701" s="6"/>
      <c r="I701" s="6"/>
      <c r="J701" s="6"/>
      <c r="K701" s="6"/>
    </row>
    <row r="702" spans="1:11" s="1" customFormat="1" ht="13.2" x14ac:dyDescent="0.25">
      <c r="A702" s="6"/>
      <c r="B702" s="6"/>
      <c r="D702" s="6"/>
      <c r="F702" s="6"/>
      <c r="G702" s="6"/>
      <c r="H702" s="6"/>
      <c r="I702" s="6"/>
      <c r="J702" s="6"/>
      <c r="K702" s="6"/>
    </row>
    <row r="703" spans="1:11" s="1" customFormat="1" ht="13.2" x14ac:dyDescent="0.25">
      <c r="A703" s="6"/>
      <c r="B703" s="6"/>
      <c r="D703" s="6"/>
      <c r="F703" s="6"/>
      <c r="G703" s="6"/>
      <c r="H703" s="6"/>
      <c r="I703" s="6"/>
      <c r="J703" s="6"/>
      <c r="K703" s="6"/>
    </row>
    <row r="704" spans="1:11" s="1" customFormat="1" ht="13.2" x14ac:dyDescent="0.25">
      <c r="A704" s="6"/>
      <c r="B704" s="6"/>
      <c r="D704" s="6"/>
      <c r="F704" s="6"/>
      <c r="G704" s="6"/>
      <c r="H704" s="6"/>
      <c r="I704" s="6"/>
      <c r="J704" s="6"/>
      <c r="K704" s="6"/>
    </row>
    <row r="705" spans="1:11" s="1" customFormat="1" ht="13.2" x14ac:dyDescent="0.25">
      <c r="A705" s="6"/>
      <c r="B705" s="6"/>
      <c r="D705" s="6"/>
      <c r="F705" s="6"/>
      <c r="G705" s="6"/>
      <c r="H705" s="6"/>
      <c r="I705" s="6"/>
      <c r="J705" s="6"/>
      <c r="K705" s="6"/>
    </row>
    <row r="706" spans="1:11" s="1" customFormat="1" ht="13.2" x14ac:dyDescent="0.25">
      <c r="A706" s="6"/>
      <c r="B706" s="6"/>
      <c r="D706" s="6"/>
      <c r="F706" s="6"/>
      <c r="G706" s="6"/>
      <c r="H706" s="6"/>
      <c r="I706" s="6"/>
      <c r="J706" s="6"/>
      <c r="K706" s="6"/>
    </row>
    <row r="707" spans="1:11" s="1" customFormat="1" ht="13.2" x14ac:dyDescent="0.25">
      <c r="A707" s="6"/>
      <c r="B707" s="6"/>
      <c r="D707" s="6"/>
      <c r="F707" s="6"/>
      <c r="G707" s="6"/>
      <c r="H707" s="6"/>
      <c r="I707" s="6"/>
      <c r="J707" s="6"/>
      <c r="K707" s="6"/>
    </row>
    <row r="708" spans="1:11" s="1" customFormat="1" ht="13.2" x14ac:dyDescent="0.25">
      <c r="A708" s="6"/>
      <c r="B708" s="6"/>
      <c r="D708" s="6"/>
      <c r="F708" s="6"/>
      <c r="G708" s="6"/>
      <c r="H708" s="6"/>
      <c r="I708" s="6"/>
      <c r="J708" s="6"/>
      <c r="K708" s="6"/>
    </row>
    <row r="709" spans="1:11" s="1" customFormat="1" ht="13.2" x14ac:dyDescent="0.25">
      <c r="A709" s="6"/>
      <c r="B709" s="6"/>
      <c r="D709" s="6"/>
      <c r="F709" s="6"/>
      <c r="G709" s="6"/>
      <c r="H709" s="6"/>
      <c r="I709" s="6"/>
      <c r="J709" s="6"/>
      <c r="K709" s="6"/>
    </row>
    <row r="710" spans="1:11" s="1" customFormat="1" ht="13.2" x14ac:dyDescent="0.25">
      <c r="A710" s="6"/>
      <c r="B710" s="6"/>
      <c r="D710" s="6"/>
      <c r="F710" s="6"/>
      <c r="G710" s="6"/>
      <c r="H710" s="6"/>
      <c r="I710" s="6"/>
      <c r="J710" s="6"/>
      <c r="K710" s="6"/>
    </row>
    <row r="711" spans="1:11" s="1" customFormat="1" ht="13.2" x14ac:dyDescent="0.25">
      <c r="A711" s="6"/>
      <c r="B711" s="6"/>
      <c r="D711" s="6"/>
      <c r="F711" s="6"/>
      <c r="G711" s="6"/>
      <c r="H711" s="6"/>
      <c r="I711" s="6"/>
      <c r="J711" s="6"/>
      <c r="K711" s="6"/>
    </row>
    <row r="712" spans="1:11" s="1" customFormat="1" ht="13.2" x14ac:dyDescent="0.25">
      <c r="A712" s="6"/>
      <c r="B712" s="6"/>
      <c r="D712" s="6"/>
      <c r="F712" s="6"/>
      <c r="G712" s="6"/>
      <c r="H712" s="6"/>
      <c r="I712" s="6"/>
      <c r="J712" s="6"/>
      <c r="K712" s="6"/>
    </row>
    <row r="713" spans="1:11" s="1" customFormat="1" ht="13.2" x14ac:dyDescent="0.25">
      <c r="A713" s="6"/>
      <c r="B713" s="6"/>
      <c r="D713" s="6"/>
      <c r="F713" s="6"/>
      <c r="G713" s="6"/>
      <c r="H713" s="6"/>
      <c r="I713" s="6"/>
      <c r="J713" s="6"/>
      <c r="K713" s="6"/>
    </row>
    <row r="714" spans="1:11" s="1" customFormat="1" ht="13.2" x14ac:dyDescent="0.25">
      <c r="A714" s="6"/>
      <c r="B714" s="6"/>
      <c r="D714" s="6"/>
      <c r="F714" s="6"/>
      <c r="G714" s="6"/>
      <c r="H714" s="6"/>
      <c r="I714" s="6"/>
      <c r="J714" s="6"/>
      <c r="K714" s="6"/>
    </row>
    <row r="715" spans="1:11" s="1" customFormat="1" ht="13.2" x14ac:dyDescent="0.25">
      <c r="A715" s="6"/>
      <c r="B715" s="6"/>
      <c r="D715" s="6"/>
      <c r="F715" s="6"/>
      <c r="G715" s="6"/>
      <c r="H715" s="6"/>
      <c r="I715" s="6"/>
      <c r="J715" s="6"/>
      <c r="K715" s="6"/>
    </row>
    <row r="716" spans="1:11" s="1" customFormat="1" ht="13.2" x14ac:dyDescent="0.25">
      <c r="A716" s="6"/>
      <c r="B716" s="6"/>
      <c r="D716" s="6"/>
      <c r="F716" s="6"/>
      <c r="G716" s="6"/>
      <c r="H716" s="6"/>
      <c r="I716" s="6"/>
      <c r="J716" s="6"/>
      <c r="K716" s="6"/>
    </row>
    <row r="717" spans="1:11" s="1" customFormat="1" ht="13.2" x14ac:dyDescent="0.25">
      <c r="A717" s="6"/>
      <c r="B717" s="6"/>
      <c r="D717" s="6"/>
      <c r="F717" s="6"/>
      <c r="G717" s="6"/>
      <c r="H717" s="6"/>
      <c r="I717" s="6"/>
      <c r="J717" s="6"/>
      <c r="K717" s="6"/>
    </row>
    <row r="718" spans="1:11" s="1" customFormat="1" ht="13.2" x14ac:dyDescent="0.25">
      <c r="A718" s="6"/>
      <c r="B718" s="6"/>
      <c r="D718" s="6"/>
      <c r="F718" s="6"/>
      <c r="G718" s="6"/>
      <c r="H718" s="6"/>
      <c r="I718" s="6"/>
      <c r="J718" s="6"/>
      <c r="K718" s="6"/>
    </row>
    <row r="719" spans="1:11" s="1" customFormat="1" ht="13.2" x14ac:dyDescent="0.25">
      <c r="A719" s="6"/>
      <c r="B719" s="6"/>
      <c r="D719" s="6"/>
      <c r="F719" s="6"/>
      <c r="G719" s="6"/>
      <c r="H719" s="6"/>
      <c r="I719" s="6"/>
      <c r="J719" s="6"/>
      <c r="K719" s="6"/>
    </row>
    <row r="720" spans="1:11" s="1" customFormat="1" ht="13.2" x14ac:dyDescent="0.25">
      <c r="A720" s="6"/>
      <c r="B720" s="6"/>
      <c r="D720" s="6"/>
      <c r="F720" s="6"/>
      <c r="G720" s="6"/>
      <c r="H720" s="6"/>
      <c r="I720" s="6"/>
      <c r="J720" s="6"/>
      <c r="K720" s="6"/>
    </row>
    <row r="721" spans="1:11" s="1" customFormat="1" ht="13.2" x14ac:dyDescent="0.25">
      <c r="A721" s="6"/>
      <c r="B721" s="6"/>
      <c r="D721" s="6"/>
      <c r="F721" s="6"/>
      <c r="G721" s="6"/>
      <c r="H721" s="6"/>
      <c r="I721" s="6"/>
      <c r="J721" s="6"/>
      <c r="K721" s="6"/>
    </row>
    <row r="722" spans="1:11" s="1" customFormat="1" ht="13.2" x14ac:dyDescent="0.25">
      <c r="A722" s="6"/>
      <c r="B722" s="6"/>
      <c r="D722" s="6"/>
      <c r="F722" s="6"/>
      <c r="G722" s="6"/>
      <c r="H722" s="6"/>
      <c r="I722" s="6"/>
      <c r="J722" s="6"/>
      <c r="K722" s="6"/>
    </row>
    <row r="723" spans="1:11" s="1" customFormat="1" ht="13.2" x14ac:dyDescent="0.25">
      <c r="A723" s="6"/>
      <c r="B723" s="6"/>
      <c r="D723" s="6"/>
      <c r="F723" s="6"/>
      <c r="G723" s="6"/>
      <c r="H723" s="6"/>
      <c r="I723" s="6"/>
      <c r="J723" s="6"/>
      <c r="K723" s="6"/>
    </row>
    <row r="724" spans="1:11" s="1" customFormat="1" ht="13.2" x14ac:dyDescent="0.25">
      <c r="A724" s="6"/>
      <c r="B724" s="6"/>
      <c r="D724" s="6"/>
      <c r="F724" s="6"/>
      <c r="G724" s="6"/>
      <c r="H724" s="6"/>
      <c r="I724" s="6"/>
      <c r="J724" s="6"/>
      <c r="K724" s="6"/>
    </row>
    <row r="725" spans="1:11" s="1" customFormat="1" ht="13.2" x14ac:dyDescent="0.25">
      <c r="A725" s="6"/>
      <c r="B725" s="6"/>
      <c r="D725" s="6"/>
      <c r="F725" s="6"/>
      <c r="G725" s="6"/>
      <c r="H725" s="6"/>
      <c r="I725" s="6"/>
      <c r="J725" s="6"/>
      <c r="K725" s="6"/>
    </row>
    <row r="726" spans="1:11" s="1" customFormat="1" ht="13.2" x14ac:dyDescent="0.25">
      <c r="A726" s="6"/>
      <c r="B726" s="6"/>
      <c r="D726" s="6"/>
      <c r="F726" s="6"/>
      <c r="G726" s="6"/>
      <c r="H726" s="6"/>
      <c r="I726" s="6"/>
      <c r="J726" s="6"/>
      <c r="K726" s="6"/>
    </row>
    <row r="727" spans="1:11" s="1" customFormat="1" ht="13.2" x14ac:dyDescent="0.25">
      <c r="A727" s="6"/>
      <c r="B727" s="6"/>
      <c r="D727" s="6"/>
      <c r="F727" s="6"/>
      <c r="G727" s="6"/>
      <c r="H727" s="6"/>
      <c r="I727" s="6"/>
      <c r="J727" s="6"/>
      <c r="K727" s="6"/>
    </row>
    <row r="728" spans="1:11" s="1" customFormat="1" ht="13.2" x14ac:dyDescent="0.25">
      <c r="A728" s="6"/>
      <c r="B728" s="6"/>
      <c r="D728" s="6"/>
      <c r="F728" s="6"/>
      <c r="G728" s="6"/>
      <c r="H728" s="6"/>
      <c r="I728" s="6"/>
      <c r="J728" s="6"/>
      <c r="K728" s="6"/>
    </row>
    <row r="729" spans="1:11" s="1" customFormat="1" ht="13.2" x14ac:dyDescent="0.25">
      <c r="A729" s="6"/>
      <c r="B729" s="6"/>
      <c r="D729" s="6"/>
      <c r="F729" s="6"/>
      <c r="G729" s="6"/>
      <c r="H729" s="6"/>
      <c r="I729" s="6"/>
      <c r="J729" s="6"/>
      <c r="K729" s="6"/>
    </row>
    <row r="730" spans="1:11" s="1" customFormat="1" ht="13.2" x14ac:dyDescent="0.25">
      <c r="A730" s="6"/>
      <c r="B730" s="6"/>
      <c r="D730" s="6"/>
      <c r="F730" s="6"/>
      <c r="G730" s="6"/>
      <c r="H730" s="6"/>
      <c r="I730" s="6"/>
      <c r="J730" s="6"/>
      <c r="K730" s="6"/>
    </row>
    <row r="731" spans="1:11" s="1" customFormat="1" ht="13.2" x14ac:dyDescent="0.25">
      <c r="A731" s="6"/>
      <c r="B731" s="6"/>
      <c r="D731" s="6"/>
      <c r="F731" s="6"/>
      <c r="G731" s="6"/>
      <c r="H731" s="6"/>
      <c r="I731" s="6"/>
      <c r="J731" s="6"/>
      <c r="K731" s="6"/>
    </row>
    <row r="732" spans="1:11" s="1" customFormat="1" ht="13.2" x14ac:dyDescent="0.25">
      <c r="A732" s="6"/>
      <c r="B732" s="6"/>
      <c r="D732" s="6"/>
      <c r="F732" s="6"/>
      <c r="G732" s="6"/>
      <c r="H732" s="6"/>
      <c r="I732" s="6"/>
      <c r="J732" s="6"/>
      <c r="K732" s="6"/>
    </row>
    <row r="733" spans="1:11" s="1" customFormat="1" ht="13.2" x14ac:dyDescent="0.25">
      <c r="A733" s="6"/>
      <c r="B733" s="6"/>
      <c r="D733" s="6"/>
      <c r="F733" s="6"/>
      <c r="G733" s="6"/>
      <c r="H733" s="6"/>
      <c r="I733" s="6"/>
      <c r="J733" s="6"/>
      <c r="K733" s="6"/>
    </row>
    <row r="734" spans="1:11" s="1" customFormat="1" ht="13.2" x14ac:dyDescent="0.25">
      <c r="A734" s="6"/>
      <c r="B734" s="6"/>
      <c r="D734" s="6"/>
      <c r="F734" s="6"/>
      <c r="G734" s="6"/>
      <c r="H734" s="6"/>
      <c r="I734" s="6"/>
      <c r="J734" s="6"/>
      <c r="K734" s="6"/>
    </row>
    <row r="735" spans="1:11" s="1" customFormat="1" ht="13.2" x14ac:dyDescent="0.25">
      <c r="A735" s="6"/>
      <c r="B735" s="6"/>
      <c r="D735" s="6"/>
      <c r="F735" s="6"/>
      <c r="G735" s="6"/>
      <c r="H735" s="6"/>
      <c r="I735" s="6"/>
      <c r="J735" s="6"/>
      <c r="K735" s="6"/>
    </row>
    <row r="736" spans="1:11" s="1" customFormat="1" ht="13.2" x14ac:dyDescent="0.25">
      <c r="A736" s="6"/>
      <c r="B736" s="6"/>
      <c r="D736" s="6"/>
      <c r="F736" s="6"/>
      <c r="G736" s="6"/>
      <c r="H736" s="6"/>
      <c r="I736" s="6"/>
      <c r="J736" s="6"/>
      <c r="K736" s="6"/>
    </row>
    <row r="737" spans="1:11" s="1" customFormat="1" ht="13.2" x14ac:dyDescent="0.25">
      <c r="A737" s="6"/>
      <c r="B737" s="6"/>
      <c r="D737" s="6"/>
      <c r="F737" s="6"/>
      <c r="G737" s="6"/>
      <c r="H737" s="6"/>
      <c r="I737" s="6"/>
      <c r="J737" s="6"/>
      <c r="K737" s="6"/>
    </row>
    <row r="738" spans="1:11" s="1" customFormat="1" ht="13.2" x14ac:dyDescent="0.25">
      <c r="A738" s="6"/>
      <c r="B738" s="6"/>
      <c r="D738" s="6"/>
      <c r="F738" s="6"/>
      <c r="G738" s="6"/>
      <c r="H738" s="6"/>
      <c r="I738" s="6"/>
      <c r="J738" s="6"/>
      <c r="K738" s="6"/>
    </row>
    <row r="739" spans="1:11" s="1" customFormat="1" ht="13.2" x14ac:dyDescent="0.25">
      <c r="A739" s="6"/>
      <c r="B739" s="6"/>
      <c r="D739" s="6"/>
      <c r="F739" s="6"/>
      <c r="G739" s="6"/>
      <c r="H739" s="6"/>
      <c r="I739" s="6"/>
      <c r="J739" s="6"/>
      <c r="K739" s="6"/>
    </row>
    <row r="740" spans="1:11" s="1" customFormat="1" ht="13.2" x14ac:dyDescent="0.25">
      <c r="A740" s="6"/>
      <c r="B740" s="6"/>
      <c r="D740" s="6"/>
      <c r="F740" s="6"/>
      <c r="G740" s="6"/>
      <c r="H740" s="6"/>
      <c r="I740" s="6"/>
      <c r="J740" s="6"/>
      <c r="K740" s="6"/>
    </row>
    <row r="741" spans="1:11" s="1" customFormat="1" ht="13.2" x14ac:dyDescent="0.25">
      <c r="A741" s="6"/>
      <c r="B741" s="6"/>
      <c r="D741" s="6"/>
      <c r="F741" s="6"/>
      <c r="G741" s="6"/>
      <c r="H741" s="6"/>
      <c r="I741" s="6"/>
      <c r="J741" s="6"/>
      <c r="K741" s="6"/>
    </row>
    <row r="742" spans="1:11" s="1" customFormat="1" ht="13.2" x14ac:dyDescent="0.25">
      <c r="A742" s="6"/>
      <c r="B742" s="6"/>
      <c r="D742" s="6"/>
      <c r="F742" s="6"/>
      <c r="G742" s="6"/>
      <c r="H742" s="6"/>
      <c r="I742" s="6"/>
      <c r="J742" s="6"/>
      <c r="K742" s="6"/>
    </row>
    <row r="743" spans="1:11" s="1" customFormat="1" ht="13.2" x14ac:dyDescent="0.25">
      <c r="A743" s="6"/>
      <c r="B743" s="6"/>
      <c r="D743" s="6"/>
      <c r="F743" s="6"/>
      <c r="G743" s="6"/>
      <c r="H743" s="6"/>
      <c r="I743" s="6"/>
      <c r="J743" s="6"/>
      <c r="K743" s="6"/>
    </row>
    <row r="744" spans="1:11" s="1" customFormat="1" ht="13.2" x14ac:dyDescent="0.25">
      <c r="A744" s="6"/>
      <c r="B744" s="6"/>
      <c r="D744" s="6"/>
      <c r="F744" s="6"/>
      <c r="G744" s="6"/>
      <c r="H744" s="6"/>
      <c r="I744" s="6"/>
      <c r="J744" s="6"/>
      <c r="K744" s="6"/>
    </row>
    <row r="745" spans="1:11" s="1" customFormat="1" ht="13.2" x14ac:dyDescent="0.25">
      <c r="A745" s="6"/>
      <c r="B745" s="6"/>
      <c r="D745" s="6"/>
      <c r="F745" s="6"/>
      <c r="G745" s="6"/>
      <c r="H745" s="6"/>
      <c r="I745" s="6"/>
      <c r="J745" s="6"/>
      <c r="K745" s="6"/>
    </row>
    <row r="746" spans="1:11" s="1" customFormat="1" ht="13.2" x14ac:dyDescent="0.25">
      <c r="A746" s="6"/>
      <c r="B746" s="6"/>
      <c r="D746" s="6"/>
      <c r="F746" s="6"/>
      <c r="G746" s="6"/>
      <c r="H746" s="6"/>
      <c r="I746" s="6"/>
      <c r="J746" s="6"/>
      <c r="K746" s="6"/>
    </row>
    <row r="747" spans="1:11" s="1" customFormat="1" ht="13.2" x14ac:dyDescent="0.25">
      <c r="A747" s="6"/>
      <c r="B747" s="6"/>
      <c r="D747" s="6"/>
      <c r="F747" s="6"/>
      <c r="G747" s="6"/>
      <c r="H747" s="6"/>
      <c r="I747" s="6"/>
      <c r="J747" s="6"/>
      <c r="K747" s="6"/>
    </row>
    <row r="748" spans="1:11" s="1" customFormat="1" ht="13.2" x14ac:dyDescent="0.25">
      <c r="A748" s="6"/>
      <c r="B748" s="6"/>
      <c r="D748" s="6"/>
      <c r="F748" s="6"/>
      <c r="G748" s="6"/>
      <c r="H748" s="6"/>
      <c r="I748" s="6"/>
      <c r="J748" s="6"/>
      <c r="K748" s="6"/>
    </row>
    <row r="749" spans="1:11" s="1" customFormat="1" ht="13.2" x14ac:dyDescent="0.25">
      <c r="A749" s="6"/>
      <c r="B749" s="6"/>
      <c r="D749" s="6"/>
      <c r="F749" s="6"/>
      <c r="G749" s="6"/>
      <c r="H749" s="6"/>
      <c r="I749" s="6"/>
      <c r="J749" s="6"/>
      <c r="K749" s="6"/>
    </row>
    <row r="750" spans="1:11" s="1" customFormat="1" ht="13.2" x14ac:dyDescent="0.25">
      <c r="A750" s="6"/>
      <c r="B750" s="6"/>
      <c r="D750" s="6"/>
      <c r="F750" s="6"/>
      <c r="G750" s="6"/>
      <c r="H750" s="6"/>
      <c r="I750" s="6"/>
      <c r="J750" s="6"/>
      <c r="K750" s="6"/>
    </row>
    <row r="751" spans="1:11" s="1" customFormat="1" ht="13.2" x14ac:dyDescent="0.25">
      <c r="A751" s="6"/>
      <c r="B751" s="6"/>
      <c r="D751" s="6"/>
      <c r="F751" s="6"/>
      <c r="G751" s="6"/>
      <c r="H751" s="6"/>
      <c r="I751" s="6"/>
      <c r="J751" s="6"/>
      <c r="K751" s="6"/>
    </row>
    <row r="752" spans="1:11" s="1" customFormat="1" ht="13.2" x14ac:dyDescent="0.25">
      <c r="A752" s="6"/>
      <c r="B752" s="6"/>
      <c r="D752" s="6"/>
      <c r="F752" s="6"/>
      <c r="G752" s="6"/>
      <c r="H752" s="6"/>
      <c r="I752" s="6"/>
      <c r="J752" s="6"/>
      <c r="K752" s="6"/>
    </row>
    <row r="753" spans="1:11" s="1" customFormat="1" ht="13.2" x14ac:dyDescent="0.25">
      <c r="A753" s="6"/>
      <c r="B753" s="6"/>
      <c r="D753" s="6"/>
      <c r="F753" s="6"/>
      <c r="G753" s="6"/>
      <c r="H753" s="6"/>
      <c r="I753" s="6"/>
      <c r="J753" s="6"/>
      <c r="K753" s="6"/>
    </row>
    <row r="754" spans="1:11" s="1" customFormat="1" ht="13.2" x14ac:dyDescent="0.25">
      <c r="A754" s="6"/>
      <c r="B754" s="6"/>
      <c r="D754" s="6"/>
      <c r="F754" s="6"/>
      <c r="G754" s="6"/>
      <c r="H754" s="6"/>
      <c r="I754" s="6"/>
      <c r="J754" s="6"/>
      <c r="K754" s="6"/>
    </row>
    <row r="755" spans="1:11" s="1" customFormat="1" ht="13.2" x14ac:dyDescent="0.25">
      <c r="A755" s="6"/>
      <c r="B755" s="6"/>
      <c r="D755" s="6"/>
      <c r="F755" s="6"/>
      <c r="G755" s="6"/>
      <c r="H755" s="6"/>
      <c r="I755" s="6"/>
      <c r="J755" s="6"/>
      <c r="K755" s="6"/>
    </row>
    <row r="756" spans="1:11" s="1" customFormat="1" ht="13.2" x14ac:dyDescent="0.25">
      <c r="A756" s="6"/>
      <c r="B756" s="6"/>
      <c r="D756" s="6"/>
      <c r="F756" s="6"/>
      <c r="G756" s="6"/>
      <c r="H756" s="6"/>
      <c r="I756" s="6"/>
      <c r="J756" s="6"/>
      <c r="K756" s="6"/>
    </row>
    <row r="757" spans="1:11" s="1" customFormat="1" ht="13.2" x14ac:dyDescent="0.25">
      <c r="A757" s="6"/>
      <c r="B757" s="6"/>
      <c r="D757" s="6"/>
      <c r="F757" s="6"/>
      <c r="G757" s="6"/>
      <c r="H757" s="6"/>
      <c r="I757" s="6"/>
      <c r="J757" s="6"/>
      <c r="K757" s="6"/>
    </row>
    <row r="758" spans="1:11" s="1" customFormat="1" ht="13.2" x14ac:dyDescent="0.25">
      <c r="A758" s="6"/>
      <c r="B758" s="6"/>
      <c r="D758" s="6"/>
      <c r="F758" s="6"/>
      <c r="G758" s="6"/>
      <c r="H758" s="6"/>
      <c r="I758" s="6"/>
      <c r="J758" s="6"/>
      <c r="K758" s="6"/>
    </row>
    <row r="759" spans="1:11" s="1" customFormat="1" ht="13.2" x14ac:dyDescent="0.25">
      <c r="A759" s="6"/>
      <c r="B759" s="6"/>
      <c r="D759" s="6"/>
      <c r="F759" s="6"/>
      <c r="G759" s="6"/>
      <c r="H759" s="6"/>
      <c r="I759" s="6"/>
      <c r="J759" s="6"/>
      <c r="K759" s="6"/>
    </row>
    <row r="760" spans="1:11" s="1" customFormat="1" ht="13.2" x14ac:dyDescent="0.25">
      <c r="A760" s="6"/>
      <c r="B760" s="6"/>
      <c r="D760" s="6"/>
      <c r="F760" s="6"/>
      <c r="G760" s="6"/>
      <c r="H760" s="6"/>
      <c r="I760" s="6"/>
      <c r="J760" s="6"/>
      <c r="K760" s="6"/>
    </row>
    <row r="761" spans="1:11" s="1" customFormat="1" ht="13.2" x14ac:dyDescent="0.25">
      <c r="A761" s="6"/>
      <c r="B761" s="6"/>
      <c r="D761" s="6"/>
      <c r="F761" s="6"/>
      <c r="G761" s="6"/>
      <c r="H761" s="6"/>
      <c r="I761" s="6"/>
      <c r="J761" s="6"/>
      <c r="K761" s="6"/>
    </row>
    <row r="762" spans="1:11" s="1" customFormat="1" ht="13.2" x14ac:dyDescent="0.25">
      <c r="A762" s="6"/>
      <c r="B762" s="6"/>
      <c r="D762" s="6"/>
      <c r="F762" s="6"/>
      <c r="G762" s="6"/>
      <c r="H762" s="6"/>
      <c r="I762" s="6"/>
      <c r="J762" s="6"/>
      <c r="K762" s="6"/>
    </row>
    <row r="763" spans="1:11" s="1" customFormat="1" ht="13.2" x14ac:dyDescent="0.25">
      <c r="A763" s="6"/>
      <c r="B763" s="6"/>
      <c r="D763" s="6"/>
      <c r="F763" s="6"/>
      <c r="G763" s="6"/>
      <c r="H763" s="6"/>
      <c r="I763" s="6"/>
      <c r="J763" s="6"/>
      <c r="K763" s="6"/>
    </row>
    <row r="764" spans="1:11" s="1" customFormat="1" ht="13.2" x14ac:dyDescent="0.25">
      <c r="A764" s="6"/>
      <c r="B764" s="6"/>
      <c r="D764" s="6"/>
      <c r="F764" s="6"/>
      <c r="G764" s="6"/>
      <c r="H764" s="6"/>
      <c r="I764" s="6"/>
      <c r="J764" s="6"/>
      <c r="K764" s="6"/>
    </row>
    <row r="765" spans="1:11" s="1" customFormat="1" ht="13.2" x14ac:dyDescent="0.25">
      <c r="A765" s="6"/>
      <c r="B765" s="6"/>
      <c r="D765" s="6"/>
      <c r="F765" s="6"/>
      <c r="G765" s="6"/>
      <c r="H765" s="6"/>
      <c r="I765" s="6"/>
      <c r="J765" s="6"/>
      <c r="K765" s="6"/>
    </row>
    <row r="766" spans="1:11" s="1" customFormat="1" ht="13.2" x14ac:dyDescent="0.25">
      <c r="A766" s="6"/>
      <c r="B766" s="6"/>
      <c r="D766" s="6"/>
      <c r="F766" s="6"/>
      <c r="G766" s="6"/>
      <c r="H766" s="6"/>
      <c r="I766" s="6"/>
      <c r="J766" s="6"/>
      <c r="K766" s="6"/>
    </row>
    <row r="767" spans="1:11" s="1" customFormat="1" ht="13.2" x14ac:dyDescent="0.25">
      <c r="A767" s="6"/>
      <c r="B767" s="6"/>
      <c r="D767" s="6"/>
      <c r="F767" s="6"/>
      <c r="G767" s="6"/>
      <c r="H767" s="6"/>
      <c r="I767" s="6"/>
      <c r="J767" s="6"/>
      <c r="K767" s="6"/>
    </row>
    <row r="768" spans="1:11" s="1" customFormat="1" ht="13.2" x14ac:dyDescent="0.25">
      <c r="A768" s="6"/>
      <c r="B768" s="6"/>
      <c r="D768" s="6"/>
      <c r="F768" s="6"/>
      <c r="G768" s="6"/>
      <c r="H768" s="6"/>
      <c r="I768" s="6"/>
      <c r="J768" s="6"/>
      <c r="K768" s="6"/>
    </row>
    <row r="769" spans="1:11" s="1" customFormat="1" ht="13.2" x14ac:dyDescent="0.25">
      <c r="A769" s="6"/>
      <c r="B769" s="6"/>
      <c r="D769" s="6"/>
      <c r="F769" s="6"/>
      <c r="G769" s="6"/>
      <c r="H769" s="6"/>
      <c r="I769" s="6"/>
      <c r="J769" s="6"/>
      <c r="K769" s="6"/>
    </row>
    <row r="770" spans="1:11" s="1" customFormat="1" ht="13.2" x14ac:dyDescent="0.25">
      <c r="A770" s="6"/>
      <c r="B770" s="6"/>
      <c r="D770" s="6"/>
      <c r="F770" s="6"/>
      <c r="G770" s="6"/>
      <c r="H770" s="6"/>
      <c r="I770" s="6"/>
      <c r="J770" s="6"/>
      <c r="K770" s="6"/>
    </row>
    <row r="771" spans="1:11" s="1" customFormat="1" ht="13.2" x14ac:dyDescent="0.25">
      <c r="A771" s="6"/>
      <c r="B771" s="6"/>
      <c r="D771" s="6"/>
      <c r="F771" s="6"/>
      <c r="G771" s="6"/>
      <c r="H771" s="6"/>
      <c r="I771" s="6"/>
      <c r="J771" s="6"/>
      <c r="K771" s="6"/>
    </row>
    <row r="772" spans="1:11" s="1" customFormat="1" ht="13.2" x14ac:dyDescent="0.25">
      <c r="A772" s="6"/>
      <c r="B772" s="6"/>
      <c r="D772" s="6"/>
      <c r="F772" s="6"/>
      <c r="G772" s="6"/>
      <c r="H772" s="6"/>
      <c r="I772" s="6"/>
      <c r="J772" s="6"/>
      <c r="K772" s="6"/>
    </row>
    <row r="773" spans="1:11" s="1" customFormat="1" ht="13.2" x14ac:dyDescent="0.25">
      <c r="A773" s="6"/>
      <c r="B773" s="6"/>
      <c r="D773" s="6"/>
      <c r="F773" s="6"/>
      <c r="G773" s="6"/>
      <c r="H773" s="6"/>
      <c r="I773" s="6"/>
      <c r="J773" s="6"/>
      <c r="K773" s="6"/>
    </row>
    <row r="774" spans="1:11" s="1" customFormat="1" ht="13.2" x14ac:dyDescent="0.25">
      <c r="A774" s="6"/>
      <c r="B774" s="6"/>
      <c r="D774" s="6"/>
      <c r="F774" s="6"/>
      <c r="G774" s="6"/>
      <c r="H774" s="6"/>
      <c r="I774" s="6"/>
      <c r="J774" s="6"/>
      <c r="K774" s="6"/>
    </row>
    <row r="775" spans="1:11" s="1" customFormat="1" ht="13.2" x14ac:dyDescent="0.25">
      <c r="A775" s="6"/>
      <c r="B775" s="6"/>
      <c r="D775" s="6"/>
      <c r="F775" s="6"/>
      <c r="G775" s="6"/>
      <c r="H775" s="6"/>
      <c r="I775" s="6"/>
      <c r="J775" s="6"/>
      <c r="K775" s="6"/>
    </row>
    <row r="776" spans="1:11" s="1" customFormat="1" ht="13.2" x14ac:dyDescent="0.25">
      <c r="A776" s="6"/>
      <c r="B776" s="6"/>
      <c r="D776" s="6"/>
      <c r="F776" s="6"/>
      <c r="G776" s="6"/>
      <c r="H776" s="6"/>
      <c r="I776" s="6"/>
      <c r="J776" s="6"/>
      <c r="K776" s="6"/>
    </row>
    <row r="777" spans="1:11" s="1" customFormat="1" ht="13.2" x14ac:dyDescent="0.25">
      <c r="A777" s="6"/>
      <c r="B777" s="6"/>
      <c r="D777" s="6"/>
      <c r="F777" s="6"/>
      <c r="G777" s="6"/>
      <c r="H777" s="6"/>
      <c r="I777" s="6"/>
      <c r="J777" s="6"/>
      <c r="K777" s="6"/>
    </row>
    <row r="778" spans="1:11" s="1" customFormat="1" ht="13.2" x14ac:dyDescent="0.25">
      <c r="A778" s="6"/>
      <c r="B778" s="6"/>
      <c r="D778" s="6"/>
      <c r="F778" s="6"/>
      <c r="G778" s="6"/>
      <c r="H778" s="6"/>
      <c r="I778" s="6"/>
      <c r="J778" s="6"/>
      <c r="K778" s="6"/>
    </row>
    <row r="779" spans="1:11" s="1" customFormat="1" ht="13.2" x14ac:dyDescent="0.25">
      <c r="A779" s="6"/>
      <c r="B779" s="6"/>
      <c r="D779" s="6"/>
      <c r="F779" s="6"/>
      <c r="G779" s="6"/>
      <c r="H779" s="6"/>
      <c r="I779" s="6"/>
      <c r="J779" s="6"/>
      <c r="K779" s="6"/>
    </row>
    <row r="780" spans="1:11" s="1" customFormat="1" ht="13.2" x14ac:dyDescent="0.25">
      <c r="A780" s="6"/>
      <c r="B780" s="6"/>
      <c r="D780" s="6"/>
      <c r="F780" s="6"/>
      <c r="G780" s="6"/>
      <c r="H780" s="6"/>
      <c r="I780" s="6"/>
      <c r="J780" s="6"/>
      <c r="K780" s="6"/>
    </row>
    <row r="781" spans="1:11" s="1" customFormat="1" ht="13.2" x14ac:dyDescent="0.25">
      <c r="A781" s="6"/>
      <c r="B781" s="6"/>
      <c r="D781" s="6"/>
      <c r="F781" s="6"/>
      <c r="G781" s="6"/>
      <c r="H781" s="6"/>
      <c r="I781" s="6"/>
      <c r="J781" s="6"/>
      <c r="K781" s="6"/>
    </row>
    <row r="782" spans="1:11" s="1" customFormat="1" ht="13.2" x14ac:dyDescent="0.25">
      <c r="A782" s="6"/>
      <c r="B782" s="6"/>
      <c r="D782" s="6"/>
      <c r="F782" s="6"/>
      <c r="G782" s="6"/>
      <c r="H782" s="6"/>
      <c r="I782" s="6"/>
      <c r="J782" s="6"/>
      <c r="K782" s="6"/>
    </row>
    <row r="783" spans="1:11" s="1" customFormat="1" ht="13.2" x14ac:dyDescent="0.25">
      <c r="A783" s="6"/>
      <c r="B783" s="6"/>
      <c r="D783" s="6"/>
      <c r="F783" s="6"/>
      <c r="G783" s="6"/>
      <c r="H783" s="6"/>
      <c r="I783" s="6"/>
      <c r="J783" s="6"/>
      <c r="K783" s="6"/>
    </row>
    <row r="784" spans="1:11" s="1" customFormat="1" ht="13.2" x14ac:dyDescent="0.25">
      <c r="A784" s="6"/>
      <c r="B784" s="6"/>
      <c r="D784" s="6"/>
      <c r="F784" s="6"/>
      <c r="G784" s="6"/>
      <c r="H784" s="6"/>
      <c r="I784" s="6"/>
      <c r="J784" s="6"/>
      <c r="K784" s="6"/>
    </row>
    <row r="785" spans="1:11" s="1" customFormat="1" ht="13.2" x14ac:dyDescent="0.25">
      <c r="A785" s="6"/>
      <c r="B785" s="6"/>
      <c r="D785" s="6"/>
      <c r="F785" s="6"/>
      <c r="G785" s="6"/>
      <c r="H785" s="6"/>
      <c r="I785" s="6"/>
      <c r="J785" s="6"/>
      <c r="K785" s="6"/>
    </row>
    <row r="786" spans="1:11" s="1" customFormat="1" ht="13.2" x14ac:dyDescent="0.25">
      <c r="A786" s="6"/>
      <c r="B786" s="6"/>
      <c r="D786" s="6"/>
      <c r="F786" s="6"/>
      <c r="G786" s="6"/>
      <c r="H786" s="6"/>
      <c r="I786" s="6"/>
      <c r="J786" s="6"/>
      <c r="K786" s="6"/>
    </row>
    <row r="787" spans="1:11" s="1" customFormat="1" ht="13.2" x14ac:dyDescent="0.25">
      <c r="A787" s="6"/>
      <c r="B787" s="6"/>
      <c r="D787" s="6"/>
      <c r="F787" s="6"/>
      <c r="G787" s="6"/>
      <c r="H787" s="6"/>
      <c r="I787" s="6"/>
      <c r="J787" s="6"/>
      <c r="K787" s="6"/>
    </row>
    <row r="788" spans="1:11" s="1" customFormat="1" ht="13.2" x14ac:dyDescent="0.25">
      <c r="A788" s="6"/>
      <c r="B788" s="6"/>
      <c r="D788" s="6"/>
      <c r="F788" s="6"/>
      <c r="G788" s="6"/>
      <c r="H788" s="6"/>
      <c r="I788" s="6"/>
      <c r="J788" s="6"/>
      <c r="K788" s="6"/>
    </row>
    <row r="789" spans="1:11" s="1" customFormat="1" ht="13.2" x14ac:dyDescent="0.25">
      <c r="A789" s="6"/>
      <c r="B789" s="6"/>
      <c r="D789" s="6"/>
      <c r="F789" s="6"/>
      <c r="G789" s="6"/>
      <c r="H789" s="6"/>
      <c r="I789" s="6"/>
      <c r="J789" s="6"/>
      <c r="K789" s="6"/>
    </row>
    <row r="790" spans="1:11" s="1" customFormat="1" ht="13.2" x14ac:dyDescent="0.25">
      <c r="A790" s="6"/>
      <c r="B790" s="6"/>
      <c r="D790" s="6"/>
      <c r="F790" s="6"/>
      <c r="G790" s="6"/>
      <c r="H790" s="6"/>
      <c r="I790" s="6"/>
      <c r="J790" s="6"/>
      <c r="K790" s="6"/>
    </row>
    <row r="791" spans="1:11" s="1" customFormat="1" ht="13.2" x14ac:dyDescent="0.25">
      <c r="A791" s="6"/>
      <c r="B791" s="6"/>
      <c r="D791" s="6"/>
      <c r="F791" s="6"/>
      <c r="G791" s="6"/>
      <c r="H791" s="6"/>
      <c r="I791" s="6"/>
      <c r="J791" s="6"/>
      <c r="K791" s="6"/>
    </row>
    <row r="792" spans="1:11" s="1" customFormat="1" ht="13.2" x14ac:dyDescent="0.25">
      <c r="A792" s="6"/>
      <c r="B792" s="6"/>
      <c r="D792" s="6"/>
      <c r="F792" s="6"/>
      <c r="G792" s="6"/>
      <c r="H792" s="6"/>
      <c r="I792" s="6"/>
      <c r="J792" s="6"/>
      <c r="K792" s="6"/>
    </row>
    <row r="793" spans="1:11" s="1" customFormat="1" ht="13.2" x14ac:dyDescent="0.25">
      <c r="A793" s="6"/>
      <c r="B793" s="6"/>
      <c r="D793" s="6"/>
      <c r="F793" s="6"/>
      <c r="G793" s="6"/>
      <c r="H793" s="6"/>
      <c r="I793" s="6"/>
      <c r="J793" s="6"/>
      <c r="K793" s="6"/>
    </row>
    <row r="794" spans="1:11" s="1" customFormat="1" ht="13.2" x14ac:dyDescent="0.25">
      <c r="A794" s="6"/>
      <c r="B794" s="6"/>
      <c r="D794" s="6"/>
      <c r="F794" s="6"/>
      <c r="G794" s="6"/>
      <c r="H794" s="6"/>
      <c r="I794" s="6"/>
      <c r="J794" s="6"/>
      <c r="K794" s="6"/>
    </row>
    <row r="795" spans="1:11" s="1" customFormat="1" ht="13.2" x14ac:dyDescent="0.25">
      <c r="A795" s="6"/>
      <c r="B795" s="6"/>
      <c r="D795" s="6"/>
      <c r="F795" s="6"/>
      <c r="G795" s="6"/>
      <c r="H795" s="6"/>
      <c r="I795" s="6"/>
      <c r="J795" s="6"/>
      <c r="K795" s="6"/>
    </row>
    <row r="796" spans="1:11" s="1" customFormat="1" ht="13.2" x14ac:dyDescent="0.25">
      <c r="A796" s="6"/>
      <c r="B796" s="6"/>
      <c r="D796" s="6"/>
      <c r="F796" s="6"/>
      <c r="G796" s="6"/>
      <c r="H796" s="6"/>
      <c r="I796" s="6"/>
      <c r="J796" s="6"/>
      <c r="K796" s="6"/>
    </row>
    <row r="797" spans="1:11" s="1" customFormat="1" ht="13.2" x14ac:dyDescent="0.25">
      <c r="A797" s="6"/>
      <c r="B797" s="6"/>
      <c r="D797" s="6"/>
      <c r="F797" s="6"/>
      <c r="G797" s="6"/>
      <c r="H797" s="6"/>
      <c r="I797" s="6"/>
      <c r="J797" s="6"/>
      <c r="K797" s="6"/>
    </row>
    <row r="798" spans="1:11" s="1" customFormat="1" ht="13.2" x14ac:dyDescent="0.25">
      <c r="A798" s="6"/>
      <c r="B798" s="6"/>
      <c r="D798" s="6"/>
      <c r="F798" s="6"/>
      <c r="G798" s="6"/>
      <c r="H798" s="6"/>
      <c r="I798" s="6"/>
      <c r="J798" s="6"/>
      <c r="K798" s="6"/>
    </row>
    <row r="799" spans="1:11" s="1" customFormat="1" ht="13.2" x14ac:dyDescent="0.25">
      <c r="A799" s="6"/>
      <c r="B799" s="6"/>
      <c r="D799" s="6"/>
      <c r="F799" s="6"/>
      <c r="G799" s="6"/>
      <c r="H799" s="6"/>
      <c r="I799" s="6"/>
      <c r="J799" s="6"/>
      <c r="K799" s="6"/>
    </row>
    <row r="800" spans="1:11" s="1" customFormat="1" ht="13.2" x14ac:dyDescent="0.25">
      <c r="A800" s="6"/>
      <c r="B800" s="6"/>
      <c r="D800" s="6"/>
      <c r="F800" s="6"/>
      <c r="G800" s="6"/>
      <c r="H800" s="6"/>
      <c r="I800" s="6"/>
      <c r="J800" s="6"/>
      <c r="K800" s="6"/>
    </row>
    <row r="801" spans="1:11" s="1" customFormat="1" ht="13.2" x14ac:dyDescent="0.25">
      <c r="A801" s="6"/>
      <c r="B801" s="6"/>
      <c r="D801" s="6"/>
      <c r="F801" s="6"/>
      <c r="G801" s="6"/>
      <c r="H801" s="6"/>
      <c r="I801" s="6"/>
      <c r="J801" s="6"/>
      <c r="K801" s="6"/>
    </row>
    <row r="802" spans="1:11" s="1" customFormat="1" ht="13.2" x14ac:dyDescent="0.25">
      <c r="A802" s="6"/>
      <c r="B802" s="6"/>
      <c r="D802" s="6"/>
      <c r="F802" s="6"/>
      <c r="G802" s="6"/>
      <c r="H802" s="6"/>
      <c r="I802" s="6"/>
      <c r="J802" s="6"/>
      <c r="K802" s="6"/>
    </row>
    <row r="803" spans="1:11" s="1" customFormat="1" ht="13.2" x14ac:dyDescent="0.25">
      <c r="A803" s="6"/>
      <c r="B803" s="6"/>
      <c r="D803" s="6"/>
      <c r="F803" s="6"/>
      <c r="G803" s="6"/>
      <c r="H803" s="6"/>
      <c r="I803" s="6"/>
      <c r="J803" s="6"/>
      <c r="K803" s="6"/>
    </row>
    <row r="804" spans="1:11" s="1" customFormat="1" ht="13.2" x14ac:dyDescent="0.25">
      <c r="A804" s="6"/>
      <c r="B804" s="6"/>
      <c r="D804" s="6"/>
      <c r="F804" s="6"/>
      <c r="G804" s="6"/>
      <c r="H804" s="6"/>
      <c r="I804" s="6"/>
      <c r="J804" s="6"/>
      <c r="K804" s="6"/>
    </row>
    <row r="805" spans="1:11" s="1" customFormat="1" ht="13.2" x14ac:dyDescent="0.25">
      <c r="A805" s="6"/>
      <c r="B805" s="6"/>
      <c r="D805" s="6"/>
      <c r="F805" s="6"/>
      <c r="G805" s="6"/>
      <c r="H805" s="6"/>
      <c r="I805" s="6"/>
      <c r="J805" s="6"/>
      <c r="K805" s="6"/>
    </row>
    <row r="806" spans="1:11" s="1" customFormat="1" ht="13.2" x14ac:dyDescent="0.25">
      <c r="A806" s="6"/>
      <c r="B806" s="6"/>
      <c r="D806" s="6"/>
      <c r="F806" s="6"/>
      <c r="G806" s="6"/>
      <c r="H806" s="6"/>
      <c r="I806" s="6"/>
      <c r="J806" s="6"/>
      <c r="K806" s="6"/>
    </row>
    <row r="807" spans="1:11" s="1" customFormat="1" ht="13.2" x14ac:dyDescent="0.25">
      <c r="A807" s="6"/>
      <c r="B807" s="6"/>
      <c r="D807" s="6"/>
      <c r="F807" s="6"/>
      <c r="G807" s="6"/>
      <c r="H807" s="6"/>
      <c r="I807" s="6"/>
      <c r="J807" s="6"/>
      <c r="K807" s="6"/>
    </row>
    <row r="808" spans="1:11" s="1" customFormat="1" ht="13.2" x14ac:dyDescent="0.25">
      <c r="A808" s="6"/>
      <c r="B808" s="6"/>
      <c r="D808" s="6"/>
      <c r="F808" s="6"/>
      <c r="G808" s="6"/>
      <c r="H808" s="6"/>
      <c r="I808" s="6"/>
      <c r="J808" s="6"/>
      <c r="K808" s="6"/>
    </row>
    <row r="809" spans="1:11" s="1" customFormat="1" ht="13.2" x14ac:dyDescent="0.25">
      <c r="A809" s="6"/>
      <c r="B809" s="6"/>
      <c r="D809" s="6"/>
      <c r="F809" s="6"/>
      <c r="G809" s="6"/>
      <c r="H809" s="6"/>
      <c r="I809" s="6"/>
      <c r="J809" s="6"/>
      <c r="K809" s="6"/>
    </row>
    <row r="810" spans="1:11" s="1" customFormat="1" ht="13.2" x14ac:dyDescent="0.25">
      <c r="A810" s="6"/>
      <c r="B810" s="6"/>
      <c r="D810" s="6"/>
      <c r="F810" s="6"/>
      <c r="G810" s="6"/>
      <c r="H810" s="6"/>
      <c r="I810" s="6"/>
      <c r="J810" s="6"/>
      <c r="K810" s="6"/>
    </row>
    <row r="811" spans="1:11" s="1" customFormat="1" ht="13.2" x14ac:dyDescent="0.25">
      <c r="A811" s="6"/>
      <c r="B811" s="6"/>
      <c r="D811" s="6"/>
      <c r="F811" s="6"/>
      <c r="G811" s="6"/>
      <c r="H811" s="6"/>
      <c r="I811" s="6"/>
      <c r="J811" s="6"/>
      <c r="K811" s="6"/>
    </row>
    <row r="812" spans="1:11" s="1" customFormat="1" ht="13.2" x14ac:dyDescent="0.25">
      <c r="A812" s="6"/>
      <c r="B812" s="6"/>
      <c r="D812" s="6"/>
      <c r="F812" s="6"/>
      <c r="G812" s="6"/>
      <c r="H812" s="6"/>
      <c r="I812" s="6"/>
      <c r="J812" s="6"/>
      <c r="K812" s="6"/>
    </row>
    <row r="813" spans="1:11" s="1" customFormat="1" ht="13.2" x14ac:dyDescent="0.25">
      <c r="A813" s="6"/>
      <c r="B813" s="6"/>
      <c r="D813" s="6"/>
      <c r="F813" s="6"/>
      <c r="G813" s="6"/>
      <c r="H813" s="6"/>
      <c r="I813" s="6"/>
      <c r="J813" s="6"/>
      <c r="K813" s="6"/>
    </row>
    <row r="814" spans="1:11" s="1" customFormat="1" ht="13.2" x14ac:dyDescent="0.25">
      <c r="A814" s="6"/>
      <c r="B814" s="6"/>
      <c r="D814" s="6"/>
      <c r="F814" s="6"/>
      <c r="G814" s="6"/>
      <c r="H814" s="6"/>
      <c r="I814" s="6"/>
      <c r="J814" s="6"/>
      <c r="K814" s="6"/>
    </row>
    <row r="815" spans="1:11" s="1" customFormat="1" ht="13.2" x14ac:dyDescent="0.25">
      <c r="A815" s="6"/>
      <c r="B815" s="6"/>
      <c r="D815" s="6"/>
      <c r="F815" s="6"/>
      <c r="G815" s="6"/>
      <c r="H815" s="6"/>
      <c r="I815" s="6"/>
      <c r="J815" s="6"/>
      <c r="K815" s="6"/>
    </row>
    <row r="816" spans="1:11" s="1" customFormat="1" ht="13.2" x14ac:dyDescent="0.25">
      <c r="A816" s="6"/>
      <c r="B816" s="6"/>
      <c r="D816" s="6"/>
      <c r="F816" s="6"/>
      <c r="G816" s="6"/>
      <c r="H816" s="6"/>
      <c r="I816" s="6"/>
      <c r="J816" s="6"/>
      <c r="K816" s="6"/>
    </row>
    <row r="817" spans="1:11" s="1" customFormat="1" ht="13.2" x14ac:dyDescent="0.25">
      <c r="A817" s="6"/>
      <c r="B817" s="6"/>
      <c r="D817" s="6"/>
      <c r="F817" s="6"/>
      <c r="G817" s="6"/>
      <c r="H817" s="6"/>
      <c r="I817" s="6"/>
      <c r="J817" s="6"/>
      <c r="K817" s="6"/>
    </row>
    <row r="818" spans="1:11" s="1" customFormat="1" ht="13.2" x14ac:dyDescent="0.25">
      <c r="A818" s="6"/>
      <c r="B818" s="6"/>
      <c r="D818" s="6"/>
      <c r="F818" s="6"/>
      <c r="G818" s="6"/>
      <c r="H818" s="6"/>
      <c r="I818" s="6"/>
      <c r="J818" s="6"/>
      <c r="K818" s="6"/>
    </row>
    <row r="819" spans="1:11" s="1" customFormat="1" ht="13.2" x14ac:dyDescent="0.25">
      <c r="A819" s="6"/>
      <c r="B819" s="6"/>
      <c r="D819" s="6"/>
      <c r="F819" s="6"/>
      <c r="G819" s="6"/>
      <c r="H819" s="6"/>
      <c r="I819" s="6"/>
      <c r="J819" s="6"/>
      <c r="K819" s="6"/>
    </row>
    <row r="820" spans="1:11" s="1" customFormat="1" ht="13.2" x14ac:dyDescent="0.25">
      <c r="A820" s="6"/>
      <c r="B820" s="6"/>
      <c r="D820" s="6"/>
      <c r="F820" s="6"/>
      <c r="G820" s="6"/>
      <c r="H820" s="6"/>
      <c r="I820" s="6"/>
      <c r="J820" s="6"/>
      <c r="K820" s="6"/>
    </row>
    <row r="821" spans="1:11" s="1" customFormat="1" ht="13.2" x14ac:dyDescent="0.25">
      <c r="A821" s="6"/>
      <c r="B821" s="6"/>
      <c r="D821" s="6"/>
      <c r="F821" s="6"/>
      <c r="G821" s="6"/>
      <c r="H821" s="6"/>
      <c r="I821" s="6"/>
      <c r="J821" s="6"/>
      <c r="K821" s="6"/>
    </row>
    <row r="822" spans="1:11" s="1" customFormat="1" ht="13.2" x14ac:dyDescent="0.25">
      <c r="A822" s="6"/>
      <c r="B822" s="6"/>
      <c r="D822" s="6"/>
      <c r="F822" s="6"/>
      <c r="G822" s="6"/>
      <c r="H822" s="6"/>
      <c r="I822" s="6"/>
      <c r="J822" s="6"/>
      <c r="K822" s="6"/>
    </row>
    <row r="823" spans="1:11" s="1" customFormat="1" ht="13.2" x14ac:dyDescent="0.25">
      <c r="A823" s="6"/>
      <c r="B823" s="6"/>
      <c r="D823" s="6"/>
      <c r="F823" s="6"/>
      <c r="G823" s="6"/>
      <c r="H823" s="6"/>
      <c r="I823" s="6"/>
      <c r="J823" s="6"/>
      <c r="K823" s="6"/>
    </row>
    <row r="824" spans="1:11" s="1" customFormat="1" ht="13.2" x14ac:dyDescent="0.25">
      <c r="A824" s="6"/>
      <c r="B824" s="6"/>
      <c r="D824" s="6"/>
      <c r="F824" s="6"/>
      <c r="G824" s="6"/>
      <c r="H824" s="6"/>
      <c r="I824" s="6"/>
      <c r="J824" s="6"/>
      <c r="K824" s="6"/>
    </row>
    <row r="825" spans="1:11" s="1" customFormat="1" ht="13.2" x14ac:dyDescent="0.25">
      <c r="A825" s="6"/>
      <c r="B825" s="6"/>
      <c r="D825" s="6"/>
      <c r="F825" s="6"/>
      <c r="G825" s="6"/>
      <c r="H825" s="6"/>
      <c r="I825" s="6"/>
      <c r="J825" s="6"/>
      <c r="K825" s="6"/>
    </row>
    <row r="826" spans="1:11" s="1" customFormat="1" ht="13.2" x14ac:dyDescent="0.25">
      <c r="A826" s="6"/>
      <c r="B826" s="6"/>
      <c r="D826" s="6"/>
      <c r="F826" s="6"/>
      <c r="G826" s="6"/>
      <c r="H826" s="6"/>
      <c r="I826" s="6"/>
      <c r="J826" s="6"/>
      <c r="K826" s="6"/>
    </row>
    <row r="827" spans="1:11" s="1" customFormat="1" ht="13.2" x14ac:dyDescent="0.25">
      <c r="A827" s="6"/>
      <c r="B827" s="6"/>
      <c r="D827" s="6"/>
      <c r="F827" s="6"/>
      <c r="G827" s="6"/>
      <c r="H827" s="6"/>
      <c r="I827" s="6"/>
      <c r="J827" s="6"/>
      <c r="K827" s="6"/>
    </row>
    <row r="828" spans="1:11" s="1" customFormat="1" ht="13.2" x14ac:dyDescent="0.25">
      <c r="A828" s="6"/>
      <c r="B828" s="6"/>
      <c r="D828" s="6"/>
      <c r="F828" s="6"/>
      <c r="G828" s="6"/>
      <c r="H828" s="6"/>
      <c r="I828" s="6"/>
      <c r="J828" s="6"/>
      <c r="K828" s="6"/>
    </row>
    <row r="829" spans="1:11" s="1" customFormat="1" ht="13.2" x14ac:dyDescent="0.25">
      <c r="A829" s="6"/>
      <c r="B829" s="6"/>
      <c r="D829" s="6"/>
      <c r="F829" s="6"/>
      <c r="G829" s="6"/>
      <c r="H829" s="6"/>
      <c r="I829" s="6"/>
      <c r="J829" s="6"/>
      <c r="K829" s="6"/>
    </row>
    <row r="830" spans="1:11" s="1" customFormat="1" ht="13.2" x14ac:dyDescent="0.25">
      <c r="A830" s="6"/>
      <c r="B830" s="6"/>
      <c r="D830" s="6"/>
      <c r="F830" s="6"/>
      <c r="G830" s="6"/>
      <c r="H830" s="6"/>
      <c r="I830" s="6"/>
      <c r="J830" s="6"/>
      <c r="K830" s="6"/>
    </row>
    <row r="831" spans="1:11" s="1" customFormat="1" ht="13.2" x14ac:dyDescent="0.25">
      <c r="A831" s="6"/>
      <c r="B831" s="6"/>
      <c r="D831" s="6"/>
      <c r="F831" s="6"/>
      <c r="G831" s="6"/>
      <c r="H831" s="6"/>
      <c r="I831" s="6"/>
      <c r="J831" s="6"/>
      <c r="K831" s="6"/>
    </row>
    <row r="832" spans="1:11" s="1" customFormat="1" ht="13.2" x14ac:dyDescent="0.25">
      <c r="A832" s="6"/>
      <c r="B832" s="6"/>
      <c r="D832" s="6"/>
      <c r="F832" s="6"/>
      <c r="G832" s="6"/>
      <c r="H832" s="6"/>
      <c r="I832" s="6"/>
      <c r="J832" s="6"/>
      <c r="K832" s="6"/>
    </row>
    <row r="833" spans="1:11" s="1" customFormat="1" ht="13.2" x14ac:dyDescent="0.25">
      <c r="A833" s="6"/>
      <c r="B833" s="6"/>
      <c r="D833" s="6"/>
      <c r="F833" s="6"/>
      <c r="G833" s="6"/>
      <c r="H833" s="6"/>
      <c r="I833" s="6"/>
      <c r="J833" s="6"/>
      <c r="K833" s="6"/>
    </row>
    <row r="834" spans="1:11" s="1" customFormat="1" ht="13.2" x14ac:dyDescent="0.25">
      <c r="A834" s="6"/>
      <c r="B834" s="6"/>
      <c r="D834" s="6"/>
      <c r="F834" s="6"/>
      <c r="G834" s="6"/>
      <c r="H834" s="6"/>
      <c r="I834" s="6"/>
      <c r="J834" s="6"/>
      <c r="K834" s="6"/>
    </row>
    <row r="835" spans="1:11" s="1" customFormat="1" ht="13.2" x14ac:dyDescent="0.25">
      <c r="A835" s="6"/>
      <c r="B835" s="6"/>
      <c r="D835" s="6"/>
      <c r="F835" s="6"/>
      <c r="G835" s="6"/>
      <c r="H835" s="6"/>
      <c r="I835" s="6"/>
      <c r="J835" s="6"/>
      <c r="K835" s="6"/>
    </row>
    <row r="836" spans="1:11" s="1" customFormat="1" ht="13.2" x14ac:dyDescent="0.25">
      <c r="A836" s="6"/>
      <c r="B836" s="6"/>
      <c r="D836" s="6"/>
      <c r="F836" s="6"/>
      <c r="G836" s="6"/>
      <c r="H836" s="6"/>
      <c r="I836" s="6"/>
      <c r="J836" s="6"/>
      <c r="K836" s="6"/>
    </row>
    <row r="837" spans="1:11" s="1" customFormat="1" ht="13.2" x14ac:dyDescent="0.25">
      <c r="A837" s="6"/>
      <c r="B837" s="6"/>
      <c r="D837" s="6"/>
      <c r="F837" s="6"/>
      <c r="G837" s="6"/>
      <c r="H837" s="6"/>
      <c r="I837" s="6"/>
      <c r="J837" s="6"/>
      <c r="K837" s="6"/>
    </row>
    <row r="838" spans="1:11" s="1" customFormat="1" ht="13.2" x14ac:dyDescent="0.25">
      <c r="A838" s="6"/>
      <c r="B838" s="6"/>
      <c r="D838" s="6"/>
      <c r="F838" s="6"/>
      <c r="G838" s="6"/>
      <c r="H838" s="6"/>
      <c r="I838" s="6"/>
      <c r="J838" s="6"/>
      <c r="K838" s="6"/>
    </row>
    <row r="839" spans="1:11" s="1" customFormat="1" ht="13.2" x14ac:dyDescent="0.25">
      <c r="A839" s="6"/>
      <c r="B839" s="6"/>
      <c r="D839" s="6"/>
      <c r="F839" s="6"/>
      <c r="G839" s="6"/>
      <c r="H839" s="6"/>
      <c r="I839" s="6"/>
      <c r="J839" s="6"/>
      <c r="K839" s="6"/>
    </row>
    <row r="840" spans="1:11" s="1" customFormat="1" ht="13.2" x14ac:dyDescent="0.25">
      <c r="A840" s="6"/>
      <c r="B840" s="6"/>
      <c r="D840" s="6"/>
      <c r="F840" s="6"/>
      <c r="G840" s="6"/>
      <c r="H840" s="6"/>
      <c r="I840" s="6"/>
      <c r="J840" s="6"/>
      <c r="K840" s="6"/>
    </row>
    <row r="841" spans="1:11" s="1" customFormat="1" ht="13.2" x14ac:dyDescent="0.25">
      <c r="A841" s="6"/>
      <c r="B841" s="6"/>
      <c r="D841" s="6"/>
      <c r="F841" s="6"/>
      <c r="G841" s="6"/>
      <c r="H841" s="6"/>
      <c r="I841" s="6"/>
      <c r="J841" s="6"/>
      <c r="K841" s="6"/>
    </row>
    <row r="842" spans="1:11" s="1" customFormat="1" ht="13.2" x14ac:dyDescent="0.25">
      <c r="A842" s="6"/>
      <c r="B842" s="6"/>
      <c r="D842" s="6"/>
      <c r="F842" s="6"/>
      <c r="G842" s="6"/>
      <c r="H842" s="6"/>
      <c r="I842" s="6"/>
      <c r="J842" s="6"/>
      <c r="K842" s="6"/>
    </row>
    <row r="843" spans="1:11" s="1" customFormat="1" ht="13.2" x14ac:dyDescent="0.25">
      <c r="A843" s="6"/>
      <c r="B843" s="6"/>
      <c r="D843" s="6"/>
      <c r="F843" s="6"/>
      <c r="G843" s="6"/>
      <c r="H843" s="6"/>
      <c r="I843" s="6"/>
      <c r="J843" s="6"/>
      <c r="K843" s="6"/>
    </row>
    <row r="844" spans="1:11" s="1" customFormat="1" ht="13.2" x14ac:dyDescent="0.25">
      <c r="A844" s="6"/>
      <c r="B844" s="6"/>
      <c r="D844" s="6"/>
      <c r="F844" s="6"/>
      <c r="G844" s="6"/>
      <c r="H844" s="6"/>
      <c r="I844" s="6"/>
      <c r="J844" s="6"/>
      <c r="K844" s="6"/>
    </row>
    <row r="845" spans="1:11" s="1" customFormat="1" ht="13.2" x14ac:dyDescent="0.25">
      <c r="A845" s="6"/>
      <c r="B845" s="6"/>
      <c r="D845" s="6"/>
      <c r="F845" s="6"/>
      <c r="G845" s="6"/>
      <c r="H845" s="6"/>
      <c r="I845" s="6"/>
      <c r="J845" s="6"/>
      <c r="K845" s="6"/>
    </row>
    <row r="846" spans="1:11" s="1" customFormat="1" ht="13.2" x14ac:dyDescent="0.25">
      <c r="A846" s="6"/>
      <c r="B846" s="6"/>
      <c r="D846" s="6"/>
      <c r="F846" s="6"/>
      <c r="G846" s="6"/>
      <c r="H846" s="6"/>
      <c r="I846" s="6"/>
      <c r="J846" s="6"/>
      <c r="K846" s="6"/>
    </row>
    <row r="847" spans="1:11" s="1" customFormat="1" ht="13.2" x14ac:dyDescent="0.25">
      <c r="A847" s="6"/>
      <c r="B847" s="6"/>
      <c r="D847" s="6"/>
      <c r="F847" s="6"/>
      <c r="G847" s="6"/>
      <c r="H847" s="6"/>
      <c r="I847" s="6"/>
      <c r="J847" s="6"/>
      <c r="K847" s="6"/>
    </row>
    <row r="848" spans="1:11" s="1" customFormat="1" ht="13.2" x14ac:dyDescent="0.25">
      <c r="A848" s="6"/>
      <c r="B848" s="6"/>
      <c r="D848" s="6"/>
      <c r="F848" s="6"/>
      <c r="G848" s="6"/>
      <c r="H848" s="6"/>
      <c r="I848" s="6"/>
      <c r="J848" s="6"/>
      <c r="K848" s="6"/>
    </row>
    <row r="849" spans="1:11" s="1" customFormat="1" ht="13.2" x14ac:dyDescent="0.25">
      <c r="A849" s="6"/>
      <c r="B849" s="6"/>
      <c r="D849" s="6"/>
      <c r="F849" s="6"/>
      <c r="G849" s="6"/>
      <c r="H849" s="6"/>
      <c r="I849" s="6"/>
      <c r="J849" s="6"/>
      <c r="K849" s="6"/>
    </row>
    <row r="850" spans="1:11" s="1" customFormat="1" ht="13.2" x14ac:dyDescent="0.25">
      <c r="A850" s="6"/>
      <c r="B850" s="6"/>
      <c r="D850" s="6"/>
      <c r="F850" s="6"/>
      <c r="G850" s="6"/>
      <c r="H850" s="6"/>
      <c r="I850" s="6"/>
      <c r="J850" s="6"/>
      <c r="K850" s="6"/>
    </row>
    <row r="851" spans="1:11" s="1" customFormat="1" ht="13.2" x14ac:dyDescent="0.25">
      <c r="A851" s="6"/>
      <c r="B851" s="6"/>
      <c r="D851" s="6"/>
      <c r="F851" s="6"/>
      <c r="G851" s="6"/>
      <c r="H851" s="6"/>
      <c r="I851" s="6"/>
      <c r="J851" s="6"/>
      <c r="K851" s="6"/>
    </row>
    <row r="852" spans="1:11" s="1" customFormat="1" ht="13.2" x14ac:dyDescent="0.25">
      <c r="A852" s="6"/>
      <c r="B852" s="6"/>
      <c r="D852" s="6"/>
      <c r="F852" s="6"/>
      <c r="G852" s="6"/>
      <c r="H852" s="6"/>
      <c r="I852" s="6"/>
      <c r="J852" s="6"/>
      <c r="K852" s="6"/>
    </row>
    <row r="853" spans="1:11" s="1" customFormat="1" ht="13.2" x14ac:dyDescent="0.25">
      <c r="A853" s="6"/>
      <c r="B853" s="6"/>
      <c r="D853" s="6"/>
      <c r="F853" s="6"/>
      <c r="G853" s="6"/>
      <c r="H853" s="6"/>
      <c r="I853" s="6"/>
      <c r="J853" s="6"/>
      <c r="K853" s="6"/>
    </row>
    <row r="854" spans="1:11" s="1" customFormat="1" ht="13.2" x14ac:dyDescent="0.25">
      <c r="A854" s="6"/>
      <c r="B854" s="6"/>
      <c r="D854" s="6"/>
      <c r="F854" s="6"/>
      <c r="G854" s="6"/>
      <c r="H854" s="6"/>
      <c r="I854" s="6"/>
      <c r="J854" s="6"/>
      <c r="K854" s="6"/>
    </row>
    <row r="855" spans="1:11" s="1" customFormat="1" ht="13.2" x14ac:dyDescent="0.25">
      <c r="A855" s="6"/>
      <c r="B855" s="6"/>
      <c r="D855" s="6"/>
      <c r="F855" s="6"/>
      <c r="G855" s="6"/>
      <c r="H855" s="6"/>
      <c r="I855" s="6"/>
      <c r="J855" s="6"/>
      <c r="K855" s="6"/>
    </row>
    <row r="856" spans="1:11" s="1" customFormat="1" ht="13.2" x14ac:dyDescent="0.25">
      <c r="A856" s="6"/>
      <c r="B856" s="6"/>
      <c r="D856" s="6"/>
      <c r="F856" s="6"/>
      <c r="G856" s="6"/>
      <c r="H856" s="6"/>
      <c r="I856" s="6"/>
      <c r="J856" s="6"/>
      <c r="K856" s="6"/>
    </row>
    <row r="857" spans="1:11" s="1" customFormat="1" ht="13.2" x14ac:dyDescent="0.25">
      <c r="A857" s="6"/>
      <c r="B857" s="6"/>
      <c r="D857" s="6"/>
      <c r="F857" s="6"/>
      <c r="G857" s="6"/>
      <c r="H857" s="6"/>
      <c r="I857" s="6"/>
      <c r="J857" s="6"/>
      <c r="K857" s="6"/>
    </row>
    <row r="858" spans="1:11" s="1" customFormat="1" ht="13.2" x14ac:dyDescent="0.25">
      <c r="A858" s="6"/>
      <c r="B858" s="6"/>
      <c r="D858" s="6"/>
      <c r="F858" s="6"/>
      <c r="G858" s="6"/>
      <c r="H858" s="6"/>
      <c r="I858" s="6"/>
      <c r="J858" s="6"/>
      <c r="K858" s="6"/>
    </row>
    <row r="859" spans="1:11" s="1" customFormat="1" ht="13.2" x14ac:dyDescent="0.25">
      <c r="A859" s="6"/>
      <c r="B859" s="6"/>
      <c r="D859" s="6"/>
      <c r="F859" s="6"/>
      <c r="G859" s="6"/>
      <c r="H859" s="6"/>
      <c r="I859" s="6"/>
      <c r="J859" s="6"/>
      <c r="K859" s="6"/>
    </row>
    <row r="860" spans="1:11" s="1" customFormat="1" ht="13.2" x14ac:dyDescent="0.25">
      <c r="A860" s="6"/>
      <c r="B860" s="6"/>
      <c r="D860" s="6"/>
      <c r="F860" s="6"/>
      <c r="G860" s="6"/>
      <c r="H860" s="6"/>
      <c r="I860" s="6"/>
      <c r="J860" s="6"/>
      <c r="K860" s="6"/>
    </row>
    <row r="861" spans="1:11" s="1" customFormat="1" ht="13.2" x14ac:dyDescent="0.25">
      <c r="A861" s="6"/>
      <c r="B861" s="6"/>
      <c r="D861" s="6"/>
      <c r="F861" s="6"/>
      <c r="G861" s="6"/>
      <c r="H861" s="6"/>
      <c r="I861" s="6"/>
      <c r="J861" s="6"/>
      <c r="K861" s="6"/>
    </row>
    <row r="862" spans="1:11" s="1" customFormat="1" ht="13.2" x14ac:dyDescent="0.25">
      <c r="A862" s="6"/>
      <c r="B862" s="6"/>
      <c r="D862" s="6"/>
      <c r="F862" s="6"/>
      <c r="G862" s="6"/>
      <c r="H862" s="6"/>
      <c r="I862" s="6"/>
      <c r="J862" s="6"/>
      <c r="K862" s="6"/>
    </row>
    <row r="863" spans="1:11" s="1" customFormat="1" ht="13.2" x14ac:dyDescent="0.25">
      <c r="A863" s="6"/>
      <c r="B863" s="6"/>
      <c r="D863" s="6"/>
      <c r="F863" s="6"/>
      <c r="G863" s="6"/>
      <c r="H863" s="6"/>
      <c r="I863" s="6"/>
      <c r="J863" s="6"/>
      <c r="K863" s="6"/>
    </row>
    <row r="864" spans="1:11" s="1" customFormat="1" ht="13.2" x14ac:dyDescent="0.25">
      <c r="A864" s="6"/>
      <c r="B864" s="6"/>
      <c r="D864" s="6"/>
      <c r="F864" s="6"/>
      <c r="G864" s="6"/>
      <c r="H864" s="6"/>
      <c r="I864" s="6"/>
      <c r="J864" s="6"/>
      <c r="K864" s="6"/>
    </row>
    <row r="865" spans="1:11" s="1" customFormat="1" ht="13.2" x14ac:dyDescent="0.25">
      <c r="A865" s="6"/>
      <c r="B865" s="6"/>
      <c r="D865" s="6"/>
      <c r="F865" s="6"/>
      <c r="G865" s="6"/>
      <c r="H865" s="6"/>
      <c r="I865" s="6"/>
      <c r="J865" s="6"/>
      <c r="K865" s="6"/>
    </row>
    <row r="866" spans="1:11" s="1" customFormat="1" ht="13.2" x14ac:dyDescent="0.25">
      <c r="A866" s="6"/>
      <c r="B866" s="6"/>
      <c r="D866" s="6"/>
      <c r="F866" s="6"/>
      <c r="G866" s="6"/>
      <c r="H866" s="6"/>
      <c r="I866" s="6"/>
      <c r="J866" s="6"/>
      <c r="K866" s="6"/>
    </row>
    <row r="867" spans="1:11" s="1" customFormat="1" ht="13.2" x14ac:dyDescent="0.25">
      <c r="A867" s="6"/>
      <c r="B867" s="6"/>
      <c r="D867" s="6"/>
      <c r="F867" s="6"/>
      <c r="G867" s="6"/>
      <c r="H867" s="6"/>
      <c r="I867" s="6"/>
      <c r="J867" s="6"/>
      <c r="K867" s="6"/>
    </row>
    <row r="868" spans="1:11" s="1" customFormat="1" ht="13.2" x14ac:dyDescent="0.25">
      <c r="A868" s="6"/>
      <c r="B868" s="6"/>
      <c r="D868" s="6"/>
      <c r="F868" s="6"/>
      <c r="G868" s="6"/>
      <c r="H868" s="6"/>
      <c r="I868" s="6"/>
      <c r="J868" s="6"/>
      <c r="K868" s="6"/>
    </row>
    <row r="869" spans="1:11" s="1" customFormat="1" ht="13.2" x14ac:dyDescent="0.25">
      <c r="A869" s="6"/>
      <c r="B869" s="6"/>
      <c r="D869" s="6"/>
      <c r="F869" s="6"/>
      <c r="G869" s="6"/>
      <c r="H869" s="6"/>
      <c r="I869" s="6"/>
      <c r="J869" s="6"/>
      <c r="K869" s="6"/>
    </row>
    <row r="870" spans="1:11" s="1" customFormat="1" ht="13.2" x14ac:dyDescent="0.25">
      <c r="A870" s="6"/>
      <c r="B870" s="6"/>
      <c r="D870" s="6"/>
      <c r="F870" s="6"/>
      <c r="G870" s="6"/>
      <c r="H870" s="6"/>
      <c r="I870" s="6"/>
      <c r="J870" s="6"/>
      <c r="K870" s="6"/>
    </row>
    <row r="871" spans="1:11" s="1" customFormat="1" ht="13.2" x14ac:dyDescent="0.25">
      <c r="A871" s="6"/>
      <c r="B871" s="6"/>
      <c r="D871" s="6"/>
      <c r="F871" s="6"/>
      <c r="G871" s="6"/>
      <c r="H871" s="6"/>
      <c r="I871" s="6"/>
      <c r="J871" s="6"/>
      <c r="K871" s="6"/>
    </row>
    <row r="872" spans="1:11" s="1" customFormat="1" ht="13.2" x14ac:dyDescent="0.25">
      <c r="A872" s="6"/>
      <c r="B872" s="6"/>
      <c r="D872" s="6"/>
      <c r="F872" s="6"/>
      <c r="G872" s="6"/>
      <c r="H872" s="6"/>
      <c r="I872" s="6"/>
      <c r="J872" s="6"/>
      <c r="K872" s="6"/>
    </row>
    <row r="873" spans="1:11" s="1" customFormat="1" ht="13.2" x14ac:dyDescent="0.25">
      <c r="A873" s="6"/>
      <c r="B873" s="6"/>
      <c r="D873" s="6"/>
      <c r="F873" s="6"/>
      <c r="G873" s="6"/>
      <c r="H873" s="6"/>
      <c r="I873" s="6"/>
      <c r="J873" s="6"/>
      <c r="K873" s="6"/>
    </row>
    <row r="874" spans="1:11" s="1" customFormat="1" ht="13.2" x14ac:dyDescent="0.25">
      <c r="A874" s="6"/>
      <c r="B874" s="6"/>
      <c r="D874" s="6"/>
      <c r="F874" s="6"/>
      <c r="G874" s="6"/>
      <c r="H874" s="6"/>
      <c r="I874" s="6"/>
      <c r="J874" s="6"/>
      <c r="K874" s="6"/>
    </row>
    <row r="875" spans="1:11" s="1" customFormat="1" ht="13.2" x14ac:dyDescent="0.25">
      <c r="A875" s="6"/>
      <c r="B875" s="6"/>
      <c r="D875" s="6"/>
      <c r="F875" s="6"/>
      <c r="G875" s="6"/>
      <c r="H875" s="6"/>
      <c r="I875" s="6"/>
      <c r="J875" s="6"/>
      <c r="K875" s="6"/>
    </row>
    <row r="876" spans="1:11" s="1" customFormat="1" ht="13.2" x14ac:dyDescent="0.25">
      <c r="A876" s="6"/>
      <c r="B876" s="6"/>
      <c r="D876" s="6"/>
      <c r="F876" s="6"/>
      <c r="G876" s="6"/>
      <c r="H876" s="6"/>
      <c r="I876" s="6"/>
      <c r="J876" s="6"/>
      <c r="K876" s="6"/>
    </row>
    <row r="877" spans="1:11" s="1" customFormat="1" ht="13.2" x14ac:dyDescent="0.25">
      <c r="A877" s="6"/>
      <c r="B877" s="6"/>
      <c r="D877" s="6"/>
      <c r="F877" s="6"/>
      <c r="G877" s="6"/>
      <c r="H877" s="6"/>
      <c r="I877" s="6"/>
      <c r="J877" s="6"/>
      <c r="K877" s="6"/>
    </row>
    <row r="878" spans="1:11" s="1" customFormat="1" ht="13.2" x14ac:dyDescent="0.25">
      <c r="A878" s="6"/>
      <c r="B878" s="6"/>
      <c r="D878" s="6"/>
      <c r="F878" s="6"/>
      <c r="G878" s="6"/>
      <c r="H878" s="6"/>
      <c r="I878" s="6"/>
      <c r="J878" s="6"/>
      <c r="K878" s="6"/>
    </row>
    <row r="879" spans="1:11" s="1" customFormat="1" ht="13.2" x14ac:dyDescent="0.25">
      <c r="A879" s="6"/>
      <c r="B879" s="6"/>
      <c r="D879" s="6"/>
      <c r="F879" s="6"/>
      <c r="G879" s="6"/>
      <c r="H879" s="6"/>
      <c r="I879" s="6"/>
      <c r="J879" s="6"/>
      <c r="K879" s="6"/>
    </row>
    <row r="880" spans="1:11" s="1" customFormat="1" ht="13.2" x14ac:dyDescent="0.25">
      <c r="A880" s="6"/>
      <c r="B880" s="6"/>
      <c r="D880" s="6"/>
      <c r="F880" s="6"/>
      <c r="G880" s="6"/>
      <c r="H880" s="6"/>
      <c r="I880" s="6"/>
      <c r="J880" s="6"/>
      <c r="K880" s="6"/>
    </row>
    <row r="881" spans="1:11" s="1" customFormat="1" ht="13.2" x14ac:dyDescent="0.25">
      <c r="A881" s="6"/>
      <c r="B881" s="6"/>
      <c r="D881" s="6"/>
      <c r="F881" s="6"/>
      <c r="G881" s="6"/>
      <c r="H881" s="6"/>
      <c r="I881" s="6"/>
      <c r="J881" s="6"/>
      <c r="K881" s="6"/>
    </row>
    <row r="882" spans="1:11" s="1" customFormat="1" ht="13.2" x14ac:dyDescent="0.25">
      <c r="A882" s="6"/>
      <c r="B882" s="6"/>
      <c r="D882" s="6"/>
      <c r="F882" s="6"/>
      <c r="G882" s="6"/>
      <c r="H882" s="6"/>
      <c r="I882" s="6"/>
      <c r="J882" s="6"/>
      <c r="K882" s="6"/>
    </row>
    <row r="883" spans="1:11" s="1" customFormat="1" ht="13.2" x14ac:dyDescent="0.25">
      <c r="A883" s="6"/>
      <c r="B883" s="6"/>
      <c r="D883" s="6"/>
      <c r="F883" s="6"/>
      <c r="G883" s="6"/>
      <c r="H883" s="6"/>
      <c r="I883" s="6"/>
      <c r="J883" s="6"/>
      <c r="K883" s="6"/>
    </row>
    <row r="884" spans="1:11" s="1" customFormat="1" ht="13.2" x14ac:dyDescent="0.25">
      <c r="A884" s="6"/>
      <c r="B884" s="6"/>
      <c r="D884" s="6"/>
      <c r="F884" s="6"/>
      <c r="G884" s="6"/>
      <c r="H884" s="6"/>
      <c r="I884" s="6"/>
      <c r="J884" s="6"/>
      <c r="K884" s="6"/>
    </row>
    <row r="885" spans="1:11" s="1" customFormat="1" ht="13.2" x14ac:dyDescent="0.25">
      <c r="A885" s="6"/>
      <c r="B885" s="6"/>
      <c r="D885" s="6"/>
      <c r="F885" s="6"/>
      <c r="G885" s="6"/>
      <c r="H885" s="6"/>
      <c r="I885" s="6"/>
      <c r="J885" s="6"/>
      <c r="K885" s="6"/>
    </row>
    <row r="886" spans="1:11" s="1" customFormat="1" ht="13.2" x14ac:dyDescent="0.25">
      <c r="A886" s="6"/>
      <c r="B886" s="6"/>
      <c r="D886" s="6"/>
      <c r="F886" s="6"/>
      <c r="G886" s="6"/>
      <c r="H886" s="6"/>
      <c r="I886" s="6"/>
      <c r="J886" s="6"/>
      <c r="K886" s="6"/>
    </row>
    <row r="887" spans="1:11" s="1" customFormat="1" ht="13.2" x14ac:dyDescent="0.25">
      <c r="A887" s="6"/>
      <c r="B887" s="6"/>
      <c r="D887" s="6"/>
      <c r="F887" s="6"/>
      <c r="G887" s="6"/>
      <c r="H887" s="6"/>
      <c r="I887" s="6"/>
      <c r="J887" s="6"/>
      <c r="K887" s="6"/>
    </row>
    <row r="888" spans="1:11" s="1" customFormat="1" ht="13.2" x14ac:dyDescent="0.25">
      <c r="A888" s="6"/>
      <c r="B888" s="6"/>
      <c r="D888" s="6"/>
      <c r="F888" s="6"/>
      <c r="G888" s="6"/>
      <c r="H888" s="6"/>
      <c r="I888" s="6"/>
      <c r="J888" s="6"/>
      <c r="K888" s="6"/>
    </row>
    <row r="889" spans="1:11" s="1" customFormat="1" ht="13.2" x14ac:dyDescent="0.25">
      <c r="A889" s="6"/>
      <c r="B889" s="6"/>
      <c r="D889" s="6"/>
      <c r="F889" s="6"/>
      <c r="G889" s="6"/>
      <c r="H889" s="6"/>
      <c r="I889" s="6"/>
      <c r="J889" s="6"/>
      <c r="K889" s="6"/>
    </row>
    <row r="890" spans="1:11" s="1" customFormat="1" ht="13.2" x14ac:dyDescent="0.25">
      <c r="A890" s="6"/>
      <c r="B890" s="6"/>
      <c r="D890" s="6"/>
      <c r="F890" s="6"/>
      <c r="G890" s="6"/>
      <c r="H890" s="6"/>
      <c r="I890" s="6"/>
      <c r="J890" s="6"/>
      <c r="K890" s="6"/>
    </row>
    <row r="891" spans="1:11" s="1" customFormat="1" ht="13.2" x14ac:dyDescent="0.25">
      <c r="A891" s="6"/>
      <c r="B891" s="6"/>
      <c r="D891" s="6"/>
      <c r="F891" s="6"/>
      <c r="G891" s="6"/>
      <c r="H891" s="6"/>
      <c r="I891" s="6"/>
      <c r="J891" s="6"/>
      <c r="K891" s="6"/>
    </row>
    <row r="892" spans="1:11" s="1" customFormat="1" ht="13.2" x14ac:dyDescent="0.25">
      <c r="A892" s="6"/>
      <c r="B892" s="6"/>
      <c r="D892" s="6"/>
      <c r="F892" s="6"/>
      <c r="G892" s="6"/>
      <c r="H892" s="6"/>
      <c r="I892" s="6"/>
      <c r="J892" s="6"/>
      <c r="K892" s="6"/>
    </row>
    <row r="893" spans="1:11" s="1" customFormat="1" ht="13.2" x14ac:dyDescent="0.25">
      <c r="A893" s="6"/>
      <c r="B893" s="6"/>
      <c r="D893" s="6"/>
      <c r="F893" s="6"/>
      <c r="G893" s="6"/>
      <c r="H893" s="6"/>
      <c r="I893" s="6"/>
      <c r="J893" s="6"/>
      <c r="K893" s="6"/>
    </row>
    <row r="894" spans="1:11" s="1" customFormat="1" ht="13.2" x14ac:dyDescent="0.25">
      <c r="A894" s="6"/>
      <c r="B894" s="6"/>
      <c r="D894" s="6"/>
      <c r="F894" s="6"/>
      <c r="G894" s="6"/>
      <c r="H894" s="6"/>
      <c r="I894" s="6"/>
      <c r="J894" s="6"/>
      <c r="K894" s="6"/>
    </row>
    <row r="895" spans="1:11" s="1" customFormat="1" ht="13.2" x14ac:dyDescent="0.25">
      <c r="A895" s="6"/>
      <c r="B895" s="6"/>
      <c r="D895" s="6"/>
      <c r="F895" s="6"/>
      <c r="G895" s="6"/>
      <c r="H895" s="6"/>
      <c r="I895" s="6"/>
      <c r="J895" s="6"/>
      <c r="K895" s="6"/>
    </row>
    <row r="896" spans="1:11" s="1" customFormat="1" ht="13.2" x14ac:dyDescent="0.25">
      <c r="A896" s="6"/>
      <c r="B896" s="6"/>
      <c r="D896" s="6"/>
      <c r="F896" s="6"/>
      <c r="G896" s="6"/>
      <c r="H896" s="6"/>
      <c r="I896" s="6"/>
      <c r="J896" s="6"/>
      <c r="K896" s="6"/>
    </row>
    <row r="897" spans="1:11" s="1" customFormat="1" ht="13.2" x14ac:dyDescent="0.25">
      <c r="A897" s="6"/>
      <c r="B897" s="6"/>
      <c r="D897" s="6"/>
      <c r="F897" s="6"/>
      <c r="G897" s="6"/>
      <c r="H897" s="6"/>
      <c r="I897" s="6"/>
      <c r="J897" s="6"/>
      <c r="K897" s="6"/>
    </row>
    <row r="898" spans="1:11" s="1" customFormat="1" ht="13.2" x14ac:dyDescent="0.25">
      <c r="A898" s="6"/>
      <c r="B898" s="6"/>
      <c r="D898" s="6"/>
      <c r="F898" s="6"/>
      <c r="G898" s="6"/>
      <c r="H898" s="6"/>
      <c r="I898" s="6"/>
      <c r="J898" s="6"/>
      <c r="K898" s="6"/>
    </row>
    <row r="899" spans="1:11" s="1" customFormat="1" ht="13.2" x14ac:dyDescent="0.25">
      <c r="A899" s="6"/>
      <c r="B899" s="6"/>
      <c r="D899" s="6"/>
      <c r="F899" s="6"/>
      <c r="G899" s="6"/>
      <c r="H899" s="6"/>
      <c r="I899" s="6"/>
      <c r="J899" s="6"/>
      <c r="K899" s="6"/>
    </row>
    <row r="900" spans="1:11" s="1" customFormat="1" ht="13.2" x14ac:dyDescent="0.25">
      <c r="A900" s="6"/>
      <c r="B900" s="6"/>
      <c r="D900" s="6"/>
      <c r="F900" s="6"/>
      <c r="G900" s="6"/>
      <c r="H900" s="6"/>
      <c r="I900" s="6"/>
      <c r="J900" s="6"/>
      <c r="K900" s="6"/>
    </row>
    <row r="901" spans="1:11" s="1" customFormat="1" ht="13.2" x14ac:dyDescent="0.25">
      <c r="A901" s="6"/>
      <c r="B901" s="6"/>
      <c r="D901" s="6"/>
      <c r="F901" s="6"/>
      <c r="G901" s="6"/>
      <c r="H901" s="6"/>
      <c r="I901" s="6"/>
      <c r="J901" s="6"/>
      <c r="K901" s="6"/>
    </row>
    <row r="902" spans="1:11" s="1" customFormat="1" ht="13.2" x14ac:dyDescent="0.25">
      <c r="A902" s="6"/>
      <c r="B902" s="6"/>
      <c r="D902" s="6"/>
      <c r="F902" s="6"/>
      <c r="G902" s="6"/>
      <c r="H902" s="6"/>
      <c r="I902" s="6"/>
      <c r="J902" s="6"/>
      <c r="K902" s="6"/>
    </row>
    <row r="903" spans="1:11" s="1" customFormat="1" ht="13.2" x14ac:dyDescent="0.25">
      <c r="A903" s="6"/>
      <c r="B903" s="6"/>
      <c r="D903" s="6"/>
      <c r="F903" s="6"/>
      <c r="G903" s="6"/>
      <c r="H903" s="6"/>
      <c r="I903" s="6"/>
      <c r="J903" s="6"/>
      <c r="K903" s="6"/>
    </row>
    <row r="904" spans="1:11" s="1" customFormat="1" ht="13.2" x14ac:dyDescent="0.25">
      <c r="A904" s="6"/>
      <c r="B904" s="6"/>
      <c r="D904" s="6"/>
      <c r="F904" s="6"/>
      <c r="G904" s="6"/>
      <c r="H904" s="6"/>
      <c r="I904" s="6"/>
      <c r="J904" s="6"/>
      <c r="K904" s="6"/>
    </row>
    <row r="905" spans="1:11" s="1" customFormat="1" ht="13.2" x14ac:dyDescent="0.25">
      <c r="A905" s="6"/>
      <c r="B905" s="6"/>
      <c r="D905" s="6"/>
      <c r="F905" s="6"/>
      <c r="G905" s="6"/>
      <c r="H905" s="6"/>
      <c r="I905" s="6"/>
      <c r="J905" s="6"/>
      <c r="K905" s="6"/>
    </row>
    <row r="906" spans="1:11" s="1" customFormat="1" ht="13.2" x14ac:dyDescent="0.25">
      <c r="A906" s="6"/>
      <c r="B906" s="6"/>
      <c r="D906" s="6"/>
      <c r="F906" s="6"/>
      <c r="G906" s="6"/>
      <c r="H906" s="6"/>
      <c r="I906" s="6"/>
      <c r="J906" s="6"/>
      <c r="K906" s="6"/>
    </row>
    <row r="907" spans="1:11" s="1" customFormat="1" ht="13.2" x14ac:dyDescent="0.25">
      <c r="A907" s="6"/>
      <c r="B907" s="6"/>
      <c r="D907" s="6"/>
      <c r="F907" s="6"/>
      <c r="G907" s="6"/>
      <c r="H907" s="6"/>
      <c r="I907" s="6"/>
      <c r="J907" s="6"/>
      <c r="K907" s="6"/>
    </row>
    <row r="908" spans="1:11" s="1" customFormat="1" ht="13.2" x14ac:dyDescent="0.25">
      <c r="A908" s="6"/>
      <c r="B908" s="6"/>
      <c r="D908" s="6"/>
      <c r="F908" s="6"/>
      <c r="G908" s="6"/>
      <c r="H908" s="6"/>
      <c r="I908" s="6"/>
      <c r="J908" s="6"/>
      <c r="K908" s="6"/>
    </row>
    <row r="909" spans="1:11" s="1" customFormat="1" ht="13.2" x14ac:dyDescent="0.25">
      <c r="A909" s="6"/>
      <c r="B909" s="6"/>
      <c r="D909" s="6"/>
      <c r="F909" s="6"/>
      <c r="G909" s="6"/>
      <c r="H909" s="6"/>
      <c r="I909" s="6"/>
      <c r="J909" s="6"/>
      <c r="K909" s="6"/>
    </row>
    <row r="910" spans="1:11" s="1" customFormat="1" ht="13.2" x14ac:dyDescent="0.25">
      <c r="A910" s="6"/>
      <c r="B910" s="6"/>
      <c r="D910" s="6"/>
      <c r="F910" s="6"/>
      <c r="G910" s="6"/>
      <c r="H910" s="6"/>
      <c r="I910" s="6"/>
      <c r="J910" s="6"/>
      <c r="K910" s="6"/>
    </row>
    <row r="911" spans="1:11" s="1" customFormat="1" ht="13.2" x14ac:dyDescent="0.25">
      <c r="A911" s="6"/>
      <c r="B911" s="6"/>
      <c r="D911" s="6"/>
      <c r="F911" s="6"/>
      <c r="G911" s="6"/>
      <c r="H911" s="6"/>
      <c r="I911" s="6"/>
      <c r="J911" s="6"/>
      <c r="K911" s="6"/>
    </row>
    <row r="912" spans="1:11" s="1" customFormat="1" ht="13.2" x14ac:dyDescent="0.25">
      <c r="A912" s="6"/>
      <c r="B912" s="6"/>
      <c r="D912" s="6"/>
      <c r="F912" s="6"/>
      <c r="G912" s="6"/>
      <c r="H912" s="6"/>
      <c r="I912" s="6"/>
      <c r="J912" s="6"/>
      <c r="K912" s="6"/>
    </row>
    <row r="913" spans="1:11" s="1" customFormat="1" ht="13.2" x14ac:dyDescent="0.25">
      <c r="A913" s="6"/>
      <c r="B913" s="6"/>
      <c r="D913" s="6"/>
      <c r="F913" s="6"/>
      <c r="G913" s="6"/>
      <c r="H913" s="6"/>
      <c r="I913" s="6"/>
      <c r="J913" s="6"/>
      <c r="K913" s="6"/>
    </row>
    <row r="914" spans="1:11" s="1" customFormat="1" ht="13.2" x14ac:dyDescent="0.25">
      <c r="A914" s="6"/>
      <c r="B914" s="6"/>
      <c r="D914" s="6"/>
      <c r="F914" s="6"/>
      <c r="G914" s="6"/>
      <c r="H914" s="6"/>
      <c r="I914" s="6"/>
      <c r="J914" s="6"/>
      <c r="K914" s="6"/>
    </row>
    <row r="915" spans="1:11" s="1" customFormat="1" ht="13.2" x14ac:dyDescent="0.25">
      <c r="A915" s="6"/>
      <c r="B915" s="6"/>
      <c r="D915" s="6"/>
      <c r="F915" s="6"/>
      <c r="G915" s="6"/>
      <c r="H915" s="6"/>
      <c r="I915" s="6"/>
      <c r="J915" s="6"/>
      <c r="K915" s="6"/>
    </row>
    <row r="916" spans="1:11" s="1" customFormat="1" ht="13.2" x14ac:dyDescent="0.25">
      <c r="A916" s="6"/>
      <c r="B916" s="6"/>
      <c r="D916" s="6"/>
      <c r="F916" s="6"/>
      <c r="G916" s="6"/>
      <c r="H916" s="6"/>
      <c r="I916" s="6"/>
      <c r="J916" s="6"/>
      <c r="K916" s="6"/>
    </row>
    <row r="917" spans="1:11" s="1" customFormat="1" ht="13.2" x14ac:dyDescent="0.25">
      <c r="A917" s="6"/>
      <c r="B917" s="6"/>
      <c r="D917" s="6"/>
      <c r="F917" s="6"/>
      <c r="G917" s="6"/>
      <c r="H917" s="6"/>
      <c r="I917" s="6"/>
      <c r="J917" s="6"/>
      <c r="K917" s="6"/>
    </row>
    <row r="918" spans="1:11" s="1" customFormat="1" ht="13.2" x14ac:dyDescent="0.25">
      <c r="A918" s="6"/>
      <c r="B918" s="6"/>
      <c r="D918" s="6"/>
      <c r="F918" s="6"/>
      <c r="G918" s="6"/>
      <c r="H918" s="6"/>
      <c r="I918" s="6"/>
      <c r="J918" s="6"/>
      <c r="K918" s="6"/>
    </row>
    <row r="919" spans="1:11" s="1" customFormat="1" ht="13.2" x14ac:dyDescent="0.25">
      <c r="A919" s="6"/>
      <c r="B919" s="6"/>
      <c r="D919" s="6"/>
      <c r="F919" s="6"/>
      <c r="G919" s="6"/>
      <c r="H919" s="6"/>
      <c r="I919" s="6"/>
      <c r="J919" s="6"/>
      <c r="K919" s="6"/>
    </row>
    <row r="920" spans="1:11" s="1" customFormat="1" ht="13.2" x14ac:dyDescent="0.25">
      <c r="A920" s="6"/>
      <c r="B920" s="6"/>
      <c r="D920" s="6"/>
      <c r="F920" s="6"/>
      <c r="G920" s="6"/>
      <c r="H920" s="6"/>
      <c r="I920" s="6"/>
      <c r="J920" s="6"/>
      <c r="K920" s="6"/>
    </row>
    <row r="921" spans="1:11" s="1" customFormat="1" ht="13.2" x14ac:dyDescent="0.25">
      <c r="A921" s="6"/>
      <c r="B921" s="6"/>
      <c r="D921" s="6"/>
      <c r="F921" s="6"/>
      <c r="G921" s="6"/>
      <c r="H921" s="6"/>
      <c r="I921" s="6"/>
      <c r="J921" s="6"/>
      <c r="K921" s="6"/>
    </row>
    <row r="922" spans="1:11" s="1" customFormat="1" ht="13.2" x14ac:dyDescent="0.25">
      <c r="A922" s="6"/>
      <c r="B922" s="6"/>
      <c r="D922" s="6"/>
      <c r="F922" s="6"/>
      <c r="G922" s="6"/>
      <c r="H922" s="6"/>
      <c r="I922" s="6"/>
      <c r="J922" s="6"/>
      <c r="K922" s="6"/>
    </row>
    <row r="923" spans="1:11" s="1" customFormat="1" ht="13.2" x14ac:dyDescent="0.25">
      <c r="A923" s="6"/>
      <c r="B923" s="6"/>
      <c r="D923" s="6"/>
      <c r="F923" s="6"/>
      <c r="G923" s="6"/>
      <c r="H923" s="6"/>
      <c r="I923" s="6"/>
      <c r="J923" s="6"/>
      <c r="K923" s="6"/>
    </row>
    <row r="924" spans="1:11" s="1" customFormat="1" ht="13.2" x14ac:dyDescent="0.25">
      <c r="A924" s="6"/>
      <c r="B924" s="6"/>
      <c r="D924" s="6"/>
      <c r="F924" s="6"/>
      <c r="G924" s="6"/>
      <c r="H924" s="6"/>
      <c r="I924" s="6"/>
      <c r="J924" s="6"/>
      <c r="K924" s="6"/>
    </row>
    <row r="925" spans="1:11" s="1" customFormat="1" ht="13.2" x14ac:dyDescent="0.25">
      <c r="A925" s="6"/>
      <c r="B925" s="6"/>
      <c r="D925" s="6"/>
      <c r="F925" s="6"/>
      <c r="G925" s="6"/>
      <c r="H925" s="6"/>
      <c r="I925" s="6"/>
      <c r="J925" s="6"/>
      <c r="K925" s="6"/>
    </row>
    <row r="926" spans="1:11" s="1" customFormat="1" ht="13.2" x14ac:dyDescent="0.25">
      <c r="A926" s="6"/>
      <c r="B926" s="6"/>
      <c r="D926" s="6"/>
      <c r="F926" s="6"/>
      <c r="G926" s="6"/>
      <c r="H926" s="6"/>
      <c r="I926" s="6"/>
      <c r="J926" s="6"/>
      <c r="K926" s="6"/>
    </row>
    <row r="927" spans="1:11" s="1" customFormat="1" ht="13.2" x14ac:dyDescent="0.25">
      <c r="A927" s="6"/>
      <c r="B927" s="6"/>
      <c r="D927" s="6"/>
      <c r="F927" s="6"/>
      <c r="G927" s="6"/>
      <c r="H927" s="6"/>
      <c r="I927" s="6"/>
      <c r="J927" s="6"/>
      <c r="K927" s="6"/>
    </row>
    <row r="928" spans="1:11" s="1" customFormat="1" ht="13.2" x14ac:dyDescent="0.25">
      <c r="A928" s="6"/>
      <c r="B928" s="6"/>
      <c r="D928" s="6"/>
      <c r="F928" s="6"/>
      <c r="G928" s="6"/>
      <c r="H928" s="6"/>
      <c r="I928" s="6"/>
      <c r="J928" s="6"/>
      <c r="K928" s="6"/>
    </row>
    <row r="929" spans="1:11" s="1" customFormat="1" ht="13.2" x14ac:dyDescent="0.25">
      <c r="A929" s="6"/>
      <c r="B929" s="6"/>
      <c r="D929" s="6"/>
      <c r="F929" s="6"/>
      <c r="G929" s="6"/>
      <c r="H929" s="6"/>
      <c r="I929" s="6"/>
      <c r="J929" s="6"/>
      <c r="K929" s="6"/>
    </row>
    <row r="930" spans="1:11" s="1" customFormat="1" ht="13.2" x14ac:dyDescent="0.25">
      <c r="A930" s="6"/>
      <c r="B930" s="6"/>
      <c r="D930" s="6"/>
      <c r="F930" s="6"/>
      <c r="G930" s="6"/>
      <c r="H930" s="6"/>
      <c r="I930" s="6"/>
      <c r="J930" s="6"/>
      <c r="K930" s="6"/>
    </row>
    <row r="931" spans="1:11" s="1" customFormat="1" ht="13.2" x14ac:dyDescent="0.25">
      <c r="A931" s="6"/>
      <c r="B931" s="6"/>
      <c r="D931" s="6"/>
      <c r="F931" s="6"/>
      <c r="G931" s="6"/>
      <c r="H931" s="6"/>
      <c r="I931" s="6"/>
      <c r="J931" s="6"/>
      <c r="K931" s="6"/>
    </row>
    <row r="932" spans="1:11" s="1" customFormat="1" ht="13.2" x14ac:dyDescent="0.25">
      <c r="A932" s="6"/>
      <c r="B932" s="6"/>
      <c r="D932" s="6"/>
      <c r="F932" s="6"/>
      <c r="G932" s="6"/>
      <c r="H932" s="6"/>
      <c r="I932" s="6"/>
      <c r="J932" s="6"/>
      <c r="K932" s="6"/>
    </row>
    <row r="933" spans="1:11" s="1" customFormat="1" ht="13.2" x14ac:dyDescent="0.25">
      <c r="A933" s="6"/>
      <c r="B933" s="6"/>
      <c r="D933" s="6"/>
      <c r="F933" s="6"/>
      <c r="G933" s="6"/>
      <c r="H933" s="6"/>
      <c r="I933" s="6"/>
      <c r="J933" s="6"/>
      <c r="K933" s="6"/>
    </row>
    <row r="934" spans="1:11" s="1" customFormat="1" ht="13.2" x14ac:dyDescent="0.25">
      <c r="A934" s="6"/>
      <c r="B934" s="6"/>
      <c r="D934" s="6"/>
      <c r="F934" s="6"/>
      <c r="G934" s="6"/>
      <c r="H934" s="6"/>
      <c r="I934" s="6"/>
      <c r="J934" s="6"/>
      <c r="K934" s="6"/>
    </row>
    <row r="935" spans="1:11" s="1" customFormat="1" ht="13.2" x14ac:dyDescent="0.25">
      <c r="A935" s="6"/>
      <c r="B935" s="6"/>
      <c r="D935" s="6"/>
      <c r="F935" s="6"/>
      <c r="G935" s="6"/>
      <c r="H935" s="6"/>
      <c r="I935" s="6"/>
      <c r="J935" s="6"/>
      <c r="K935" s="6"/>
    </row>
    <row r="936" spans="1:11" s="1" customFormat="1" ht="13.2" x14ac:dyDescent="0.25">
      <c r="A936" s="6"/>
      <c r="B936" s="6"/>
      <c r="D936" s="6"/>
      <c r="F936" s="6"/>
      <c r="G936" s="6"/>
      <c r="H936" s="6"/>
      <c r="I936" s="6"/>
      <c r="J936" s="6"/>
      <c r="K936" s="6"/>
    </row>
    <row r="937" spans="1:11" s="1" customFormat="1" ht="13.2" x14ac:dyDescent="0.25">
      <c r="A937" s="6"/>
      <c r="B937" s="6"/>
      <c r="D937" s="6"/>
      <c r="F937" s="6"/>
      <c r="G937" s="6"/>
      <c r="H937" s="6"/>
      <c r="I937" s="6"/>
      <c r="J937" s="6"/>
      <c r="K937" s="6"/>
    </row>
    <row r="938" spans="1:11" s="1" customFormat="1" ht="13.2" x14ac:dyDescent="0.25">
      <c r="A938" s="6"/>
      <c r="B938" s="6"/>
      <c r="D938" s="6"/>
      <c r="F938" s="6"/>
      <c r="G938" s="6"/>
      <c r="H938" s="6"/>
      <c r="I938" s="6"/>
      <c r="J938" s="6"/>
      <c r="K938" s="6"/>
    </row>
    <row r="939" spans="1:11" s="1" customFormat="1" ht="13.2" x14ac:dyDescent="0.25">
      <c r="A939" s="6"/>
      <c r="B939" s="6"/>
      <c r="D939" s="6"/>
      <c r="F939" s="6"/>
      <c r="G939" s="6"/>
      <c r="H939" s="6"/>
      <c r="I939" s="6"/>
      <c r="J939" s="6"/>
      <c r="K939" s="6"/>
    </row>
    <row r="940" spans="1:11" s="1" customFormat="1" ht="13.2" x14ac:dyDescent="0.25">
      <c r="A940" s="6"/>
      <c r="B940" s="6"/>
      <c r="D940" s="6"/>
      <c r="F940" s="6"/>
      <c r="G940" s="6"/>
      <c r="H940" s="6"/>
      <c r="I940" s="6"/>
      <c r="J940" s="6"/>
      <c r="K940" s="6"/>
    </row>
    <row r="941" spans="1:11" s="1" customFormat="1" ht="13.2" x14ac:dyDescent="0.25">
      <c r="A941" s="6"/>
      <c r="B941" s="6"/>
      <c r="D941" s="6"/>
      <c r="F941" s="6"/>
      <c r="G941" s="6"/>
      <c r="H941" s="6"/>
      <c r="I941" s="6"/>
      <c r="J941" s="6"/>
      <c r="K941" s="6"/>
    </row>
    <row r="942" spans="1:11" s="1" customFormat="1" ht="13.2" x14ac:dyDescent="0.25">
      <c r="A942" s="6"/>
      <c r="B942" s="6"/>
      <c r="D942" s="6"/>
      <c r="F942" s="6"/>
      <c r="G942" s="6"/>
      <c r="H942" s="6"/>
      <c r="I942" s="6"/>
      <c r="J942" s="6"/>
      <c r="K942" s="6"/>
    </row>
    <row r="943" spans="1:11" s="1" customFormat="1" ht="13.2" x14ac:dyDescent="0.25">
      <c r="A943" s="6"/>
      <c r="B943" s="6"/>
      <c r="D943" s="6"/>
      <c r="F943" s="6"/>
      <c r="G943" s="6"/>
      <c r="H943" s="6"/>
      <c r="I943" s="6"/>
      <c r="J943" s="6"/>
      <c r="K943" s="6"/>
    </row>
    <row r="944" spans="1:11" s="1" customFormat="1" ht="13.2" x14ac:dyDescent="0.25">
      <c r="A944" s="6"/>
      <c r="B944" s="6"/>
      <c r="D944" s="6"/>
      <c r="F944" s="6"/>
      <c r="G944" s="6"/>
      <c r="H944" s="6"/>
      <c r="I944" s="6"/>
      <c r="J944" s="6"/>
      <c r="K944" s="6"/>
    </row>
    <row r="945" spans="1:11" s="1" customFormat="1" ht="13.2" x14ac:dyDescent="0.25">
      <c r="A945" s="6"/>
      <c r="B945" s="6"/>
      <c r="D945" s="6"/>
      <c r="F945" s="6"/>
      <c r="G945" s="6"/>
      <c r="H945" s="6"/>
      <c r="I945" s="6"/>
      <c r="J945" s="6"/>
      <c r="K945" s="6"/>
    </row>
    <row r="946" spans="1:11" s="1" customFormat="1" ht="13.2" x14ac:dyDescent="0.25">
      <c r="A946" s="6"/>
      <c r="B946" s="6"/>
      <c r="D946" s="6"/>
      <c r="F946" s="6"/>
      <c r="G946" s="6"/>
      <c r="H946" s="6"/>
      <c r="I946" s="6"/>
      <c r="J946" s="6"/>
      <c r="K946" s="6"/>
    </row>
    <row r="947" spans="1:11" s="1" customFormat="1" ht="13.2" x14ac:dyDescent="0.25">
      <c r="A947" s="6"/>
      <c r="B947" s="6"/>
      <c r="D947" s="6"/>
      <c r="F947" s="6"/>
      <c r="G947" s="6"/>
      <c r="H947" s="6"/>
      <c r="I947" s="6"/>
      <c r="J947" s="6"/>
      <c r="K947" s="6"/>
    </row>
    <row r="948" spans="1:11" s="1" customFormat="1" ht="13.2" x14ac:dyDescent="0.25">
      <c r="A948" s="6"/>
      <c r="B948" s="6"/>
      <c r="D948" s="6"/>
      <c r="F948" s="6"/>
      <c r="G948" s="6"/>
      <c r="H948" s="6"/>
      <c r="I948" s="6"/>
      <c r="J948" s="6"/>
      <c r="K948" s="6"/>
    </row>
    <row r="949" spans="1:11" s="1" customFormat="1" ht="13.2" x14ac:dyDescent="0.25">
      <c r="A949" s="6"/>
      <c r="B949" s="6"/>
      <c r="D949" s="6"/>
      <c r="F949" s="6"/>
      <c r="G949" s="6"/>
      <c r="H949" s="6"/>
      <c r="I949" s="6"/>
      <c r="J949" s="6"/>
      <c r="K949" s="6"/>
    </row>
    <row r="950" spans="1:11" s="1" customFormat="1" ht="13.2" x14ac:dyDescent="0.25">
      <c r="A950" s="6"/>
      <c r="B950" s="6"/>
      <c r="D950" s="6"/>
      <c r="F950" s="6"/>
      <c r="G950" s="6"/>
      <c r="H950" s="6"/>
      <c r="I950" s="6"/>
      <c r="J950" s="6"/>
      <c r="K950" s="6"/>
    </row>
    <row r="951" spans="1:11" s="1" customFormat="1" ht="13.2" x14ac:dyDescent="0.25">
      <c r="A951" s="6"/>
      <c r="B951" s="6"/>
      <c r="D951" s="6"/>
      <c r="F951" s="6"/>
      <c r="G951" s="6"/>
      <c r="H951" s="6"/>
      <c r="I951" s="6"/>
      <c r="J951" s="6"/>
      <c r="K951" s="6"/>
    </row>
    <row r="952" spans="1:11" s="1" customFormat="1" ht="13.2" x14ac:dyDescent="0.25">
      <c r="A952" s="6"/>
      <c r="B952" s="6"/>
      <c r="D952" s="6"/>
      <c r="F952" s="6"/>
      <c r="G952" s="6"/>
      <c r="H952" s="6"/>
      <c r="I952" s="6"/>
      <c r="J952" s="6"/>
      <c r="K952" s="6"/>
    </row>
    <row r="953" spans="1:11" s="1" customFormat="1" ht="13.2" x14ac:dyDescent="0.25">
      <c r="A953" s="6"/>
      <c r="B953" s="6"/>
      <c r="D953" s="6"/>
      <c r="F953" s="6"/>
      <c r="G953" s="6"/>
      <c r="H953" s="6"/>
      <c r="I953" s="6"/>
      <c r="J953" s="6"/>
      <c r="K953" s="6"/>
    </row>
    <row r="954" spans="1:11" s="1" customFormat="1" ht="13.2" x14ac:dyDescent="0.25">
      <c r="A954" s="6"/>
      <c r="B954" s="6"/>
      <c r="D954" s="6"/>
      <c r="F954" s="6"/>
      <c r="G954" s="6"/>
      <c r="H954" s="6"/>
      <c r="I954" s="6"/>
      <c r="J954" s="6"/>
      <c r="K954" s="6"/>
    </row>
    <row r="955" spans="1:11" s="1" customFormat="1" ht="13.2" x14ac:dyDescent="0.25">
      <c r="A955" s="6"/>
      <c r="B955" s="6"/>
      <c r="D955" s="6"/>
      <c r="F955" s="6"/>
      <c r="G955" s="6"/>
      <c r="H955" s="6"/>
      <c r="I955" s="6"/>
      <c r="J955" s="6"/>
      <c r="K955" s="6"/>
    </row>
    <row r="956" spans="1:11" s="1" customFormat="1" ht="13.2" x14ac:dyDescent="0.25">
      <c r="A956" s="6"/>
      <c r="B956" s="6"/>
      <c r="D956" s="6"/>
      <c r="F956" s="6"/>
      <c r="G956" s="6"/>
      <c r="H956" s="6"/>
      <c r="I956" s="6"/>
      <c r="J956" s="6"/>
      <c r="K956" s="6"/>
    </row>
    <row r="957" spans="1:11" s="1" customFormat="1" ht="13.2" x14ac:dyDescent="0.25">
      <c r="A957" s="6"/>
      <c r="B957" s="6"/>
      <c r="D957" s="6"/>
      <c r="F957" s="6"/>
      <c r="G957" s="6"/>
      <c r="H957" s="6"/>
      <c r="I957" s="6"/>
      <c r="J957" s="6"/>
      <c r="K957" s="6"/>
    </row>
    <row r="958" spans="1:11" s="1" customFormat="1" ht="13.2" x14ac:dyDescent="0.25">
      <c r="A958" s="6"/>
      <c r="B958" s="6"/>
      <c r="D958" s="6"/>
      <c r="F958" s="6"/>
      <c r="G958" s="6"/>
      <c r="H958" s="6"/>
      <c r="I958" s="6"/>
      <c r="J958" s="6"/>
      <c r="K958" s="6"/>
    </row>
    <row r="959" spans="1:11" s="1" customFormat="1" ht="13.2" x14ac:dyDescent="0.25">
      <c r="A959" s="6"/>
      <c r="B959" s="6"/>
      <c r="D959" s="6"/>
      <c r="F959" s="6"/>
      <c r="G959" s="6"/>
      <c r="H959" s="6"/>
      <c r="I959" s="6"/>
      <c r="J959" s="6"/>
      <c r="K959" s="6"/>
    </row>
    <row r="960" spans="1:11" s="1" customFormat="1" ht="13.2" x14ac:dyDescent="0.25">
      <c r="A960" s="6"/>
      <c r="B960" s="6"/>
      <c r="D960" s="6"/>
      <c r="F960" s="6"/>
      <c r="G960" s="6"/>
      <c r="H960" s="6"/>
      <c r="I960" s="6"/>
      <c r="J960" s="6"/>
      <c r="K960" s="6"/>
    </row>
    <row r="961" spans="1:11" s="1" customFormat="1" ht="13.2" x14ac:dyDescent="0.25">
      <c r="A961" s="6"/>
      <c r="B961" s="6"/>
      <c r="D961" s="6"/>
      <c r="F961" s="6"/>
      <c r="G961" s="6"/>
      <c r="H961" s="6"/>
      <c r="I961" s="6"/>
      <c r="J961" s="6"/>
      <c r="K961" s="6"/>
    </row>
    <row r="962" spans="1:11" s="1" customFormat="1" ht="13.2" x14ac:dyDescent="0.25">
      <c r="A962" s="6"/>
      <c r="B962" s="6"/>
      <c r="D962" s="6"/>
      <c r="F962" s="6"/>
      <c r="G962" s="6"/>
      <c r="H962" s="6"/>
      <c r="I962" s="6"/>
      <c r="J962" s="6"/>
      <c r="K962" s="6"/>
    </row>
    <row r="963" spans="1:11" s="1" customFormat="1" ht="13.2" x14ac:dyDescent="0.25">
      <c r="A963" s="6"/>
      <c r="B963" s="6"/>
      <c r="D963" s="6"/>
      <c r="F963" s="6"/>
      <c r="G963" s="6"/>
      <c r="H963" s="6"/>
      <c r="I963" s="6"/>
      <c r="J963" s="6"/>
      <c r="K963" s="6"/>
    </row>
    <row r="964" spans="1:11" s="1" customFormat="1" ht="13.2" x14ac:dyDescent="0.25">
      <c r="A964" s="6"/>
      <c r="B964" s="6"/>
      <c r="D964" s="6"/>
      <c r="F964" s="6"/>
      <c r="G964" s="6"/>
      <c r="H964" s="6"/>
      <c r="I964" s="6"/>
      <c r="J964" s="6"/>
      <c r="K964" s="6"/>
    </row>
    <row r="965" spans="1:11" s="1" customFormat="1" ht="13.2" x14ac:dyDescent="0.25">
      <c r="A965" s="6"/>
      <c r="B965" s="6"/>
      <c r="D965" s="6"/>
      <c r="F965" s="6"/>
      <c r="G965" s="6"/>
      <c r="H965" s="6"/>
      <c r="I965" s="6"/>
      <c r="J965" s="6"/>
      <c r="K965" s="6"/>
    </row>
    <row r="966" spans="1:11" s="1" customFormat="1" ht="13.2" x14ac:dyDescent="0.25">
      <c r="A966" s="6"/>
      <c r="B966" s="6"/>
      <c r="D966" s="6"/>
      <c r="F966" s="6"/>
      <c r="G966" s="6"/>
      <c r="H966" s="6"/>
      <c r="I966" s="6"/>
      <c r="J966" s="6"/>
      <c r="K966" s="6"/>
    </row>
    <row r="967" spans="1:11" s="1" customFormat="1" ht="13.2" x14ac:dyDescent="0.25">
      <c r="A967" s="6"/>
      <c r="B967" s="6"/>
      <c r="D967" s="6"/>
      <c r="F967" s="6"/>
      <c r="G967" s="6"/>
      <c r="H967" s="6"/>
      <c r="I967" s="6"/>
      <c r="J967" s="6"/>
      <c r="K967" s="6"/>
    </row>
    <row r="968" spans="1:11" s="1" customFormat="1" ht="13.2" x14ac:dyDescent="0.25">
      <c r="A968" s="6"/>
      <c r="B968" s="6"/>
      <c r="D968" s="6"/>
      <c r="F968" s="6"/>
      <c r="G968" s="6"/>
      <c r="H968" s="6"/>
      <c r="I968" s="6"/>
      <c r="J968" s="6"/>
      <c r="K968" s="6"/>
    </row>
    <row r="969" spans="1:11" s="1" customFormat="1" ht="13.2" x14ac:dyDescent="0.25">
      <c r="A969" s="6"/>
      <c r="B969" s="6"/>
      <c r="D969" s="6"/>
      <c r="F969" s="6"/>
      <c r="G969" s="6"/>
      <c r="H969" s="6"/>
      <c r="I969" s="6"/>
      <c r="J969" s="6"/>
      <c r="K969" s="6"/>
    </row>
    <row r="970" spans="1:11" s="1" customFormat="1" ht="13.2" x14ac:dyDescent="0.25">
      <c r="A970" s="6"/>
      <c r="B970" s="6"/>
      <c r="D970" s="6"/>
      <c r="F970" s="6"/>
      <c r="G970" s="6"/>
      <c r="H970" s="6"/>
      <c r="I970" s="6"/>
      <c r="J970" s="6"/>
      <c r="K970" s="6"/>
    </row>
    <row r="971" spans="1:11" s="1" customFormat="1" ht="13.2" x14ac:dyDescent="0.25">
      <c r="A971" s="6"/>
      <c r="B971" s="6"/>
      <c r="D971" s="6"/>
      <c r="F971" s="6"/>
      <c r="G971" s="6"/>
      <c r="H971" s="6"/>
      <c r="I971" s="6"/>
      <c r="J971" s="6"/>
      <c r="K971" s="6"/>
    </row>
    <row r="972" spans="1:11" s="1" customFormat="1" ht="13.2" x14ac:dyDescent="0.25">
      <c r="A972" s="6"/>
      <c r="B972" s="6"/>
      <c r="D972" s="6"/>
      <c r="F972" s="6"/>
      <c r="G972" s="6"/>
      <c r="H972" s="6"/>
      <c r="I972" s="6"/>
      <c r="J972" s="6"/>
      <c r="K972" s="6"/>
    </row>
    <row r="973" spans="1:11" s="1" customFormat="1" ht="13.2" x14ac:dyDescent="0.25">
      <c r="A973" s="6"/>
      <c r="B973" s="6"/>
      <c r="D973" s="6"/>
      <c r="F973" s="6"/>
      <c r="G973" s="6"/>
      <c r="H973" s="6"/>
      <c r="I973" s="6"/>
      <c r="J973" s="6"/>
      <c r="K973" s="6"/>
    </row>
    <row r="974" spans="1:11" s="1" customFormat="1" ht="13.2" x14ac:dyDescent="0.25">
      <c r="A974" s="6"/>
      <c r="B974" s="6"/>
      <c r="D974" s="6"/>
      <c r="F974" s="6"/>
      <c r="G974" s="6"/>
      <c r="H974" s="6"/>
      <c r="I974" s="6"/>
      <c r="J974" s="6"/>
      <c r="K974" s="6"/>
    </row>
    <row r="975" spans="1:11" s="1" customFormat="1" ht="13.2" x14ac:dyDescent="0.25">
      <c r="A975" s="6"/>
      <c r="B975" s="6"/>
      <c r="D975" s="6"/>
      <c r="F975" s="6"/>
      <c r="G975" s="6"/>
      <c r="H975" s="6"/>
      <c r="I975" s="6"/>
      <c r="J975" s="6"/>
      <c r="K975" s="6"/>
    </row>
    <row r="976" spans="1:11" s="1" customFormat="1" ht="13.2" x14ac:dyDescent="0.25">
      <c r="A976" s="6"/>
      <c r="B976" s="6"/>
      <c r="D976" s="6"/>
      <c r="F976" s="6"/>
      <c r="G976" s="6"/>
      <c r="H976" s="6"/>
      <c r="I976" s="6"/>
      <c r="J976" s="6"/>
      <c r="K976" s="6"/>
    </row>
    <row r="977" spans="1:11" s="1" customFormat="1" ht="13.2" x14ac:dyDescent="0.25">
      <c r="A977" s="6"/>
      <c r="B977" s="6"/>
      <c r="D977" s="6"/>
      <c r="F977" s="6"/>
      <c r="G977" s="6"/>
      <c r="H977" s="6"/>
      <c r="I977" s="6"/>
      <c r="J977" s="6"/>
      <c r="K977" s="6"/>
    </row>
    <row r="978" spans="1:11" s="1" customFormat="1" ht="13.2" x14ac:dyDescent="0.25">
      <c r="A978" s="6"/>
      <c r="B978" s="6"/>
      <c r="D978" s="6"/>
      <c r="F978" s="6"/>
      <c r="G978" s="6"/>
      <c r="H978" s="6"/>
      <c r="I978" s="6"/>
      <c r="J978" s="6"/>
      <c r="K978" s="6"/>
    </row>
    <row r="979" spans="1:11" s="1" customFormat="1" ht="13.2" x14ac:dyDescent="0.25">
      <c r="A979" s="6"/>
      <c r="B979" s="6"/>
      <c r="D979" s="6"/>
      <c r="F979" s="6"/>
      <c r="G979" s="6"/>
      <c r="H979" s="6"/>
      <c r="I979" s="6"/>
      <c r="J979" s="6"/>
      <c r="K979" s="6"/>
    </row>
    <row r="980" spans="1:11" s="1" customFormat="1" ht="13.2" x14ac:dyDescent="0.25">
      <c r="A980" s="6"/>
      <c r="B980" s="6"/>
      <c r="D980" s="6"/>
      <c r="F980" s="6"/>
      <c r="G980" s="6"/>
      <c r="H980" s="6"/>
      <c r="I980" s="6"/>
      <c r="J980" s="6"/>
      <c r="K980" s="6"/>
    </row>
    <row r="981" spans="1:11" s="1" customFormat="1" ht="13.2" x14ac:dyDescent="0.25">
      <c r="A981" s="6"/>
      <c r="B981" s="6"/>
      <c r="D981" s="6"/>
      <c r="F981" s="6"/>
      <c r="G981" s="6"/>
      <c r="H981" s="6"/>
      <c r="I981" s="6"/>
      <c r="J981" s="6"/>
      <c r="K981" s="6"/>
    </row>
    <row r="982" spans="1:11" s="1" customFormat="1" ht="13.2" x14ac:dyDescent="0.25">
      <c r="A982" s="6"/>
      <c r="B982" s="6"/>
      <c r="D982" s="6"/>
      <c r="F982" s="6"/>
      <c r="G982" s="6"/>
      <c r="H982" s="6"/>
      <c r="I982" s="6"/>
      <c r="J982" s="6"/>
      <c r="K982" s="6"/>
    </row>
    <row r="983" spans="1:11" s="1" customFormat="1" ht="13.2" x14ac:dyDescent="0.25">
      <c r="A983" s="6"/>
      <c r="B983" s="6"/>
      <c r="D983" s="6"/>
      <c r="F983" s="6"/>
      <c r="G983" s="6"/>
      <c r="H983" s="6"/>
      <c r="I983" s="6"/>
      <c r="J983" s="6"/>
      <c r="K983" s="6"/>
    </row>
    <row r="984" spans="1:11" s="1" customFormat="1" ht="13.2" x14ac:dyDescent="0.25">
      <c r="A984" s="6"/>
      <c r="B984" s="6"/>
      <c r="D984" s="6"/>
      <c r="F984" s="6"/>
      <c r="G984" s="6"/>
      <c r="H984" s="6"/>
      <c r="I984" s="6"/>
      <c r="J984" s="6"/>
      <c r="K984" s="6"/>
    </row>
    <row r="985" spans="1:11" s="1" customFormat="1" ht="13.2" x14ac:dyDescent="0.25">
      <c r="A985" s="6"/>
      <c r="B985" s="6"/>
      <c r="D985" s="6"/>
      <c r="F985" s="6"/>
      <c r="G985" s="6"/>
      <c r="H985" s="6"/>
      <c r="I985" s="6"/>
      <c r="J985" s="6"/>
      <c r="K985" s="6"/>
    </row>
    <row r="986" spans="1:11" s="1" customFormat="1" ht="13.2" x14ac:dyDescent="0.25">
      <c r="A986" s="6"/>
      <c r="B986" s="6"/>
      <c r="D986" s="6"/>
      <c r="F986" s="6"/>
      <c r="G986" s="6"/>
      <c r="H986" s="6"/>
      <c r="I986" s="6"/>
      <c r="J986" s="6"/>
      <c r="K986" s="6"/>
    </row>
    <row r="987" spans="1:11" s="1" customFormat="1" ht="13.2" x14ac:dyDescent="0.25">
      <c r="A987" s="6"/>
      <c r="B987" s="6"/>
      <c r="D987" s="6"/>
      <c r="F987" s="6"/>
      <c r="G987" s="6"/>
      <c r="H987" s="6"/>
      <c r="I987" s="6"/>
      <c r="J987" s="6"/>
      <c r="K987" s="6"/>
    </row>
    <row r="988" spans="1:11" s="1" customFormat="1" ht="13.2" x14ac:dyDescent="0.25">
      <c r="A988" s="6"/>
      <c r="B988" s="6"/>
      <c r="D988" s="6"/>
      <c r="F988" s="6"/>
      <c r="G988" s="6"/>
      <c r="H988" s="6"/>
      <c r="I988" s="6"/>
      <c r="J988" s="6"/>
      <c r="K988" s="6"/>
    </row>
    <row r="989" spans="1:11" s="1" customFormat="1" ht="13.2" x14ac:dyDescent="0.25">
      <c r="A989" s="6"/>
      <c r="B989" s="6"/>
      <c r="D989" s="6"/>
      <c r="F989" s="6"/>
      <c r="G989" s="6"/>
      <c r="H989" s="6"/>
      <c r="I989" s="6"/>
      <c r="J989" s="6"/>
      <c r="K989" s="6"/>
    </row>
    <row r="990" spans="1:11" s="1" customFormat="1" ht="13.2" x14ac:dyDescent="0.25">
      <c r="A990" s="6"/>
      <c r="B990" s="6"/>
      <c r="D990" s="6"/>
      <c r="F990" s="6"/>
      <c r="G990" s="6"/>
      <c r="H990" s="6"/>
      <c r="I990" s="6"/>
      <c r="J990" s="6"/>
      <c r="K990" s="6"/>
    </row>
    <row r="991" spans="1:11" s="1" customFormat="1" ht="13.2" x14ac:dyDescent="0.25">
      <c r="A991" s="6"/>
      <c r="B991" s="6"/>
      <c r="D991" s="6"/>
      <c r="F991" s="6"/>
      <c r="G991" s="6"/>
      <c r="H991" s="6"/>
      <c r="I991" s="6"/>
      <c r="J991" s="6"/>
      <c r="K991" s="6"/>
    </row>
    <row r="992" spans="1:11" s="1" customFormat="1" ht="13.2" x14ac:dyDescent="0.25">
      <c r="A992" s="6"/>
      <c r="B992" s="6"/>
      <c r="D992" s="6"/>
      <c r="F992" s="6"/>
      <c r="G992" s="6"/>
      <c r="H992" s="6"/>
      <c r="I992" s="6"/>
      <c r="J992" s="6"/>
      <c r="K992" s="6"/>
    </row>
    <row r="993" spans="1:11" s="1" customFormat="1" ht="13.2" x14ac:dyDescent="0.25">
      <c r="A993" s="6"/>
      <c r="B993" s="6"/>
      <c r="D993" s="6"/>
      <c r="F993" s="6"/>
      <c r="G993" s="6"/>
      <c r="H993" s="6"/>
      <c r="I993" s="6"/>
      <c r="J993" s="6"/>
      <c r="K993" s="6"/>
    </row>
    <row r="994" spans="1:11" s="1" customFormat="1" ht="13.2" x14ac:dyDescent="0.25">
      <c r="A994" s="6"/>
      <c r="B994" s="6"/>
      <c r="D994" s="6"/>
      <c r="F994" s="6"/>
      <c r="G994" s="6"/>
      <c r="H994" s="6"/>
      <c r="I994" s="6"/>
      <c r="J994" s="6"/>
      <c r="K994" s="6"/>
    </row>
    <row r="995" spans="1:11" s="1" customFormat="1" ht="13.2" x14ac:dyDescent="0.25">
      <c r="A995" s="6"/>
      <c r="B995" s="6"/>
      <c r="D995" s="6"/>
      <c r="F995" s="6"/>
      <c r="G995" s="6"/>
      <c r="H995" s="6"/>
      <c r="I995" s="6"/>
      <c r="J995" s="6"/>
      <c r="K995" s="6"/>
    </row>
    <row r="996" spans="1:11" s="1" customFormat="1" ht="13.2" x14ac:dyDescent="0.25">
      <c r="A996" s="6"/>
      <c r="B996" s="6"/>
      <c r="D996" s="6"/>
      <c r="F996" s="6"/>
      <c r="G996" s="6"/>
      <c r="H996" s="6"/>
      <c r="I996" s="6"/>
      <c r="J996" s="6"/>
      <c r="K996" s="6"/>
    </row>
    <row r="997" spans="1:11" s="1" customFormat="1" ht="13.2" x14ac:dyDescent="0.25">
      <c r="A997" s="6"/>
      <c r="B997" s="6"/>
      <c r="D997" s="6"/>
      <c r="F997" s="6"/>
      <c r="G997" s="6"/>
      <c r="H997" s="6"/>
      <c r="I997" s="6"/>
      <c r="J997" s="6"/>
      <c r="K997" s="6"/>
    </row>
    <row r="998" spans="1:11" s="1" customFormat="1" ht="13.2" x14ac:dyDescent="0.25">
      <c r="A998" s="6"/>
      <c r="B998" s="6"/>
      <c r="D998" s="6"/>
      <c r="F998" s="6"/>
      <c r="G998" s="6"/>
      <c r="H998" s="6"/>
      <c r="I998" s="6"/>
      <c r="J998" s="6"/>
      <c r="K998" s="6"/>
    </row>
    <row r="999" spans="1:11" s="1" customFormat="1" ht="13.2" x14ac:dyDescent="0.25">
      <c r="A999" s="6"/>
      <c r="B999" s="6"/>
      <c r="D999" s="6"/>
      <c r="F999" s="6"/>
      <c r="G999" s="6"/>
      <c r="H999" s="6"/>
      <c r="I999" s="6"/>
      <c r="J999" s="6"/>
      <c r="K999" s="6"/>
    </row>
    <row r="1000" spans="1:11" s="1" customFormat="1" ht="13.2" x14ac:dyDescent="0.25">
      <c r="A1000" s="6"/>
      <c r="B1000" s="6"/>
      <c r="D1000" s="6"/>
      <c r="F1000" s="6"/>
      <c r="G1000" s="6"/>
      <c r="H1000" s="6"/>
      <c r="I1000" s="6"/>
      <c r="J1000" s="6"/>
      <c r="K1000" s="6"/>
    </row>
    <row r="1001" spans="1:11" s="1" customFormat="1" ht="13.2" x14ac:dyDescent="0.25">
      <c r="A1001" s="6"/>
      <c r="B1001" s="6"/>
      <c r="D1001" s="6"/>
      <c r="F1001" s="6"/>
      <c r="G1001" s="6"/>
      <c r="H1001" s="6"/>
      <c r="I1001" s="6"/>
      <c r="J1001" s="6"/>
      <c r="K1001" s="6"/>
    </row>
    <row r="1002" spans="1:11" s="1" customFormat="1" ht="13.2" x14ac:dyDescent="0.25">
      <c r="A1002" s="6"/>
      <c r="B1002" s="6"/>
      <c r="D1002" s="6"/>
      <c r="F1002" s="6"/>
      <c r="G1002" s="6"/>
      <c r="H1002" s="6"/>
      <c r="I1002" s="6"/>
      <c r="J1002" s="6"/>
      <c r="K1002" s="6"/>
    </row>
    <row r="1003" spans="1:11" s="1" customFormat="1" ht="13.2" x14ac:dyDescent="0.25">
      <c r="A1003" s="6"/>
      <c r="B1003" s="6"/>
      <c r="D1003" s="6"/>
      <c r="F1003" s="6"/>
      <c r="G1003" s="6"/>
      <c r="H1003" s="6"/>
      <c r="I1003" s="6"/>
      <c r="J1003" s="6"/>
      <c r="K1003" s="6"/>
    </row>
    <row r="1004" spans="1:11" s="1" customFormat="1" ht="13.2" x14ac:dyDescent="0.25">
      <c r="A1004" s="6"/>
      <c r="B1004" s="6"/>
      <c r="D1004" s="6"/>
      <c r="F1004" s="6"/>
      <c r="G1004" s="6"/>
      <c r="H1004" s="6"/>
      <c r="I1004" s="6"/>
      <c r="J1004" s="6"/>
      <c r="K1004" s="6"/>
    </row>
    <row r="1005" spans="1:11" s="1" customFormat="1" ht="13.2" x14ac:dyDescent="0.25">
      <c r="A1005" s="6"/>
      <c r="B1005" s="6"/>
      <c r="D1005" s="6"/>
      <c r="F1005" s="6"/>
      <c r="G1005" s="6"/>
      <c r="H1005" s="6"/>
      <c r="I1005" s="6"/>
      <c r="J1005" s="6"/>
      <c r="K1005" s="6"/>
    </row>
    <row r="1006" spans="1:11" s="1" customFormat="1" ht="13.2" x14ac:dyDescent="0.25">
      <c r="A1006" s="6"/>
      <c r="B1006" s="6"/>
      <c r="D1006" s="6"/>
      <c r="F1006" s="6"/>
      <c r="G1006" s="6"/>
      <c r="H1006" s="6"/>
      <c r="I1006" s="6"/>
      <c r="J1006" s="6"/>
      <c r="K1006" s="6"/>
    </row>
    <row r="1007" spans="1:11" s="1" customFormat="1" ht="13.2" x14ac:dyDescent="0.25">
      <c r="A1007" s="6"/>
      <c r="B1007" s="6"/>
      <c r="D1007" s="6"/>
      <c r="F1007" s="6"/>
      <c r="G1007" s="6"/>
      <c r="H1007" s="6"/>
      <c r="I1007" s="6"/>
      <c r="J1007" s="6"/>
      <c r="K1007" s="6"/>
    </row>
    <row r="1008" spans="1:11" s="1" customFormat="1" ht="13.2" x14ac:dyDescent="0.25">
      <c r="A1008" s="6"/>
      <c r="B1008" s="6"/>
      <c r="D1008" s="6"/>
      <c r="F1008" s="6"/>
      <c r="G1008" s="6"/>
      <c r="H1008" s="6"/>
      <c r="I1008" s="6"/>
      <c r="J1008" s="6"/>
      <c r="K1008" s="6"/>
    </row>
    <row r="1009" spans="1:11" s="1" customFormat="1" ht="13.2" x14ac:dyDescent="0.25">
      <c r="A1009" s="6"/>
      <c r="B1009" s="6"/>
      <c r="D1009" s="6"/>
      <c r="F1009" s="6"/>
      <c r="G1009" s="6"/>
      <c r="H1009" s="6"/>
      <c r="I1009" s="6"/>
      <c r="J1009" s="6"/>
      <c r="K1009" s="6"/>
    </row>
    <row r="1010" spans="1:11" s="1" customFormat="1" ht="13.2" x14ac:dyDescent="0.25">
      <c r="A1010" s="6"/>
      <c r="B1010" s="6"/>
      <c r="D1010" s="6"/>
      <c r="F1010" s="6"/>
      <c r="G1010" s="6"/>
      <c r="H1010" s="6"/>
      <c r="I1010" s="6"/>
      <c r="J1010" s="6"/>
      <c r="K1010" s="6"/>
    </row>
    <row r="1011" spans="1:11" s="1" customFormat="1" ht="13.2" x14ac:dyDescent="0.25">
      <c r="A1011" s="6"/>
      <c r="B1011" s="6"/>
      <c r="D1011" s="6"/>
      <c r="F1011" s="6"/>
      <c r="G1011" s="6"/>
      <c r="H1011" s="6"/>
      <c r="I1011" s="6"/>
      <c r="J1011" s="6"/>
      <c r="K1011" s="6"/>
    </row>
    <row r="1012" spans="1:11" s="1" customFormat="1" ht="13.2" x14ac:dyDescent="0.25">
      <c r="A1012" s="6"/>
      <c r="B1012" s="6"/>
      <c r="D1012" s="6"/>
      <c r="F1012" s="6"/>
      <c r="G1012" s="6"/>
      <c r="H1012" s="6"/>
      <c r="I1012" s="6"/>
      <c r="J1012" s="6"/>
      <c r="K1012" s="6"/>
    </row>
    <row r="1013" spans="1:11" s="1" customFormat="1" ht="13.2" x14ac:dyDescent="0.25">
      <c r="A1013" s="6"/>
      <c r="B1013" s="6"/>
      <c r="D1013" s="6"/>
      <c r="F1013" s="6"/>
      <c r="G1013" s="6"/>
      <c r="H1013" s="6"/>
      <c r="I1013" s="6"/>
      <c r="J1013" s="6"/>
      <c r="K1013" s="6"/>
    </row>
    <row r="1014" spans="1:11" s="1" customFormat="1" ht="13.2" x14ac:dyDescent="0.25">
      <c r="A1014" s="6"/>
      <c r="B1014" s="6"/>
      <c r="D1014" s="6"/>
      <c r="F1014" s="6"/>
      <c r="G1014" s="6"/>
      <c r="H1014" s="6"/>
      <c r="I1014" s="6"/>
      <c r="J1014" s="6"/>
      <c r="K1014" s="6"/>
    </row>
    <row r="1015" spans="1:11" s="1" customFormat="1" ht="13.2" x14ac:dyDescent="0.25">
      <c r="A1015" s="6"/>
      <c r="B1015" s="6"/>
      <c r="D1015" s="6"/>
      <c r="F1015" s="6"/>
      <c r="G1015" s="6"/>
      <c r="H1015" s="6"/>
      <c r="I1015" s="6"/>
      <c r="J1015" s="6"/>
      <c r="K1015" s="6"/>
    </row>
    <row r="1016" spans="1:11" s="1" customFormat="1" ht="13.2" x14ac:dyDescent="0.25">
      <c r="A1016" s="6"/>
      <c r="B1016" s="6"/>
      <c r="D1016" s="6"/>
      <c r="F1016" s="6"/>
      <c r="G1016" s="6"/>
      <c r="H1016" s="6"/>
      <c r="I1016" s="6"/>
      <c r="J1016" s="6"/>
      <c r="K1016" s="6"/>
    </row>
    <row r="1017" spans="1:11" s="1" customFormat="1" ht="13.2" x14ac:dyDescent="0.25">
      <c r="A1017" s="6"/>
      <c r="B1017" s="6"/>
      <c r="D1017" s="6"/>
      <c r="F1017" s="6"/>
      <c r="G1017" s="6"/>
      <c r="H1017" s="6"/>
      <c r="I1017" s="6"/>
      <c r="J1017" s="6"/>
      <c r="K1017" s="6"/>
    </row>
    <row r="1018" spans="1:11" s="1" customFormat="1" ht="13.2" x14ac:dyDescent="0.25">
      <c r="A1018" s="6"/>
      <c r="B1018" s="6"/>
      <c r="D1018" s="6"/>
      <c r="F1018" s="6"/>
      <c r="G1018" s="6"/>
      <c r="H1018" s="6"/>
      <c r="I1018" s="6"/>
      <c r="J1018" s="6"/>
      <c r="K1018" s="6"/>
    </row>
    <row r="1019" spans="1:11" s="1" customFormat="1" ht="13.2" x14ac:dyDescent="0.25">
      <c r="A1019" s="6"/>
      <c r="B1019" s="6"/>
      <c r="D1019" s="6"/>
      <c r="F1019" s="6"/>
      <c r="G1019" s="6"/>
      <c r="H1019" s="6"/>
      <c r="I1019" s="6"/>
      <c r="J1019" s="6"/>
      <c r="K1019" s="6"/>
    </row>
    <row r="1020" spans="1:11" s="1" customFormat="1" ht="13.2" x14ac:dyDescent="0.25">
      <c r="A1020" s="6"/>
      <c r="B1020" s="6"/>
      <c r="D1020" s="6"/>
      <c r="F1020" s="6"/>
      <c r="G1020" s="6"/>
      <c r="H1020" s="6"/>
      <c r="I1020" s="6"/>
      <c r="J1020" s="6"/>
      <c r="K1020" s="6"/>
    </row>
    <row r="1021" spans="1:11" s="1" customFormat="1" ht="13.2" x14ac:dyDescent="0.25">
      <c r="A1021" s="6"/>
      <c r="B1021" s="6"/>
      <c r="D1021" s="6"/>
      <c r="F1021" s="6"/>
      <c r="G1021" s="6"/>
      <c r="H1021" s="6"/>
      <c r="I1021" s="6"/>
      <c r="J1021" s="6"/>
      <c r="K1021" s="6"/>
    </row>
    <row r="1022" spans="1:11" s="1" customFormat="1" ht="13.2" x14ac:dyDescent="0.25">
      <c r="A1022" s="6"/>
      <c r="B1022" s="6"/>
      <c r="D1022" s="6"/>
      <c r="F1022" s="6"/>
      <c r="G1022" s="6"/>
      <c r="H1022" s="6"/>
      <c r="I1022" s="6"/>
      <c r="J1022" s="6"/>
      <c r="K1022" s="6"/>
    </row>
    <row r="1023" spans="1:11" s="1" customFormat="1" ht="13.2" x14ac:dyDescent="0.25">
      <c r="A1023" s="6"/>
      <c r="B1023" s="6"/>
      <c r="D1023" s="6"/>
      <c r="F1023" s="6"/>
      <c r="G1023" s="6"/>
      <c r="H1023" s="6"/>
      <c r="I1023" s="6"/>
      <c r="J1023" s="6"/>
      <c r="K1023" s="6"/>
    </row>
    <row r="1024" spans="1:11" s="1" customFormat="1" ht="13.2" x14ac:dyDescent="0.25">
      <c r="A1024" s="6"/>
      <c r="B1024" s="6"/>
      <c r="D1024" s="6"/>
      <c r="F1024" s="6"/>
      <c r="G1024" s="6"/>
      <c r="H1024" s="6"/>
      <c r="I1024" s="6"/>
      <c r="J1024" s="6"/>
      <c r="K1024" s="6"/>
    </row>
    <row r="1025" spans="1:11" s="1" customFormat="1" ht="13.2" x14ac:dyDescent="0.25">
      <c r="A1025" s="6"/>
      <c r="B1025" s="6"/>
      <c r="D1025" s="6"/>
      <c r="F1025" s="6"/>
      <c r="G1025" s="6"/>
      <c r="H1025" s="6"/>
      <c r="I1025" s="6"/>
      <c r="J1025" s="6"/>
      <c r="K1025" s="6"/>
    </row>
    <row r="1026" spans="1:11" s="1" customFormat="1" ht="13.2" x14ac:dyDescent="0.25">
      <c r="A1026" s="6"/>
      <c r="B1026" s="6"/>
      <c r="D1026" s="6"/>
      <c r="F1026" s="6"/>
      <c r="G1026" s="6"/>
      <c r="H1026" s="6"/>
      <c r="I1026" s="6"/>
      <c r="J1026" s="6"/>
      <c r="K1026" s="6"/>
    </row>
    <row r="1027" spans="1:11" s="1" customFormat="1" ht="13.2" x14ac:dyDescent="0.25">
      <c r="A1027" s="6"/>
      <c r="B1027" s="6"/>
      <c r="D1027" s="6"/>
      <c r="F1027" s="6"/>
      <c r="G1027" s="6"/>
      <c r="H1027" s="6"/>
      <c r="I1027" s="6"/>
      <c r="J1027" s="6"/>
      <c r="K1027" s="6"/>
    </row>
    <row r="1028" spans="1:11" s="1" customFormat="1" ht="13.2" x14ac:dyDescent="0.25">
      <c r="A1028" s="6"/>
      <c r="B1028" s="6"/>
      <c r="D1028" s="6"/>
      <c r="F1028" s="6"/>
      <c r="G1028" s="6"/>
      <c r="H1028" s="6"/>
      <c r="I1028" s="6"/>
      <c r="J1028" s="6"/>
      <c r="K1028" s="6"/>
    </row>
    <row r="1029" spans="1:11" s="1" customFormat="1" ht="13.2" x14ac:dyDescent="0.25">
      <c r="A1029" s="6"/>
      <c r="B1029" s="6"/>
      <c r="D1029" s="6"/>
      <c r="F1029" s="6"/>
      <c r="G1029" s="6"/>
      <c r="H1029" s="6"/>
      <c r="I1029" s="6"/>
      <c r="J1029" s="6"/>
      <c r="K1029" s="6"/>
    </row>
    <row r="1030" spans="1:11" s="1" customFormat="1" ht="13.2" x14ac:dyDescent="0.25">
      <c r="A1030" s="6"/>
      <c r="B1030" s="6"/>
      <c r="D1030" s="6"/>
      <c r="F1030" s="6"/>
      <c r="G1030" s="6"/>
      <c r="H1030" s="6"/>
      <c r="I1030" s="6"/>
      <c r="J1030" s="6"/>
      <c r="K1030" s="6"/>
    </row>
    <row r="1031" spans="1:11" s="1" customFormat="1" ht="13.2" x14ac:dyDescent="0.25">
      <c r="A1031" s="6"/>
      <c r="B1031" s="6"/>
      <c r="D1031" s="6"/>
      <c r="F1031" s="6"/>
      <c r="G1031" s="6"/>
      <c r="H1031" s="6"/>
      <c r="I1031" s="6"/>
      <c r="J1031" s="6"/>
      <c r="K1031" s="6"/>
    </row>
    <row r="1032" spans="1:11" s="1" customFormat="1" ht="13.2" x14ac:dyDescent="0.25">
      <c r="A1032" s="6"/>
      <c r="B1032" s="6"/>
      <c r="D1032" s="6"/>
      <c r="F1032" s="6"/>
      <c r="G1032" s="6"/>
      <c r="H1032" s="6"/>
      <c r="I1032" s="6"/>
      <c r="J1032" s="6"/>
      <c r="K1032" s="6"/>
    </row>
    <row r="1033" spans="1:11" s="1" customFormat="1" ht="13.2" x14ac:dyDescent="0.25">
      <c r="A1033" s="6"/>
      <c r="B1033" s="6"/>
      <c r="D1033" s="6"/>
      <c r="F1033" s="6"/>
      <c r="G1033" s="6"/>
      <c r="H1033" s="6"/>
      <c r="I1033" s="6"/>
      <c r="J1033" s="6"/>
      <c r="K1033" s="6"/>
    </row>
    <row r="1034" spans="1:11" s="1" customFormat="1" ht="13.2" x14ac:dyDescent="0.25">
      <c r="A1034" s="6"/>
      <c r="B1034" s="6"/>
      <c r="D1034" s="6"/>
      <c r="F1034" s="6"/>
      <c r="G1034" s="6"/>
      <c r="H1034" s="6"/>
      <c r="I1034" s="6"/>
      <c r="J1034" s="6"/>
      <c r="K1034" s="6"/>
    </row>
    <row r="1035" spans="1:11" s="1" customFormat="1" ht="13.2" x14ac:dyDescent="0.25">
      <c r="A1035" s="6"/>
      <c r="B1035" s="6"/>
      <c r="D1035" s="6"/>
      <c r="F1035" s="6"/>
      <c r="G1035" s="6"/>
      <c r="H1035" s="6"/>
      <c r="I1035" s="6"/>
      <c r="J1035" s="6"/>
      <c r="K1035" s="6"/>
    </row>
    <row r="1036" spans="1:11" s="1" customFormat="1" ht="13.2" x14ac:dyDescent="0.25">
      <c r="A1036" s="6"/>
      <c r="B1036" s="6"/>
      <c r="D1036" s="6"/>
      <c r="F1036" s="6"/>
      <c r="G1036" s="6"/>
      <c r="H1036" s="6"/>
      <c r="I1036" s="6"/>
      <c r="J1036" s="6"/>
      <c r="K1036" s="6"/>
    </row>
    <row r="1037" spans="1:11" s="1" customFormat="1" ht="13.2" x14ac:dyDescent="0.25">
      <c r="A1037" s="6"/>
      <c r="B1037" s="6"/>
      <c r="D1037" s="6"/>
      <c r="F1037" s="6"/>
      <c r="G1037" s="6"/>
      <c r="H1037" s="6"/>
      <c r="I1037" s="6"/>
      <c r="J1037" s="6"/>
      <c r="K1037" s="6"/>
    </row>
    <row r="1038" spans="1:11" s="1" customFormat="1" ht="13.2" x14ac:dyDescent="0.25">
      <c r="A1038" s="6"/>
      <c r="B1038" s="6"/>
      <c r="D1038" s="6"/>
      <c r="F1038" s="6"/>
      <c r="G1038" s="6"/>
      <c r="H1038" s="6"/>
      <c r="I1038" s="6"/>
      <c r="J1038" s="6"/>
      <c r="K1038" s="6"/>
    </row>
    <row r="1039" spans="1:11" s="1" customFormat="1" ht="13.2" x14ac:dyDescent="0.25">
      <c r="A1039" s="6"/>
      <c r="B1039" s="6"/>
      <c r="D1039" s="6"/>
      <c r="F1039" s="6"/>
      <c r="G1039" s="6"/>
      <c r="H1039" s="6"/>
      <c r="I1039" s="6"/>
      <c r="J1039" s="6"/>
      <c r="K1039" s="6"/>
    </row>
    <row r="1040" spans="1:11" s="1" customFormat="1" ht="13.2" x14ac:dyDescent="0.25">
      <c r="A1040" s="6"/>
      <c r="B1040" s="6"/>
      <c r="D1040" s="6"/>
      <c r="F1040" s="6"/>
      <c r="G1040" s="6"/>
      <c r="H1040" s="6"/>
      <c r="I1040" s="6"/>
      <c r="J1040" s="6"/>
      <c r="K1040" s="6"/>
    </row>
    <row r="1041" spans="1:11" s="1" customFormat="1" ht="13.2" x14ac:dyDescent="0.25">
      <c r="A1041" s="6"/>
      <c r="B1041" s="6"/>
      <c r="D1041" s="6"/>
      <c r="F1041" s="6"/>
      <c r="G1041" s="6"/>
      <c r="H1041" s="6"/>
      <c r="I1041" s="6"/>
      <c r="J1041" s="6"/>
      <c r="K1041" s="6"/>
    </row>
    <row r="1042" spans="1:11" s="1" customFormat="1" ht="13.2" x14ac:dyDescent="0.25">
      <c r="A1042" s="6"/>
      <c r="B1042" s="6"/>
      <c r="D1042" s="6"/>
      <c r="F1042" s="6"/>
      <c r="G1042" s="6"/>
      <c r="H1042" s="6"/>
      <c r="I1042" s="6"/>
      <c r="J1042" s="6"/>
      <c r="K1042" s="6"/>
    </row>
    <row r="1043" spans="1:11" s="1" customFormat="1" ht="13.2" x14ac:dyDescent="0.25">
      <c r="A1043" s="6"/>
      <c r="B1043" s="6"/>
      <c r="D1043" s="6"/>
      <c r="F1043" s="6"/>
      <c r="G1043" s="6"/>
      <c r="H1043" s="6"/>
      <c r="I1043" s="6"/>
      <c r="J1043" s="6"/>
      <c r="K1043" s="6"/>
    </row>
    <row r="1044" spans="1:11" s="1" customFormat="1" ht="13.2" x14ac:dyDescent="0.25">
      <c r="A1044" s="6"/>
      <c r="B1044" s="6"/>
      <c r="D1044" s="6"/>
      <c r="F1044" s="6"/>
      <c r="G1044" s="6"/>
      <c r="H1044" s="6"/>
      <c r="I1044" s="6"/>
      <c r="J1044" s="6"/>
      <c r="K1044" s="6"/>
    </row>
    <row r="1045" spans="1:11" s="1" customFormat="1" ht="13.2" x14ac:dyDescent="0.25">
      <c r="A1045" s="6"/>
      <c r="B1045" s="6"/>
      <c r="D1045" s="6"/>
      <c r="F1045" s="6"/>
      <c r="G1045" s="6"/>
      <c r="H1045" s="6"/>
      <c r="I1045" s="6"/>
      <c r="J1045" s="6"/>
      <c r="K1045" s="6"/>
    </row>
    <row r="1046" spans="1:11" s="1" customFormat="1" ht="13.2" x14ac:dyDescent="0.25">
      <c r="A1046" s="6"/>
      <c r="B1046" s="6"/>
      <c r="D1046" s="6"/>
      <c r="F1046" s="6"/>
      <c r="G1046" s="6"/>
      <c r="H1046" s="6"/>
      <c r="I1046" s="6"/>
      <c r="J1046" s="6"/>
      <c r="K1046" s="6"/>
    </row>
    <row r="1047" spans="1:11" s="1" customFormat="1" ht="13.2" x14ac:dyDescent="0.25">
      <c r="A1047" s="6"/>
      <c r="B1047" s="6"/>
      <c r="D1047" s="6"/>
      <c r="F1047" s="6"/>
      <c r="G1047" s="6"/>
      <c r="H1047" s="6"/>
      <c r="I1047" s="6"/>
      <c r="J1047" s="6"/>
      <c r="K1047" s="6"/>
    </row>
    <row r="1048" spans="1:11" s="1" customFormat="1" ht="13.2" x14ac:dyDescent="0.25">
      <c r="A1048" s="6"/>
      <c r="B1048" s="6"/>
      <c r="D1048" s="6"/>
      <c r="F1048" s="6"/>
      <c r="G1048" s="6"/>
      <c r="H1048" s="6"/>
      <c r="I1048" s="6"/>
      <c r="J1048" s="6"/>
      <c r="K1048" s="6"/>
    </row>
    <row r="1049" spans="1:11" s="1" customFormat="1" ht="13.2" x14ac:dyDescent="0.25">
      <c r="A1049" s="6"/>
      <c r="B1049" s="6"/>
      <c r="D1049" s="6"/>
      <c r="F1049" s="6"/>
      <c r="G1049" s="6"/>
      <c r="H1049" s="6"/>
      <c r="I1049" s="6"/>
      <c r="J1049" s="6"/>
      <c r="K1049" s="6"/>
    </row>
    <row r="1050" spans="1:11" s="1" customFormat="1" ht="13.2" x14ac:dyDescent="0.25">
      <c r="A1050" s="6"/>
      <c r="B1050" s="6"/>
      <c r="D1050" s="6"/>
      <c r="F1050" s="6"/>
      <c r="G1050" s="6"/>
      <c r="H1050" s="6"/>
      <c r="I1050" s="6"/>
      <c r="J1050" s="6"/>
      <c r="K1050" s="6"/>
    </row>
    <row r="1051" spans="1:11" s="1" customFormat="1" ht="13.2" x14ac:dyDescent="0.25">
      <c r="A1051" s="6"/>
      <c r="B1051" s="6"/>
      <c r="D1051" s="6"/>
      <c r="F1051" s="6"/>
      <c r="G1051" s="6"/>
      <c r="H1051" s="6"/>
      <c r="I1051" s="6"/>
      <c r="J1051" s="6"/>
      <c r="K1051" s="6"/>
    </row>
    <row r="1052" spans="1:11" s="1" customFormat="1" ht="13.2" x14ac:dyDescent="0.25">
      <c r="A1052" s="6"/>
      <c r="B1052" s="6"/>
      <c r="D1052" s="6"/>
      <c r="F1052" s="6"/>
      <c r="G1052" s="6"/>
      <c r="H1052" s="6"/>
      <c r="I1052" s="6"/>
      <c r="J1052" s="6"/>
      <c r="K1052" s="6"/>
    </row>
    <row r="1053" spans="1:11" s="1" customFormat="1" ht="13.2" x14ac:dyDescent="0.25">
      <c r="A1053" s="6"/>
      <c r="B1053" s="6"/>
      <c r="D1053" s="6"/>
      <c r="F1053" s="6"/>
      <c r="G1053" s="6"/>
      <c r="H1053" s="6"/>
      <c r="I1053" s="6"/>
      <c r="J1053" s="6"/>
      <c r="K1053" s="6"/>
    </row>
    <row r="1054" spans="1:11" s="1" customFormat="1" ht="13.2" x14ac:dyDescent="0.25">
      <c r="A1054" s="6"/>
      <c r="B1054" s="6"/>
      <c r="D1054" s="6"/>
      <c r="F1054" s="6"/>
      <c r="G1054" s="6"/>
      <c r="H1054" s="6"/>
      <c r="I1054" s="6"/>
      <c r="J1054" s="6"/>
      <c r="K1054" s="6"/>
    </row>
    <row r="1055" spans="1:11" s="1" customFormat="1" ht="13.2" x14ac:dyDescent="0.25">
      <c r="A1055" s="6"/>
      <c r="B1055" s="6"/>
      <c r="D1055" s="6"/>
      <c r="F1055" s="6"/>
      <c r="G1055" s="6"/>
      <c r="H1055" s="6"/>
      <c r="I1055" s="6"/>
      <c r="J1055" s="6"/>
      <c r="K1055" s="6"/>
    </row>
    <row r="1056" spans="1:11" s="1" customFormat="1" ht="13.2" x14ac:dyDescent="0.25">
      <c r="A1056" s="6"/>
      <c r="B1056" s="6"/>
      <c r="D1056" s="6"/>
      <c r="F1056" s="6"/>
      <c r="G1056" s="6"/>
      <c r="H1056" s="6"/>
      <c r="I1056" s="6"/>
      <c r="J1056" s="6"/>
      <c r="K1056" s="6"/>
    </row>
    <row r="1057" spans="1:11" s="1" customFormat="1" ht="13.2" x14ac:dyDescent="0.25">
      <c r="A1057" s="6"/>
      <c r="B1057" s="6"/>
      <c r="D1057" s="6"/>
      <c r="F1057" s="6"/>
      <c r="G1057" s="6"/>
      <c r="H1057" s="6"/>
      <c r="I1057" s="6"/>
      <c r="J1057" s="6"/>
      <c r="K1057" s="6"/>
    </row>
    <row r="1058" spans="1:11" s="1" customFormat="1" ht="13.2" x14ac:dyDescent="0.25">
      <c r="A1058" s="6"/>
      <c r="B1058" s="6"/>
      <c r="D1058" s="6"/>
      <c r="F1058" s="6"/>
      <c r="G1058" s="6"/>
      <c r="H1058" s="6"/>
      <c r="I1058" s="6"/>
      <c r="J1058" s="6"/>
      <c r="K1058" s="6"/>
    </row>
    <row r="1059" spans="1:11" s="1" customFormat="1" ht="13.2" x14ac:dyDescent="0.25">
      <c r="A1059" s="6"/>
      <c r="B1059" s="6"/>
      <c r="D1059" s="6"/>
      <c r="F1059" s="6"/>
      <c r="G1059" s="6"/>
      <c r="H1059" s="6"/>
      <c r="I1059" s="6"/>
      <c r="J1059" s="6"/>
      <c r="K1059" s="6"/>
    </row>
    <row r="1060" spans="1:11" s="1" customFormat="1" ht="13.2" x14ac:dyDescent="0.25">
      <c r="A1060" s="6"/>
      <c r="B1060" s="6"/>
      <c r="D1060" s="6"/>
      <c r="F1060" s="6"/>
      <c r="G1060" s="6"/>
      <c r="H1060" s="6"/>
      <c r="I1060" s="6"/>
      <c r="J1060" s="6"/>
      <c r="K1060" s="6"/>
    </row>
    <row r="1061" spans="1:11" s="1" customFormat="1" ht="13.2" x14ac:dyDescent="0.25">
      <c r="A1061" s="6"/>
      <c r="B1061" s="6"/>
      <c r="D1061" s="6"/>
      <c r="F1061" s="6"/>
      <c r="G1061" s="6"/>
      <c r="H1061" s="6"/>
      <c r="I1061" s="6"/>
      <c r="J1061" s="6"/>
      <c r="K1061" s="6"/>
    </row>
    <row r="1062" spans="1:11" s="1" customFormat="1" ht="13.2" x14ac:dyDescent="0.25">
      <c r="A1062" s="6"/>
      <c r="B1062" s="6"/>
      <c r="D1062" s="6"/>
      <c r="F1062" s="6"/>
      <c r="G1062" s="6"/>
      <c r="H1062" s="6"/>
      <c r="I1062" s="6"/>
      <c r="J1062" s="6"/>
      <c r="K1062" s="6"/>
    </row>
    <row r="1063" spans="1:11" s="1" customFormat="1" ht="13.2" x14ac:dyDescent="0.25">
      <c r="A1063" s="6"/>
      <c r="B1063" s="6"/>
      <c r="D1063" s="6"/>
      <c r="F1063" s="6"/>
      <c r="G1063" s="6"/>
      <c r="H1063" s="6"/>
      <c r="I1063" s="6"/>
      <c r="J1063" s="6"/>
      <c r="K1063" s="6"/>
    </row>
    <row r="1064" spans="1:11" s="1" customFormat="1" ht="13.2" x14ac:dyDescent="0.25">
      <c r="A1064" s="6"/>
      <c r="B1064" s="6"/>
      <c r="D1064" s="6"/>
      <c r="F1064" s="6"/>
      <c r="G1064" s="6"/>
      <c r="H1064" s="6"/>
      <c r="I1064" s="6"/>
      <c r="J1064" s="6"/>
      <c r="K1064" s="6"/>
    </row>
    <row r="1065" spans="1:11" s="1" customFormat="1" ht="13.2" x14ac:dyDescent="0.25">
      <c r="A1065" s="6"/>
      <c r="B1065" s="6"/>
      <c r="D1065" s="6"/>
      <c r="F1065" s="6"/>
      <c r="G1065" s="6"/>
      <c r="H1065" s="6"/>
      <c r="I1065" s="6"/>
      <c r="J1065" s="6"/>
      <c r="K1065" s="6"/>
    </row>
    <row r="1066" spans="1:11" s="1" customFormat="1" ht="13.2" x14ac:dyDescent="0.25">
      <c r="A1066" s="6"/>
      <c r="B1066" s="6"/>
      <c r="D1066" s="6"/>
      <c r="F1066" s="6"/>
      <c r="G1066" s="6"/>
      <c r="H1066" s="6"/>
      <c r="I1066" s="6"/>
      <c r="J1066" s="6"/>
      <c r="K1066" s="6"/>
    </row>
    <row r="1067" spans="1:11" s="1" customFormat="1" ht="13.2" x14ac:dyDescent="0.25">
      <c r="A1067" s="6"/>
      <c r="B1067" s="6"/>
      <c r="D1067" s="6"/>
      <c r="F1067" s="6"/>
      <c r="G1067" s="6"/>
      <c r="H1067" s="6"/>
      <c r="I1067" s="6"/>
      <c r="J1067" s="6"/>
      <c r="K1067" s="6"/>
    </row>
    <row r="1068" spans="1:11" s="1" customFormat="1" ht="13.2" x14ac:dyDescent="0.25">
      <c r="A1068" s="6"/>
      <c r="B1068" s="6"/>
      <c r="D1068" s="6"/>
      <c r="F1068" s="6"/>
      <c r="G1068" s="6"/>
      <c r="H1068" s="6"/>
      <c r="I1068" s="6"/>
      <c r="J1068" s="6"/>
      <c r="K1068" s="6"/>
    </row>
    <row r="1069" spans="1:11" s="1" customFormat="1" ht="13.2" x14ac:dyDescent="0.25">
      <c r="A1069" s="6"/>
      <c r="B1069" s="6"/>
      <c r="D1069" s="6"/>
      <c r="F1069" s="6"/>
      <c r="G1069" s="6"/>
      <c r="H1069" s="6"/>
      <c r="I1069" s="6"/>
      <c r="J1069" s="6"/>
      <c r="K1069" s="6"/>
    </row>
    <row r="1070" spans="1:11" s="1" customFormat="1" ht="13.2" x14ac:dyDescent="0.25">
      <c r="A1070" s="6"/>
      <c r="B1070" s="6"/>
      <c r="D1070" s="6"/>
      <c r="F1070" s="6"/>
      <c r="G1070" s="6"/>
      <c r="H1070" s="6"/>
      <c r="I1070" s="6"/>
      <c r="J1070" s="6"/>
      <c r="K1070" s="6"/>
    </row>
    <row r="1071" spans="1:11" s="1" customFormat="1" ht="13.2" x14ac:dyDescent="0.25">
      <c r="A1071" s="6"/>
      <c r="B1071" s="6"/>
      <c r="D1071" s="6"/>
      <c r="F1071" s="6"/>
      <c r="G1071" s="6"/>
      <c r="H1071" s="6"/>
      <c r="I1071" s="6"/>
      <c r="J1071" s="6"/>
      <c r="K1071" s="6"/>
    </row>
    <row r="1072" spans="1:11" s="1" customFormat="1" ht="13.2" x14ac:dyDescent="0.25">
      <c r="A1072" s="6"/>
      <c r="B1072" s="6"/>
      <c r="D1072" s="6"/>
      <c r="F1072" s="6"/>
      <c r="G1072" s="6"/>
      <c r="H1072" s="6"/>
      <c r="I1072" s="6"/>
      <c r="J1072" s="6"/>
      <c r="K1072" s="6"/>
    </row>
    <row r="1073" spans="1:11" s="1" customFormat="1" ht="13.2" x14ac:dyDescent="0.25">
      <c r="A1073" s="6"/>
      <c r="B1073" s="6"/>
      <c r="D1073" s="6"/>
      <c r="F1073" s="6"/>
      <c r="G1073" s="6"/>
      <c r="H1073" s="6"/>
      <c r="I1073" s="6"/>
      <c r="J1073" s="6"/>
      <c r="K1073" s="6"/>
    </row>
    <row r="1074" spans="1:11" s="1" customFormat="1" ht="13.2" x14ac:dyDescent="0.25">
      <c r="A1074" s="6"/>
      <c r="B1074" s="6"/>
      <c r="D1074" s="6"/>
      <c r="F1074" s="6"/>
      <c r="G1074" s="6"/>
      <c r="H1074" s="6"/>
      <c r="I1074" s="6"/>
      <c r="J1074" s="6"/>
      <c r="K1074" s="6"/>
    </row>
    <row r="1075" spans="1:11" s="1" customFormat="1" ht="13.2" x14ac:dyDescent="0.25">
      <c r="A1075" s="6"/>
      <c r="B1075" s="6"/>
      <c r="D1075" s="6"/>
      <c r="F1075" s="6"/>
      <c r="G1075" s="6"/>
      <c r="H1075" s="6"/>
      <c r="I1075" s="6"/>
      <c r="J1075" s="6"/>
      <c r="K1075" s="6"/>
    </row>
    <row r="1076" spans="1:11" s="1" customFormat="1" ht="13.2" x14ac:dyDescent="0.25">
      <c r="A1076" s="6"/>
      <c r="B1076" s="6"/>
      <c r="D1076" s="6"/>
      <c r="F1076" s="6"/>
      <c r="G1076" s="6"/>
      <c r="H1076" s="6"/>
      <c r="I1076" s="6"/>
      <c r="J1076" s="6"/>
      <c r="K1076" s="6"/>
    </row>
    <row r="1077" spans="1:11" s="1" customFormat="1" ht="13.2" x14ac:dyDescent="0.25">
      <c r="A1077" s="6"/>
      <c r="B1077" s="6"/>
      <c r="D1077" s="6"/>
      <c r="F1077" s="6"/>
      <c r="G1077" s="6"/>
      <c r="H1077" s="6"/>
      <c r="I1077" s="6"/>
      <c r="J1077" s="6"/>
      <c r="K1077" s="6"/>
    </row>
    <row r="1078" spans="1:11" s="1" customFormat="1" ht="13.2" x14ac:dyDescent="0.25">
      <c r="A1078" s="6"/>
      <c r="B1078" s="6"/>
      <c r="D1078" s="6"/>
      <c r="F1078" s="6"/>
      <c r="G1078" s="6"/>
      <c r="H1078" s="6"/>
      <c r="I1078" s="6"/>
      <c r="J1078" s="6"/>
      <c r="K1078" s="6"/>
    </row>
    <row r="1079" spans="1:11" s="1" customFormat="1" ht="13.2" x14ac:dyDescent="0.25">
      <c r="A1079" s="6"/>
      <c r="B1079" s="6"/>
      <c r="D1079" s="6"/>
      <c r="F1079" s="6"/>
      <c r="G1079" s="6"/>
      <c r="H1079" s="6"/>
      <c r="I1079" s="6"/>
      <c r="J1079" s="6"/>
      <c r="K1079" s="6"/>
    </row>
    <row r="1080" spans="1:11" s="1" customFormat="1" ht="13.2" x14ac:dyDescent="0.25">
      <c r="A1080" s="6"/>
      <c r="B1080" s="6"/>
      <c r="D1080" s="6"/>
      <c r="F1080" s="6"/>
      <c r="G1080" s="6"/>
      <c r="H1080" s="6"/>
      <c r="I1080" s="6"/>
      <c r="J1080" s="6"/>
      <c r="K1080" s="6"/>
    </row>
    <row r="1081" spans="1:11" s="1" customFormat="1" ht="13.2" x14ac:dyDescent="0.25">
      <c r="A1081" s="6"/>
      <c r="B1081" s="6"/>
      <c r="D1081" s="6"/>
      <c r="F1081" s="6"/>
      <c r="G1081" s="6"/>
      <c r="H1081" s="6"/>
      <c r="I1081" s="6"/>
      <c r="J1081" s="6"/>
      <c r="K1081" s="6"/>
    </row>
    <row r="1082" spans="1:11" s="1" customFormat="1" ht="13.2" x14ac:dyDescent="0.25">
      <c r="A1082" s="6"/>
      <c r="B1082" s="6"/>
      <c r="D1082" s="6"/>
      <c r="F1082" s="6"/>
      <c r="G1082" s="6"/>
      <c r="H1082" s="6"/>
      <c r="I1082" s="6"/>
      <c r="J1082" s="6"/>
      <c r="K1082" s="6"/>
    </row>
    <row r="1083" spans="1:11" s="1" customFormat="1" ht="13.2" x14ac:dyDescent="0.25">
      <c r="A1083" s="6"/>
      <c r="B1083" s="6"/>
      <c r="D1083" s="6"/>
      <c r="F1083" s="6"/>
      <c r="G1083" s="6"/>
      <c r="H1083" s="6"/>
      <c r="I1083" s="6"/>
      <c r="J1083" s="6"/>
      <c r="K1083" s="6"/>
    </row>
    <row r="1084" spans="1:11" s="1" customFormat="1" ht="13.2" x14ac:dyDescent="0.25">
      <c r="A1084" s="6"/>
      <c r="B1084" s="6"/>
      <c r="D1084" s="6"/>
      <c r="F1084" s="6"/>
      <c r="G1084" s="6"/>
      <c r="H1084" s="6"/>
      <c r="I1084" s="6"/>
      <c r="J1084" s="6"/>
      <c r="K1084" s="6"/>
    </row>
    <row r="1085" spans="1:11" s="1" customFormat="1" ht="13.2" x14ac:dyDescent="0.25">
      <c r="A1085" s="6"/>
      <c r="B1085" s="6"/>
      <c r="D1085" s="6"/>
      <c r="F1085" s="6"/>
      <c r="G1085" s="6"/>
      <c r="H1085" s="6"/>
      <c r="I1085" s="6"/>
      <c r="J1085" s="6"/>
      <c r="K1085" s="6"/>
    </row>
    <row r="1086" spans="1:11" s="1" customFormat="1" ht="13.2" x14ac:dyDescent="0.25">
      <c r="A1086" s="6"/>
      <c r="B1086" s="6"/>
      <c r="D1086" s="6"/>
      <c r="F1086" s="6"/>
      <c r="G1086" s="6"/>
      <c r="H1086" s="6"/>
      <c r="I1086" s="6"/>
      <c r="J1086" s="6"/>
      <c r="K1086" s="6"/>
    </row>
    <row r="1087" spans="1:11" s="1" customFormat="1" ht="13.2" x14ac:dyDescent="0.25">
      <c r="A1087" s="6"/>
      <c r="B1087" s="6"/>
      <c r="D1087" s="6"/>
      <c r="F1087" s="6"/>
      <c r="G1087" s="6"/>
      <c r="H1087" s="6"/>
      <c r="I1087" s="6"/>
      <c r="J1087" s="6"/>
      <c r="K1087" s="6"/>
    </row>
    <row r="1088" spans="1:11" s="1" customFormat="1" ht="13.2" x14ac:dyDescent="0.25">
      <c r="A1088" s="6"/>
      <c r="B1088" s="6"/>
      <c r="D1088" s="6"/>
      <c r="F1088" s="6"/>
      <c r="G1088" s="6"/>
      <c r="H1088" s="6"/>
      <c r="I1088" s="6"/>
      <c r="J1088" s="6"/>
      <c r="K1088" s="6"/>
    </row>
    <row r="1089" spans="1:11" s="1" customFormat="1" ht="13.2" x14ac:dyDescent="0.25">
      <c r="A1089" s="6"/>
      <c r="B1089" s="6"/>
      <c r="D1089" s="6"/>
      <c r="F1089" s="6"/>
      <c r="G1089" s="6"/>
      <c r="H1089" s="6"/>
      <c r="I1089" s="6"/>
      <c r="J1089" s="6"/>
      <c r="K1089" s="6"/>
    </row>
    <row r="1090" spans="1:11" s="1" customFormat="1" ht="13.2" x14ac:dyDescent="0.25">
      <c r="A1090" s="6"/>
      <c r="B1090" s="6"/>
      <c r="D1090" s="6"/>
      <c r="F1090" s="6"/>
      <c r="G1090" s="6"/>
      <c r="H1090" s="6"/>
      <c r="I1090" s="6"/>
      <c r="J1090" s="6"/>
      <c r="K1090" s="6"/>
    </row>
    <row r="1091" spans="1:11" s="1" customFormat="1" ht="13.2" x14ac:dyDescent="0.25">
      <c r="A1091" s="6"/>
      <c r="B1091" s="6"/>
      <c r="D1091" s="6"/>
      <c r="F1091" s="6"/>
      <c r="G1091" s="6"/>
      <c r="H1091" s="6"/>
      <c r="I1091" s="6"/>
      <c r="J1091" s="6"/>
      <c r="K1091" s="6"/>
    </row>
    <row r="1092" spans="1:11" s="1" customFormat="1" ht="13.2" x14ac:dyDescent="0.25">
      <c r="A1092" s="6"/>
      <c r="B1092" s="6"/>
      <c r="D1092" s="6"/>
      <c r="F1092" s="6"/>
      <c r="G1092" s="6"/>
      <c r="H1092" s="6"/>
      <c r="I1092" s="6"/>
      <c r="J1092" s="6"/>
      <c r="K1092" s="6"/>
    </row>
    <row r="1093" spans="1:11" s="1" customFormat="1" ht="13.2" x14ac:dyDescent="0.25">
      <c r="A1093" s="6"/>
      <c r="B1093" s="6"/>
      <c r="D1093" s="6"/>
      <c r="F1093" s="6"/>
      <c r="G1093" s="6"/>
      <c r="H1093" s="6"/>
      <c r="I1093" s="6"/>
      <c r="J1093" s="6"/>
      <c r="K1093" s="6"/>
    </row>
    <row r="1094" spans="1:11" s="1" customFormat="1" ht="13.2" x14ac:dyDescent="0.25">
      <c r="A1094" s="6"/>
      <c r="B1094" s="6"/>
      <c r="D1094" s="6"/>
      <c r="F1094" s="6"/>
      <c r="G1094" s="6"/>
      <c r="H1094" s="6"/>
      <c r="I1094" s="6"/>
      <c r="J1094" s="6"/>
      <c r="K1094" s="6"/>
    </row>
    <row r="1095" spans="1:11" s="1" customFormat="1" ht="13.2" x14ac:dyDescent="0.25">
      <c r="A1095" s="6"/>
      <c r="B1095" s="6"/>
      <c r="D1095" s="6"/>
      <c r="F1095" s="6"/>
      <c r="G1095" s="6"/>
      <c r="H1095" s="6"/>
      <c r="I1095" s="6"/>
      <c r="J1095" s="6"/>
      <c r="K1095" s="6"/>
    </row>
    <row r="1096" spans="1:11" s="1" customFormat="1" ht="13.2" x14ac:dyDescent="0.25">
      <c r="A1096" s="6"/>
      <c r="B1096" s="6"/>
      <c r="D1096" s="6"/>
      <c r="F1096" s="6"/>
      <c r="G1096" s="6"/>
      <c r="H1096" s="6"/>
      <c r="I1096" s="6"/>
      <c r="J1096" s="6"/>
      <c r="K1096" s="6"/>
    </row>
    <row r="1097" spans="1:11" s="1" customFormat="1" ht="13.2" x14ac:dyDescent="0.25">
      <c r="A1097" s="6"/>
      <c r="B1097" s="6"/>
      <c r="D1097" s="6"/>
      <c r="F1097" s="6"/>
      <c r="G1097" s="6"/>
      <c r="H1097" s="6"/>
      <c r="I1097" s="6"/>
      <c r="J1097" s="6"/>
      <c r="K1097" s="6"/>
    </row>
    <row r="1098" spans="1:11" s="1" customFormat="1" ht="13.2" x14ac:dyDescent="0.25">
      <c r="A1098" s="6"/>
      <c r="B1098" s="6"/>
      <c r="D1098" s="6"/>
      <c r="F1098" s="6"/>
      <c r="G1098" s="6"/>
      <c r="H1098" s="6"/>
      <c r="I1098" s="6"/>
      <c r="J1098" s="6"/>
      <c r="K1098" s="6"/>
    </row>
    <row r="1099" spans="1:11" s="1" customFormat="1" ht="13.2" x14ac:dyDescent="0.25">
      <c r="A1099" s="6"/>
      <c r="B1099" s="6"/>
      <c r="D1099" s="6"/>
      <c r="F1099" s="6"/>
      <c r="G1099" s="6"/>
      <c r="H1099" s="6"/>
      <c r="I1099" s="6"/>
      <c r="J1099" s="6"/>
      <c r="K1099" s="6"/>
    </row>
    <row r="1100" spans="1:11" s="1" customFormat="1" ht="13.2" x14ac:dyDescent="0.25">
      <c r="A1100" s="6"/>
      <c r="B1100" s="6"/>
      <c r="D1100" s="6"/>
      <c r="F1100" s="6"/>
      <c r="G1100" s="6"/>
      <c r="H1100" s="6"/>
      <c r="I1100" s="6"/>
      <c r="J1100" s="6"/>
      <c r="K1100" s="6"/>
    </row>
    <row r="1101" spans="1:11" s="1" customFormat="1" ht="13.2" x14ac:dyDescent="0.25">
      <c r="A1101" s="6"/>
      <c r="B1101" s="6"/>
      <c r="D1101" s="6"/>
      <c r="F1101" s="6"/>
      <c r="G1101" s="6"/>
      <c r="H1101" s="6"/>
      <c r="I1101" s="6"/>
      <c r="J1101" s="6"/>
      <c r="K1101" s="6"/>
    </row>
    <row r="1102" spans="1:11" s="1" customFormat="1" ht="13.2" x14ac:dyDescent="0.25">
      <c r="A1102" s="6"/>
      <c r="B1102" s="6"/>
      <c r="D1102" s="6"/>
      <c r="F1102" s="6"/>
      <c r="G1102" s="6"/>
      <c r="H1102" s="6"/>
      <c r="I1102" s="6"/>
      <c r="J1102" s="6"/>
      <c r="K1102" s="6"/>
    </row>
    <row r="1103" spans="1:11" s="1" customFormat="1" ht="13.2" x14ac:dyDescent="0.25">
      <c r="A1103" s="6"/>
      <c r="B1103" s="6"/>
      <c r="D1103" s="6"/>
      <c r="F1103" s="6"/>
      <c r="G1103" s="6"/>
      <c r="H1103" s="6"/>
      <c r="I1103" s="6"/>
      <c r="J1103" s="6"/>
      <c r="K1103" s="6"/>
    </row>
    <row r="1104" spans="1:11" s="1" customFormat="1" ht="13.2" x14ac:dyDescent="0.25">
      <c r="A1104" s="6"/>
      <c r="B1104" s="6"/>
      <c r="D1104" s="6"/>
      <c r="F1104" s="6"/>
      <c r="G1104" s="6"/>
      <c r="H1104" s="6"/>
      <c r="I1104" s="6"/>
      <c r="J1104" s="6"/>
      <c r="K1104" s="6"/>
    </row>
    <row r="1105" spans="1:11" s="1" customFormat="1" ht="13.2" x14ac:dyDescent="0.25">
      <c r="A1105" s="6"/>
      <c r="B1105" s="6"/>
      <c r="D1105" s="6"/>
      <c r="F1105" s="6"/>
      <c r="G1105" s="6"/>
      <c r="H1105" s="6"/>
      <c r="I1105" s="6"/>
      <c r="J1105" s="6"/>
      <c r="K1105" s="6"/>
    </row>
    <row r="1106" spans="1:11" s="1" customFormat="1" ht="13.2" x14ac:dyDescent="0.25">
      <c r="A1106" s="6"/>
      <c r="B1106" s="6"/>
      <c r="D1106" s="6"/>
      <c r="F1106" s="6"/>
      <c r="G1106" s="6"/>
      <c r="H1106" s="6"/>
      <c r="I1106" s="6"/>
      <c r="J1106" s="6"/>
      <c r="K1106" s="6"/>
    </row>
    <row r="1107" spans="1:11" s="1" customFormat="1" ht="13.2" x14ac:dyDescent="0.25">
      <c r="A1107" s="6"/>
      <c r="B1107" s="6"/>
      <c r="D1107" s="6"/>
      <c r="F1107" s="6"/>
      <c r="G1107" s="6"/>
      <c r="H1107" s="6"/>
      <c r="I1107" s="6"/>
      <c r="J1107" s="6"/>
      <c r="K1107" s="6"/>
    </row>
    <row r="1108" spans="1:11" s="1" customFormat="1" ht="13.2" x14ac:dyDescent="0.25">
      <c r="A1108" s="6"/>
      <c r="B1108" s="6"/>
      <c r="D1108" s="6"/>
      <c r="F1108" s="6"/>
      <c r="G1108" s="6"/>
      <c r="H1108" s="6"/>
      <c r="I1108" s="6"/>
      <c r="J1108" s="6"/>
      <c r="K1108" s="6"/>
    </row>
    <row r="1109" spans="1:11" s="1" customFormat="1" ht="13.2" x14ac:dyDescent="0.25">
      <c r="A1109" s="6"/>
      <c r="B1109" s="6"/>
      <c r="D1109" s="6"/>
      <c r="F1109" s="6"/>
      <c r="G1109" s="6"/>
      <c r="H1109" s="6"/>
      <c r="I1109" s="6"/>
      <c r="J1109" s="6"/>
      <c r="K1109" s="6"/>
    </row>
    <row r="1110" spans="1:11" s="1" customFormat="1" ht="13.2" x14ac:dyDescent="0.25">
      <c r="A1110" s="6"/>
      <c r="B1110" s="6"/>
      <c r="D1110" s="6"/>
      <c r="F1110" s="6"/>
      <c r="G1110" s="6"/>
      <c r="H1110" s="6"/>
      <c r="I1110" s="6"/>
      <c r="J1110" s="6"/>
      <c r="K1110" s="6"/>
    </row>
    <row r="1111" spans="1:11" s="1" customFormat="1" ht="13.2" x14ac:dyDescent="0.25">
      <c r="A1111" s="6"/>
      <c r="B1111" s="6"/>
      <c r="D1111" s="6"/>
      <c r="F1111" s="6"/>
      <c r="G1111" s="6"/>
      <c r="H1111" s="6"/>
      <c r="I1111" s="6"/>
      <c r="J1111" s="6"/>
      <c r="K1111" s="6"/>
    </row>
    <row r="1112" spans="1:11" s="1" customFormat="1" ht="13.2" x14ac:dyDescent="0.25">
      <c r="A1112" s="6"/>
      <c r="B1112" s="6"/>
      <c r="D1112" s="6"/>
      <c r="F1112" s="6"/>
      <c r="G1112" s="6"/>
      <c r="H1112" s="6"/>
      <c r="I1112" s="6"/>
      <c r="J1112" s="6"/>
      <c r="K1112" s="6"/>
    </row>
    <row r="1113" spans="1:11" s="1" customFormat="1" ht="13.2" x14ac:dyDescent="0.25">
      <c r="A1113" s="6"/>
      <c r="B1113" s="6"/>
      <c r="D1113" s="6"/>
      <c r="F1113" s="6"/>
      <c r="G1113" s="6"/>
      <c r="H1113" s="6"/>
      <c r="I1113" s="6"/>
      <c r="J1113" s="6"/>
      <c r="K1113" s="6"/>
    </row>
    <row r="1114" spans="1:11" s="1" customFormat="1" ht="13.2" x14ac:dyDescent="0.25">
      <c r="A1114" s="6"/>
      <c r="B1114" s="6"/>
      <c r="D1114" s="6"/>
      <c r="F1114" s="6"/>
      <c r="G1114" s="6"/>
      <c r="H1114" s="6"/>
      <c r="I1114" s="6"/>
      <c r="J1114" s="6"/>
      <c r="K1114" s="6"/>
    </row>
    <row r="1115" spans="1:11" s="1" customFormat="1" ht="13.2" x14ac:dyDescent="0.25">
      <c r="A1115" s="6"/>
      <c r="B1115" s="6"/>
      <c r="D1115" s="6"/>
      <c r="F1115" s="6"/>
      <c r="G1115" s="6"/>
      <c r="H1115" s="6"/>
      <c r="I1115" s="6"/>
      <c r="J1115" s="6"/>
      <c r="K1115" s="6"/>
    </row>
    <row r="1116" spans="1:11" s="1" customFormat="1" ht="13.2" x14ac:dyDescent="0.25">
      <c r="A1116" s="6"/>
      <c r="B1116" s="6"/>
      <c r="D1116" s="6"/>
      <c r="F1116" s="6"/>
      <c r="G1116" s="6"/>
      <c r="H1116" s="6"/>
      <c r="I1116" s="6"/>
      <c r="J1116" s="6"/>
      <c r="K1116" s="6"/>
    </row>
    <row r="1117" spans="1:11" s="1" customFormat="1" ht="13.2" x14ac:dyDescent="0.25">
      <c r="A1117" s="6"/>
      <c r="B1117" s="6"/>
      <c r="D1117" s="6"/>
      <c r="F1117" s="6"/>
      <c r="G1117" s="6"/>
      <c r="H1117" s="6"/>
      <c r="I1117" s="6"/>
      <c r="J1117" s="6"/>
      <c r="K1117" s="6"/>
    </row>
    <row r="1118" spans="1:11" s="1" customFormat="1" ht="13.2" x14ac:dyDescent="0.25">
      <c r="A1118" s="6"/>
      <c r="B1118" s="6"/>
      <c r="D1118" s="6"/>
      <c r="F1118" s="6"/>
      <c r="G1118" s="6"/>
      <c r="H1118" s="6"/>
      <c r="I1118" s="6"/>
      <c r="J1118" s="6"/>
      <c r="K1118" s="6"/>
    </row>
    <row r="1119" spans="1:11" s="1" customFormat="1" ht="13.2" x14ac:dyDescent="0.25">
      <c r="A1119" s="6"/>
      <c r="B1119" s="6"/>
      <c r="D1119" s="6"/>
      <c r="F1119" s="6"/>
      <c r="G1119" s="6"/>
      <c r="H1119" s="6"/>
      <c r="I1119" s="6"/>
      <c r="J1119" s="6"/>
      <c r="K1119" s="6"/>
    </row>
    <row r="1120" spans="1:11" s="1" customFormat="1" ht="13.2" x14ac:dyDescent="0.25">
      <c r="A1120" s="6"/>
      <c r="B1120" s="6"/>
      <c r="D1120" s="6"/>
      <c r="F1120" s="6"/>
      <c r="G1120" s="6"/>
      <c r="H1120" s="6"/>
      <c r="I1120" s="6"/>
      <c r="J1120" s="6"/>
      <c r="K1120" s="6"/>
    </row>
    <row r="1121" spans="1:11" s="1" customFormat="1" ht="13.2" x14ac:dyDescent="0.25">
      <c r="A1121" s="6"/>
      <c r="B1121" s="6"/>
      <c r="D1121" s="6"/>
      <c r="F1121" s="6"/>
      <c r="G1121" s="6"/>
      <c r="H1121" s="6"/>
      <c r="I1121" s="6"/>
      <c r="J1121" s="6"/>
      <c r="K1121" s="6"/>
    </row>
    <row r="1122" spans="1:11" s="1" customFormat="1" ht="13.2" x14ac:dyDescent="0.25">
      <c r="A1122" s="6"/>
      <c r="B1122" s="6"/>
      <c r="D1122" s="6"/>
      <c r="F1122" s="6"/>
      <c r="G1122" s="6"/>
      <c r="H1122" s="6"/>
      <c r="I1122" s="6"/>
      <c r="J1122" s="6"/>
      <c r="K1122" s="6"/>
    </row>
    <row r="1123" spans="1:11" s="1" customFormat="1" ht="13.2" x14ac:dyDescent="0.25">
      <c r="A1123" s="6"/>
      <c r="B1123" s="6"/>
      <c r="D1123" s="6"/>
      <c r="F1123" s="6"/>
      <c r="G1123" s="6"/>
      <c r="H1123" s="6"/>
      <c r="I1123" s="6"/>
      <c r="J1123" s="6"/>
      <c r="K1123" s="6"/>
    </row>
    <row r="1124" spans="1:11" s="1" customFormat="1" ht="13.2" x14ac:dyDescent="0.25">
      <c r="A1124" s="6"/>
      <c r="B1124" s="6"/>
      <c r="D1124" s="6"/>
      <c r="F1124" s="6"/>
      <c r="G1124" s="6"/>
      <c r="H1124" s="6"/>
      <c r="I1124" s="6"/>
      <c r="J1124" s="6"/>
      <c r="K1124" s="6"/>
    </row>
    <row r="1125" spans="1:11" s="1" customFormat="1" ht="13.2" x14ac:dyDescent="0.25">
      <c r="A1125" s="6"/>
      <c r="B1125" s="6"/>
      <c r="D1125" s="6"/>
      <c r="F1125" s="6"/>
      <c r="G1125" s="6"/>
      <c r="H1125" s="6"/>
      <c r="I1125" s="6"/>
      <c r="J1125" s="6"/>
      <c r="K1125" s="6"/>
    </row>
    <row r="1126" spans="1:11" s="1" customFormat="1" ht="13.2" x14ac:dyDescent="0.25">
      <c r="A1126" s="6"/>
      <c r="B1126" s="6"/>
      <c r="D1126" s="6"/>
      <c r="F1126" s="6"/>
      <c r="G1126" s="6"/>
      <c r="H1126" s="6"/>
      <c r="I1126" s="6"/>
      <c r="J1126" s="6"/>
      <c r="K1126" s="6"/>
    </row>
    <row r="1127" spans="1:11" s="1" customFormat="1" ht="13.2" x14ac:dyDescent="0.25">
      <c r="A1127" s="6"/>
      <c r="B1127" s="6"/>
      <c r="D1127" s="6"/>
      <c r="F1127" s="6"/>
      <c r="G1127" s="6"/>
      <c r="H1127" s="6"/>
      <c r="I1127" s="6"/>
      <c r="J1127" s="6"/>
      <c r="K1127" s="6"/>
    </row>
    <row r="1128" spans="1:11" s="1" customFormat="1" ht="13.2" x14ac:dyDescent="0.25">
      <c r="A1128" s="6"/>
      <c r="B1128" s="6"/>
      <c r="D1128" s="6"/>
      <c r="F1128" s="6"/>
      <c r="G1128" s="6"/>
      <c r="H1128" s="6"/>
      <c r="I1128" s="6"/>
      <c r="J1128" s="6"/>
      <c r="K1128" s="6"/>
    </row>
    <row r="1129" spans="1:11" s="1" customFormat="1" ht="13.2" x14ac:dyDescent="0.25">
      <c r="A1129" s="6"/>
      <c r="B1129" s="6"/>
      <c r="D1129" s="6"/>
      <c r="F1129" s="6"/>
      <c r="G1129" s="6"/>
      <c r="H1129" s="6"/>
      <c r="I1129" s="6"/>
      <c r="J1129" s="6"/>
      <c r="K1129" s="6"/>
    </row>
    <row r="1130" spans="1:11" s="1" customFormat="1" ht="13.2" x14ac:dyDescent="0.25">
      <c r="A1130" s="6"/>
      <c r="B1130" s="6"/>
      <c r="D1130" s="6"/>
      <c r="F1130" s="6"/>
      <c r="G1130" s="6"/>
      <c r="H1130" s="6"/>
      <c r="I1130" s="6"/>
      <c r="J1130" s="6"/>
      <c r="K1130" s="6"/>
    </row>
    <row r="1131" spans="1:11" s="1" customFormat="1" ht="13.2" x14ac:dyDescent="0.25">
      <c r="A1131" s="6"/>
      <c r="B1131" s="6"/>
      <c r="D1131" s="6"/>
      <c r="F1131" s="6"/>
      <c r="G1131" s="6"/>
      <c r="H1131" s="6"/>
      <c r="I1131" s="6"/>
      <c r="J1131" s="6"/>
      <c r="K1131" s="6"/>
    </row>
    <row r="1132" spans="1:11" s="1" customFormat="1" ht="13.2" x14ac:dyDescent="0.25">
      <c r="A1132" s="6"/>
      <c r="B1132" s="6"/>
      <c r="D1132" s="6"/>
      <c r="F1132" s="6"/>
      <c r="G1132" s="6"/>
      <c r="H1132" s="6"/>
      <c r="I1132" s="6"/>
      <c r="J1132" s="6"/>
      <c r="K1132" s="6"/>
    </row>
    <row r="1133" spans="1:11" s="1" customFormat="1" ht="13.2" x14ac:dyDescent="0.25">
      <c r="A1133" s="6"/>
      <c r="B1133" s="6"/>
      <c r="D1133" s="6"/>
      <c r="F1133" s="6"/>
      <c r="G1133" s="6"/>
      <c r="H1133" s="6"/>
      <c r="I1133" s="6"/>
      <c r="J1133" s="6"/>
      <c r="K1133" s="6"/>
    </row>
    <row r="1134" spans="1:11" s="1" customFormat="1" ht="13.2" x14ac:dyDescent="0.25">
      <c r="A1134" s="6"/>
      <c r="B1134" s="6"/>
      <c r="D1134" s="6"/>
      <c r="F1134" s="6"/>
      <c r="G1134" s="6"/>
      <c r="H1134" s="6"/>
      <c r="I1134" s="6"/>
      <c r="J1134" s="6"/>
      <c r="K1134" s="6"/>
    </row>
    <row r="1135" spans="1:11" s="1" customFormat="1" ht="13.2" x14ac:dyDescent="0.25">
      <c r="A1135" s="6"/>
      <c r="B1135" s="6"/>
      <c r="D1135" s="6"/>
      <c r="F1135" s="6"/>
      <c r="G1135" s="6"/>
      <c r="H1135" s="6"/>
      <c r="I1135" s="6"/>
      <c r="J1135" s="6"/>
      <c r="K1135" s="6"/>
    </row>
    <row r="1136" spans="1:11" s="1" customFormat="1" ht="13.2" x14ac:dyDescent="0.25">
      <c r="A1136" s="6"/>
      <c r="B1136" s="6"/>
      <c r="D1136" s="6"/>
      <c r="F1136" s="6"/>
      <c r="G1136" s="6"/>
      <c r="H1136" s="6"/>
      <c r="I1136" s="6"/>
      <c r="J1136" s="6"/>
      <c r="K1136" s="6"/>
    </row>
    <row r="1137" spans="1:11" s="1" customFormat="1" ht="13.2" x14ac:dyDescent="0.25">
      <c r="A1137" s="6"/>
      <c r="B1137" s="6"/>
      <c r="D1137" s="6"/>
      <c r="F1137" s="6"/>
      <c r="G1137" s="6"/>
      <c r="H1137" s="6"/>
      <c r="I1137" s="6"/>
      <c r="J1137" s="6"/>
      <c r="K1137" s="6"/>
    </row>
    <row r="1138" spans="1:11" s="1" customFormat="1" ht="13.2" x14ac:dyDescent="0.25">
      <c r="A1138" s="6"/>
      <c r="B1138" s="6"/>
      <c r="D1138" s="6"/>
      <c r="F1138" s="6"/>
      <c r="G1138" s="6"/>
      <c r="H1138" s="6"/>
      <c r="I1138" s="6"/>
      <c r="J1138" s="6"/>
      <c r="K1138" s="6"/>
    </row>
    <row r="1139" spans="1:11" s="1" customFormat="1" ht="13.2" x14ac:dyDescent="0.25">
      <c r="A1139" s="6"/>
      <c r="B1139" s="6"/>
      <c r="D1139" s="6"/>
      <c r="F1139" s="6"/>
      <c r="G1139" s="6"/>
      <c r="H1139" s="6"/>
      <c r="I1139" s="6"/>
      <c r="J1139" s="6"/>
      <c r="K1139" s="6"/>
    </row>
    <row r="1140" spans="1:11" s="1" customFormat="1" ht="13.2" x14ac:dyDescent="0.25">
      <c r="A1140" s="6"/>
      <c r="B1140" s="6"/>
      <c r="D1140" s="6"/>
      <c r="F1140" s="6"/>
      <c r="G1140" s="6"/>
      <c r="H1140" s="6"/>
      <c r="I1140" s="6"/>
      <c r="J1140" s="6"/>
      <c r="K1140" s="6"/>
    </row>
    <row r="1141" spans="1:11" s="1" customFormat="1" ht="13.2" x14ac:dyDescent="0.25">
      <c r="A1141" s="6"/>
      <c r="B1141" s="6"/>
      <c r="D1141" s="6"/>
      <c r="F1141" s="6"/>
      <c r="G1141" s="6"/>
      <c r="H1141" s="6"/>
      <c r="I1141" s="6"/>
      <c r="J1141" s="6"/>
      <c r="K1141" s="6"/>
    </row>
    <row r="1142" spans="1:11" s="1" customFormat="1" ht="13.2" x14ac:dyDescent="0.25">
      <c r="A1142" s="6"/>
      <c r="B1142" s="6"/>
      <c r="D1142" s="6"/>
      <c r="F1142" s="6"/>
      <c r="G1142" s="6"/>
      <c r="H1142" s="6"/>
      <c r="I1142" s="6"/>
      <c r="J1142" s="6"/>
      <c r="K1142" s="6"/>
    </row>
    <row r="1143" spans="1:11" s="1" customFormat="1" ht="13.2" x14ac:dyDescent="0.25">
      <c r="A1143" s="6"/>
      <c r="B1143" s="6"/>
      <c r="D1143" s="6"/>
      <c r="F1143" s="6"/>
      <c r="G1143" s="6"/>
      <c r="H1143" s="6"/>
      <c r="I1143" s="6"/>
      <c r="J1143" s="6"/>
      <c r="K1143" s="6"/>
    </row>
    <row r="1144" spans="1:11" s="1" customFormat="1" ht="13.2" x14ac:dyDescent="0.25">
      <c r="A1144" s="6"/>
      <c r="B1144" s="6"/>
      <c r="D1144" s="6"/>
      <c r="F1144" s="6"/>
      <c r="G1144" s="6"/>
      <c r="H1144" s="6"/>
      <c r="I1144" s="6"/>
      <c r="J1144" s="6"/>
      <c r="K1144" s="6"/>
    </row>
    <row r="1145" spans="1:11" s="1" customFormat="1" ht="13.2" x14ac:dyDescent="0.25">
      <c r="A1145" s="6"/>
      <c r="B1145" s="6"/>
      <c r="D1145" s="6"/>
      <c r="F1145" s="6"/>
      <c r="G1145" s="6"/>
      <c r="H1145" s="6"/>
      <c r="I1145" s="6"/>
      <c r="J1145" s="6"/>
      <c r="K1145" s="6"/>
    </row>
    <row r="1146" spans="1:11" s="1" customFormat="1" ht="13.2" x14ac:dyDescent="0.25">
      <c r="A1146" s="6"/>
      <c r="B1146" s="6"/>
      <c r="D1146" s="6"/>
      <c r="F1146" s="6"/>
      <c r="G1146" s="6"/>
      <c r="H1146" s="6"/>
      <c r="I1146" s="6"/>
      <c r="J1146" s="6"/>
      <c r="K1146" s="6"/>
    </row>
    <row r="1147" spans="1:11" s="1" customFormat="1" ht="13.2" x14ac:dyDescent="0.25">
      <c r="A1147" s="6"/>
      <c r="B1147" s="6"/>
      <c r="D1147" s="6"/>
      <c r="F1147" s="6"/>
      <c r="G1147" s="6"/>
      <c r="H1147" s="6"/>
      <c r="I1147" s="6"/>
      <c r="J1147" s="6"/>
      <c r="K1147" s="6"/>
    </row>
    <row r="1148" spans="1:11" s="1" customFormat="1" ht="13.2" x14ac:dyDescent="0.25">
      <c r="A1148" s="6"/>
      <c r="B1148" s="6"/>
      <c r="D1148" s="6"/>
      <c r="F1148" s="6"/>
      <c r="G1148" s="6"/>
      <c r="H1148" s="6"/>
      <c r="I1148" s="6"/>
      <c r="J1148" s="6"/>
      <c r="K1148" s="6"/>
    </row>
    <row r="1149" spans="1:11" s="1" customFormat="1" ht="13.2" x14ac:dyDescent="0.25">
      <c r="A1149" s="6"/>
      <c r="B1149" s="6"/>
      <c r="D1149" s="6"/>
      <c r="F1149" s="6"/>
      <c r="G1149" s="6"/>
      <c r="H1149" s="6"/>
      <c r="I1149" s="6"/>
      <c r="J1149" s="6"/>
      <c r="K1149" s="6"/>
    </row>
    <row r="1150" spans="1:11" s="1" customFormat="1" ht="13.2" x14ac:dyDescent="0.25">
      <c r="A1150" s="6"/>
      <c r="B1150" s="6"/>
      <c r="D1150" s="6"/>
      <c r="F1150" s="6"/>
      <c r="G1150" s="6"/>
      <c r="H1150" s="6"/>
      <c r="I1150" s="6"/>
      <c r="J1150" s="6"/>
      <c r="K1150" s="6"/>
    </row>
    <row r="1151" spans="1:11" s="1" customFormat="1" ht="13.2" x14ac:dyDescent="0.25">
      <c r="A1151" s="6"/>
      <c r="B1151" s="6"/>
      <c r="D1151" s="6"/>
      <c r="F1151" s="6"/>
      <c r="G1151" s="6"/>
      <c r="H1151" s="6"/>
      <c r="I1151" s="6"/>
      <c r="J1151" s="6"/>
      <c r="K1151" s="6"/>
    </row>
    <row r="1152" spans="1:11" s="1" customFormat="1" ht="13.2" x14ac:dyDescent="0.25">
      <c r="A1152" s="6"/>
      <c r="B1152" s="6"/>
      <c r="D1152" s="6"/>
      <c r="F1152" s="6"/>
      <c r="G1152" s="6"/>
      <c r="H1152" s="6"/>
      <c r="I1152" s="6"/>
      <c r="J1152" s="6"/>
      <c r="K1152" s="6"/>
    </row>
    <row r="1153" spans="1:11" s="1" customFormat="1" ht="13.2" x14ac:dyDescent="0.25">
      <c r="A1153" s="6"/>
      <c r="B1153" s="6"/>
      <c r="D1153" s="6"/>
      <c r="F1153" s="6"/>
      <c r="G1153" s="6"/>
      <c r="H1153" s="6"/>
      <c r="I1153" s="6"/>
      <c r="J1153" s="6"/>
      <c r="K1153" s="6"/>
    </row>
    <row r="1154" spans="1:11" s="1" customFormat="1" ht="13.2" x14ac:dyDescent="0.25">
      <c r="A1154" s="6"/>
      <c r="B1154" s="6"/>
      <c r="D1154" s="6"/>
      <c r="F1154" s="6"/>
      <c r="G1154" s="6"/>
      <c r="H1154" s="6"/>
      <c r="I1154" s="6"/>
      <c r="J1154" s="6"/>
      <c r="K1154" s="6"/>
    </row>
    <row r="1155" spans="1:11" s="1" customFormat="1" ht="13.2" x14ac:dyDescent="0.25">
      <c r="A1155" s="6"/>
      <c r="B1155" s="6"/>
      <c r="D1155" s="6"/>
      <c r="F1155" s="6"/>
      <c r="G1155" s="6"/>
      <c r="H1155" s="6"/>
      <c r="I1155" s="6"/>
      <c r="J1155" s="6"/>
      <c r="K1155" s="6"/>
    </row>
    <row r="1156" spans="1:11" s="1" customFormat="1" ht="13.2" x14ac:dyDescent="0.25">
      <c r="A1156" s="6"/>
      <c r="B1156" s="6"/>
      <c r="D1156" s="6"/>
      <c r="F1156" s="6"/>
      <c r="G1156" s="6"/>
      <c r="H1156" s="6"/>
      <c r="I1156" s="6"/>
      <c r="J1156" s="6"/>
      <c r="K1156" s="6"/>
    </row>
    <row r="1157" spans="1:11" s="1" customFormat="1" ht="13.2" x14ac:dyDescent="0.25">
      <c r="A1157" s="6"/>
      <c r="B1157" s="6"/>
      <c r="D1157" s="6"/>
      <c r="F1157" s="6"/>
      <c r="G1157" s="6"/>
      <c r="H1157" s="6"/>
      <c r="I1157" s="6"/>
      <c r="J1157" s="6"/>
      <c r="K1157" s="6"/>
    </row>
    <row r="1158" spans="1:11" s="1" customFormat="1" ht="13.2" x14ac:dyDescent="0.25">
      <c r="A1158" s="6"/>
      <c r="B1158" s="6"/>
      <c r="D1158" s="6"/>
      <c r="F1158" s="6"/>
      <c r="G1158" s="6"/>
      <c r="H1158" s="6"/>
      <c r="I1158" s="6"/>
      <c r="J1158" s="6"/>
      <c r="K1158" s="6"/>
    </row>
    <row r="1159" spans="1:11" s="1" customFormat="1" ht="13.2" x14ac:dyDescent="0.25">
      <c r="A1159" s="6"/>
      <c r="B1159" s="6"/>
      <c r="D1159" s="6"/>
      <c r="F1159" s="6"/>
      <c r="G1159" s="6"/>
      <c r="H1159" s="6"/>
      <c r="I1159" s="6"/>
      <c r="J1159" s="6"/>
      <c r="K1159" s="6"/>
    </row>
    <row r="1160" spans="1:11" s="1" customFormat="1" ht="13.2" x14ac:dyDescent="0.25">
      <c r="A1160" s="6"/>
      <c r="B1160" s="6"/>
      <c r="D1160" s="6"/>
      <c r="F1160" s="6"/>
      <c r="G1160" s="6"/>
      <c r="H1160" s="6"/>
      <c r="I1160" s="6"/>
      <c r="J1160" s="6"/>
      <c r="K1160" s="6"/>
    </row>
    <row r="1161" spans="1:11" s="1" customFormat="1" ht="13.2" x14ac:dyDescent="0.25">
      <c r="A1161" s="6"/>
      <c r="B1161" s="6"/>
      <c r="D1161" s="6"/>
      <c r="F1161" s="6"/>
      <c r="G1161" s="6"/>
      <c r="H1161" s="6"/>
      <c r="I1161" s="6"/>
      <c r="J1161" s="6"/>
      <c r="K1161" s="6"/>
    </row>
    <row r="1162" spans="1:11" s="1" customFormat="1" ht="13.2" x14ac:dyDescent="0.25">
      <c r="A1162" s="6"/>
      <c r="B1162" s="6"/>
      <c r="D1162" s="6"/>
      <c r="F1162" s="6"/>
      <c r="G1162" s="6"/>
      <c r="H1162" s="6"/>
      <c r="I1162" s="6"/>
      <c r="J1162" s="6"/>
      <c r="K1162" s="6"/>
    </row>
    <row r="1163" spans="1:11" s="1" customFormat="1" ht="13.2" x14ac:dyDescent="0.25">
      <c r="A1163" s="6"/>
      <c r="B1163" s="6"/>
      <c r="D1163" s="6"/>
      <c r="F1163" s="6"/>
      <c r="G1163" s="6"/>
      <c r="H1163" s="6"/>
      <c r="I1163" s="6"/>
      <c r="J1163" s="6"/>
      <c r="K1163" s="6"/>
    </row>
    <row r="1164" spans="1:11" s="1" customFormat="1" ht="13.2" x14ac:dyDescent="0.25">
      <c r="A1164" s="6"/>
      <c r="B1164" s="6"/>
      <c r="D1164" s="6"/>
      <c r="F1164" s="6"/>
      <c r="G1164" s="6"/>
      <c r="H1164" s="6"/>
      <c r="I1164" s="6"/>
      <c r="J1164" s="6"/>
      <c r="K1164" s="6"/>
    </row>
    <row r="1165" spans="1:11" s="1" customFormat="1" ht="13.2" x14ac:dyDescent="0.25">
      <c r="A1165" s="6"/>
      <c r="B1165" s="6"/>
      <c r="D1165" s="6"/>
      <c r="F1165" s="6"/>
      <c r="G1165" s="6"/>
      <c r="H1165" s="6"/>
      <c r="I1165" s="6"/>
      <c r="J1165" s="6"/>
      <c r="K1165" s="6"/>
    </row>
    <row r="1166" spans="1:11" s="1" customFormat="1" ht="13.2" x14ac:dyDescent="0.25">
      <c r="A1166" s="6"/>
      <c r="B1166" s="6"/>
      <c r="D1166" s="6"/>
      <c r="F1166" s="6"/>
      <c r="G1166" s="6"/>
      <c r="H1166" s="6"/>
      <c r="I1166" s="6"/>
      <c r="J1166" s="6"/>
      <c r="K1166" s="6"/>
    </row>
    <row r="1167" spans="1:11" s="1" customFormat="1" ht="13.2" x14ac:dyDescent="0.25">
      <c r="A1167" s="6"/>
      <c r="B1167" s="6"/>
      <c r="D1167" s="6"/>
      <c r="F1167" s="6"/>
      <c r="G1167" s="6"/>
      <c r="H1167" s="6"/>
      <c r="I1167" s="6"/>
      <c r="J1167" s="6"/>
      <c r="K1167" s="6"/>
    </row>
    <row r="1168" spans="1:11" s="1" customFormat="1" ht="13.2" x14ac:dyDescent="0.25">
      <c r="A1168" s="6"/>
      <c r="B1168" s="6"/>
      <c r="D1168" s="6"/>
      <c r="F1168" s="6"/>
      <c r="G1168" s="6"/>
      <c r="H1168" s="6"/>
      <c r="I1168" s="6"/>
      <c r="J1168" s="6"/>
      <c r="K1168" s="6"/>
    </row>
    <row r="1169" spans="1:11" s="1" customFormat="1" ht="13.2" x14ac:dyDescent="0.25">
      <c r="A1169" s="6"/>
      <c r="B1169" s="6"/>
      <c r="D1169" s="6"/>
      <c r="F1169" s="6"/>
      <c r="G1169" s="6"/>
      <c r="H1169" s="6"/>
      <c r="I1169" s="6"/>
      <c r="J1169" s="6"/>
      <c r="K1169" s="6"/>
    </row>
    <row r="1170" spans="1:11" s="1" customFormat="1" ht="13.2" x14ac:dyDescent="0.25">
      <c r="A1170" s="6"/>
      <c r="B1170" s="6"/>
      <c r="D1170" s="6"/>
      <c r="F1170" s="6"/>
      <c r="G1170" s="6"/>
      <c r="H1170" s="6"/>
      <c r="I1170" s="6"/>
      <c r="J1170" s="6"/>
      <c r="K1170" s="6"/>
    </row>
    <row r="1171" spans="1:11" s="1" customFormat="1" ht="13.2" x14ac:dyDescent="0.25">
      <c r="A1171" s="6"/>
      <c r="B1171" s="6"/>
      <c r="D1171" s="6"/>
      <c r="F1171" s="6"/>
      <c r="G1171" s="6"/>
      <c r="H1171" s="6"/>
      <c r="I1171" s="6"/>
      <c r="J1171" s="6"/>
      <c r="K1171" s="6"/>
    </row>
    <row r="1172" spans="1:11" s="1" customFormat="1" ht="13.2" x14ac:dyDescent="0.25">
      <c r="A1172" s="6"/>
      <c r="B1172" s="6"/>
      <c r="D1172" s="6"/>
      <c r="F1172" s="6"/>
      <c r="G1172" s="6"/>
      <c r="H1172" s="6"/>
      <c r="I1172" s="6"/>
      <c r="J1172" s="6"/>
      <c r="K1172" s="6"/>
    </row>
    <row r="1173" spans="1:11" s="1" customFormat="1" ht="13.2" x14ac:dyDescent="0.25">
      <c r="A1173" s="6"/>
      <c r="B1173" s="6"/>
      <c r="D1173" s="6"/>
      <c r="F1173" s="6"/>
      <c r="G1173" s="6"/>
      <c r="H1173" s="6"/>
      <c r="I1173" s="6"/>
      <c r="J1173" s="6"/>
      <c r="K1173" s="6"/>
    </row>
    <row r="1174" spans="1:11" s="1" customFormat="1" ht="13.2" x14ac:dyDescent="0.25">
      <c r="A1174" s="6"/>
      <c r="B1174" s="6"/>
      <c r="D1174" s="6"/>
      <c r="F1174" s="6"/>
      <c r="G1174" s="6"/>
      <c r="H1174" s="6"/>
      <c r="I1174" s="6"/>
      <c r="J1174" s="6"/>
      <c r="K1174" s="6"/>
    </row>
    <row r="1175" spans="1:11" s="1" customFormat="1" ht="13.2" x14ac:dyDescent="0.25">
      <c r="A1175" s="6"/>
      <c r="B1175" s="6"/>
      <c r="D1175" s="6"/>
      <c r="F1175" s="6"/>
      <c r="G1175" s="6"/>
      <c r="H1175" s="6"/>
      <c r="I1175" s="6"/>
      <c r="J1175" s="6"/>
      <c r="K1175" s="6"/>
    </row>
    <row r="1176" spans="1:11" s="1" customFormat="1" ht="13.2" x14ac:dyDescent="0.25">
      <c r="A1176" s="6"/>
      <c r="B1176" s="6"/>
      <c r="D1176" s="6"/>
      <c r="F1176" s="6"/>
      <c r="G1176" s="6"/>
      <c r="H1176" s="6"/>
      <c r="I1176" s="6"/>
      <c r="J1176" s="6"/>
      <c r="K1176" s="6"/>
    </row>
    <row r="1177" spans="1:11" s="1" customFormat="1" ht="13.2" x14ac:dyDescent="0.25">
      <c r="A1177" s="6"/>
      <c r="B1177" s="6"/>
      <c r="D1177" s="6"/>
      <c r="F1177" s="6"/>
      <c r="G1177" s="6"/>
      <c r="H1177" s="6"/>
      <c r="I1177" s="6"/>
      <c r="J1177" s="6"/>
      <c r="K1177" s="6"/>
    </row>
    <row r="1178" spans="1:11" s="1" customFormat="1" ht="13.2" x14ac:dyDescent="0.25">
      <c r="A1178" s="6"/>
      <c r="B1178" s="6"/>
      <c r="D1178" s="6"/>
      <c r="F1178" s="6"/>
      <c r="G1178" s="6"/>
      <c r="H1178" s="6"/>
      <c r="I1178" s="6"/>
      <c r="J1178" s="6"/>
      <c r="K1178" s="6"/>
    </row>
    <row r="1179" spans="1:11" s="1" customFormat="1" ht="13.2" x14ac:dyDescent="0.25">
      <c r="A1179" s="6"/>
      <c r="B1179" s="6"/>
      <c r="D1179" s="6"/>
      <c r="F1179" s="6"/>
      <c r="G1179" s="6"/>
      <c r="H1179" s="6"/>
      <c r="I1179" s="6"/>
      <c r="J1179" s="6"/>
      <c r="K1179" s="6"/>
    </row>
    <row r="1180" spans="1:11" s="1" customFormat="1" ht="13.2" x14ac:dyDescent="0.25">
      <c r="A1180" s="6"/>
      <c r="B1180" s="6"/>
      <c r="D1180" s="6"/>
      <c r="F1180" s="6"/>
      <c r="G1180" s="6"/>
      <c r="H1180" s="6"/>
      <c r="I1180" s="6"/>
      <c r="J1180" s="6"/>
      <c r="K1180" s="6"/>
    </row>
    <row r="1181" spans="1:11" s="1" customFormat="1" ht="13.2" x14ac:dyDescent="0.25">
      <c r="A1181" s="6"/>
      <c r="B1181" s="6"/>
      <c r="D1181" s="6"/>
      <c r="F1181" s="6"/>
      <c r="G1181" s="6"/>
      <c r="H1181" s="6"/>
      <c r="I1181" s="6"/>
      <c r="J1181" s="6"/>
      <c r="K1181" s="6"/>
    </row>
    <row r="1182" spans="1:11" s="1" customFormat="1" ht="13.2" x14ac:dyDescent="0.25">
      <c r="A1182" s="6"/>
      <c r="B1182" s="6"/>
      <c r="D1182" s="6"/>
      <c r="F1182" s="6"/>
      <c r="G1182" s="6"/>
      <c r="H1182" s="6"/>
      <c r="I1182" s="6"/>
      <c r="J1182" s="6"/>
      <c r="K1182" s="6"/>
    </row>
    <row r="1183" spans="1:11" s="1" customFormat="1" ht="13.2" x14ac:dyDescent="0.25">
      <c r="A1183" s="6"/>
      <c r="B1183" s="6"/>
      <c r="D1183" s="6"/>
      <c r="F1183" s="6"/>
      <c r="G1183" s="6"/>
      <c r="H1183" s="6"/>
      <c r="I1183" s="6"/>
      <c r="J1183" s="6"/>
      <c r="K1183" s="6"/>
    </row>
    <row r="1184" spans="1:11" s="1" customFormat="1" ht="13.2" x14ac:dyDescent="0.25">
      <c r="A1184" s="6"/>
      <c r="B1184" s="6"/>
      <c r="D1184" s="6"/>
      <c r="F1184" s="6"/>
      <c r="G1184" s="6"/>
      <c r="H1184" s="6"/>
      <c r="I1184" s="6"/>
      <c r="J1184" s="6"/>
      <c r="K1184" s="6"/>
    </row>
    <row r="1185" spans="1:11" s="1" customFormat="1" ht="13.2" x14ac:dyDescent="0.25">
      <c r="A1185" s="6"/>
      <c r="B1185" s="6"/>
      <c r="D1185" s="6"/>
      <c r="F1185" s="6"/>
      <c r="G1185" s="6"/>
      <c r="H1185" s="6"/>
      <c r="I1185" s="6"/>
      <c r="J1185" s="6"/>
      <c r="K1185" s="6"/>
    </row>
    <row r="1186" spans="1:11" s="1" customFormat="1" ht="13.2" x14ac:dyDescent="0.25">
      <c r="A1186" s="6"/>
      <c r="B1186" s="6"/>
      <c r="D1186" s="6"/>
      <c r="F1186" s="6"/>
      <c r="G1186" s="6"/>
      <c r="H1186" s="6"/>
      <c r="I1186" s="6"/>
      <c r="J1186" s="6"/>
      <c r="K1186" s="6"/>
    </row>
    <row r="1187" spans="1:11" s="1" customFormat="1" ht="13.2" x14ac:dyDescent="0.25">
      <c r="A1187" s="6"/>
      <c r="B1187" s="6"/>
      <c r="D1187" s="6"/>
      <c r="F1187" s="6"/>
      <c r="G1187" s="6"/>
      <c r="H1187" s="6"/>
      <c r="I1187" s="6"/>
      <c r="J1187" s="6"/>
      <c r="K1187" s="6"/>
    </row>
    <row r="1188" spans="1:11" s="1" customFormat="1" ht="13.2" x14ac:dyDescent="0.25">
      <c r="A1188" s="6"/>
      <c r="B1188" s="6"/>
      <c r="D1188" s="6"/>
      <c r="F1188" s="6"/>
      <c r="G1188" s="6"/>
      <c r="H1188" s="6"/>
      <c r="I1188" s="6"/>
      <c r="J1188" s="6"/>
      <c r="K1188" s="6"/>
    </row>
    <row r="1189" spans="1:11" s="1" customFormat="1" ht="13.2" x14ac:dyDescent="0.25">
      <c r="A1189" s="6"/>
      <c r="B1189" s="6"/>
      <c r="D1189" s="6"/>
      <c r="F1189" s="6"/>
      <c r="G1189" s="6"/>
      <c r="H1189" s="6"/>
      <c r="I1189" s="6"/>
      <c r="J1189" s="6"/>
      <c r="K1189" s="6"/>
    </row>
    <row r="1190" spans="1:11" s="1" customFormat="1" ht="13.2" x14ac:dyDescent="0.25">
      <c r="A1190" s="6"/>
      <c r="B1190" s="6"/>
      <c r="D1190" s="6"/>
      <c r="F1190" s="6"/>
      <c r="G1190" s="6"/>
      <c r="H1190" s="6"/>
      <c r="I1190" s="6"/>
      <c r="J1190" s="6"/>
      <c r="K1190" s="6"/>
    </row>
    <row r="1191" spans="1:11" s="1" customFormat="1" ht="13.2" x14ac:dyDescent="0.25">
      <c r="A1191" s="6"/>
      <c r="B1191" s="6"/>
      <c r="D1191" s="6"/>
      <c r="F1191" s="6"/>
      <c r="G1191" s="6"/>
      <c r="H1191" s="6"/>
      <c r="I1191" s="6"/>
      <c r="J1191" s="6"/>
      <c r="K1191" s="6"/>
    </row>
    <row r="1192" spans="1:11" s="1" customFormat="1" ht="13.2" x14ac:dyDescent="0.25">
      <c r="A1192" s="6"/>
      <c r="B1192" s="6"/>
      <c r="D1192" s="6"/>
      <c r="F1192" s="6"/>
      <c r="G1192" s="6"/>
      <c r="H1192" s="6"/>
      <c r="I1192" s="6"/>
      <c r="J1192" s="6"/>
      <c r="K1192" s="6"/>
    </row>
    <row r="1193" spans="1:11" s="1" customFormat="1" ht="13.2" x14ac:dyDescent="0.25">
      <c r="A1193" s="6"/>
      <c r="B1193" s="6"/>
      <c r="D1193" s="6"/>
      <c r="F1193" s="6"/>
      <c r="G1193" s="6"/>
      <c r="H1193" s="6"/>
      <c r="I1193" s="6"/>
      <c r="J1193" s="6"/>
      <c r="K1193" s="6"/>
    </row>
    <row r="1194" spans="1:11" s="1" customFormat="1" ht="13.2" x14ac:dyDescent="0.25">
      <c r="A1194" s="6"/>
      <c r="B1194" s="6"/>
      <c r="D1194" s="6"/>
      <c r="F1194" s="6"/>
      <c r="G1194" s="6"/>
      <c r="H1194" s="6"/>
      <c r="I1194" s="6"/>
      <c r="J1194" s="6"/>
      <c r="K1194" s="6"/>
    </row>
    <row r="1195" spans="1:11" s="1" customFormat="1" ht="13.2" x14ac:dyDescent="0.25">
      <c r="A1195" s="6"/>
      <c r="B1195" s="6"/>
      <c r="D1195" s="6"/>
      <c r="F1195" s="6"/>
      <c r="G1195" s="6"/>
      <c r="H1195" s="6"/>
      <c r="I1195" s="6"/>
      <c r="J1195" s="6"/>
      <c r="K1195" s="6"/>
    </row>
    <row r="1196" spans="1:11" s="1" customFormat="1" ht="13.2" x14ac:dyDescent="0.25">
      <c r="A1196" s="6"/>
      <c r="B1196" s="6"/>
      <c r="D1196" s="6"/>
      <c r="F1196" s="6"/>
      <c r="G1196" s="6"/>
      <c r="H1196" s="6"/>
      <c r="I1196" s="6"/>
      <c r="J1196" s="6"/>
      <c r="K1196" s="6"/>
    </row>
    <row r="1197" spans="1:11" s="1" customFormat="1" ht="13.2" x14ac:dyDescent="0.25">
      <c r="A1197" s="6"/>
      <c r="B1197" s="6"/>
      <c r="D1197" s="6"/>
      <c r="F1197" s="6"/>
      <c r="G1197" s="6"/>
      <c r="H1197" s="6"/>
      <c r="I1197" s="6"/>
      <c r="J1197" s="6"/>
      <c r="K1197" s="6"/>
    </row>
    <row r="1198" spans="1:11" s="1" customFormat="1" ht="13.2" x14ac:dyDescent="0.25">
      <c r="A1198" s="6"/>
      <c r="B1198" s="6"/>
      <c r="D1198" s="6"/>
      <c r="F1198" s="6"/>
      <c r="G1198" s="6"/>
      <c r="H1198" s="6"/>
      <c r="I1198" s="6"/>
      <c r="J1198" s="6"/>
      <c r="K1198" s="6"/>
    </row>
    <row r="1199" spans="1:11" s="1" customFormat="1" ht="13.2" x14ac:dyDescent="0.25">
      <c r="A1199" s="6"/>
      <c r="B1199" s="6"/>
      <c r="D1199" s="6"/>
      <c r="F1199" s="6"/>
      <c r="G1199" s="6"/>
      <c r="H1199" s="6"/>
      <c r="I1199" s="6"/>
      <c r="J1199" s="6"/>
      <c r="K1199" s="6"/>
    </row>
    <row r="1200" spans="1:11" s="1" customFormat="1" ht="13.2" x14ac:dyDescent="0.25">
      <c r="A1200" s="6"/>
      <c r="B1200" s="6"/>
      <c r="D1200" s="6"/>
      <c r="F1200" s="6"/>
      <c r="G1200" s="6"/>
      <c r="H1200" s="6"/>
      <c r="I1200" s="6"/>
      <c r="J1200" s="6"/>
      <c r="K1200" s="6"/>
    </row>
    <row r="1201" spans="1:11" s="1" customFormat="1" ht="13.2" x14ac:dyDescent="0.25">
      <c r="A1201" s="6"/>
      <c r="B1201" s="6"/>
      <c r="D1201" s="6"/>
      <c r="F1201" s="6"/>
      <c r="G1201" s="6"/>
      <c r="H1201" s="6"/>
      <c r="I1201" s="6"/>
      <c r="J1201" s="6"/>
      <c r="K1201" s="6"/>
    </row>
    <row r="1202" spans="1:11" s="1" customFormat="1" ht="13.2" x14ac:dyDescent="0.25">
      <c r="A1202" s="6"/>
      <c r="B1202" s="6"/>
      <c r="D1202" s="6"/>
      <c r="F1202" s="6"/>
      <c r="G1202" s="6"/>
      <c r="H1202" s="6"/>
      <c r="I1202" s="6"/>
      <c r="J1202" s="6"/>
      <c r="K1202" s="6"/>
    </row>
    <row r="1203" spans="1:11" s="1" customFormat="1" ht="13.2" x14ac:dyDescent="0.25">
      <c r="A1203" s="6"/>
      <c r="B1203" s="6"/>
      <c r="D1203" s="6"/>
      <c r="F1203" s="6"/>
      <c r="G1203" s="6"/>
      <c r="H1203" s="6"/>
      <c r="I1203" s="6"/>
      <c r="J1203" s="6"/>
      <c r="K1203" s="6"/>
    </row>
    <row r="1204" spans="1:11" s="1" customFormat="1" ht="13.2" x14ac:dyDescent="0.25">
      <c r="A1204" s="6"/>
      <c r="B1204" s="6"/>
      <c r="D1204" s="6"/>
      <c r="F1204" s="6"/>
      <c r="G1204" s="6"/>
      <c r="H1204" s="6"/>
      <c r="I1204" s="6"/>
      <c r="J1204" s="6"/>
      <c r="K1204" s="6"/>
    </row>
    <row r="1205" spans="1:11" s="1" customFormat="1" ht="13.2" x14ac:dyDescent="0.25">
      <c r="A1205" s="6"/>
      <c r="B1205" s="6"/>
      <c r="D1205" s="6"/>
      <c r="F1205" s="6"/>
      <c r="G1205" s="6"/>
      <c r="H1205" s="6"/>
      <c r="I1205" s="6"/>
      <c r="J1205" s="6"/>
      <c r="K1205" s="6"/>
    </row>
    <row r="1206" spans="1:11" s="1" customFormat="1" ht="13.2" x14ac:dyDescent="0.25">
      <c r="A1206" s="6"/>
      <c r="B1206" s="6"/>
      <c r="D1206" s="6"/>
      <c r="F1206" s="6"/>
      <c r="G1206" s="6"/>
      <c r="H1206" s="6"/>
      <c r="I1206" s="6"/>
      <c r="J1206" s="6"/>
      <c r="K1206" s="6"/>
    </row>
    <row r="1207" spans="1:11" s="1" customFormat="1" ht="13.2" x14ac:dyDescent="0.25">
      <c r="A1207" s="6"/>
      <c r="B1207" s="6"/>
      <c r="D1207" s="6"/>
      <c r="F1207" s="6"/>
      <c r="G1207" s="6"/>
      <c r="H1207" s="6"/>
      <c r="I1207" s="6"/>
      <c r="J1207" s="6"/>
      <c r="K1207" s="6"/>
    </row>
    <row r="1208" spans="1:11" s="1" customFormat="1" ht="13.2" x14ac:dyDescent="0.25">
      <c r="A1208" s="6"/>
      <c r="B1208" s="6"/>
      <c r="D1208" s="6"/>
      <c r="F1208" s="6"/>
      <c r="G1208" s="6"/>
      <c r="H1208" s="6"/>
      <c r="I1208" s="6"/>
      <c r="J1208" s="6"/>
      <c r="K1208" s="6"/>
    </row>
    <row r="1209" spans="1:11" s="1" customFormat="1" ht="13.2" x14ac:dyDescent="0.25">
      <c r="A1209" s="6"/>
      <c r="B1209" s="6"/>
      <c r="D1209" s="6"/>
      <c r="F1209" s="6"/>
      <c r="G1209" s="6"/>
      <c r="H1209" s="6"/>
      <c r="I1209" s="6"/>
      <c r="J1209" s="6"/>
      <c r="K1209" s="6"/>
    </row>
    <row r="1210" spans="1:11" s="1" customFormat="1" ht="13.2" x14ac:dyDescent="0.25">
      <c r="A1210" s="6"/>
      <c r="B1210" s="6"/>
      <c r="D1210" s="6"/>
      <c r="F1210" s="6"/>
      <c r="G1210" s="6"/>
      <c r="H1210" s="6"/>
      <c r="I1210" s="6"/>
      <c r="J1210" s="6"/>
      <c r="K1210" s="6"/>
    </row>
    <row r="1211" spans="1:11" s="1" customFormat="1" ht="13.2" x14ac:dyDescent="0.25">
      <c r="A1211" s="6"/>
      <c r="B1211" s="6"/>
      <c r="D1211" s="6"/>
      <c r="F1211" s="6"/>
      <c r="G1211" s="6"/>
      <c r="H1211" s="6"/>
      <c r="I1211" s="6"/>
      <c r="J1211" s="6"/>
      <c r="K1211" s="6"/>
    </row>
    <row r="1212" spans="1:11" s="1" customFormat="1" ht="13.2" x14ac:dyDescent="0.25">
      <c r="A1212" s="6"/>
      <c r="B1212" s="6"/>
      <c r="D1212" s="6"/>
      <c r="F1212" s="6"/>
      <c r="G1212" s="6"/>
      <c r="H1212" s="6"/>
      <c r="I1212" s="6"/>
      <c r="J1212" s="6"/>
      <c r="K1212" s="6"/>
    </row>
    <row r="1213" spans="1:11" s="1" customFormat="1" ht="13.2" x14ac:dyDescent="0.25">
      <c r="A1213" s="6"/>
      <c r="B1213" s="6"/>
      <c r="D1213" s="6"/>
      <c r="F1213" s="6"/>
      <c r="G1213" s="6"/>
      <c r="H1213" s="6"/>
      <c r="I1213" s="6"/>
      <c r="J1213" s="6"/>
      <c r="K1213" s="6"/>
    </row>
    <row r="1214" spans="1:11" s="1" customFormat="1" ht="13.2" x14ac:dyDescent="0.25">
      <c r="A1214" s="6"/>
      <c r="B1214" s="6"/>
      <c r="D1214" s="6"/>
      <c r="F1214" s="6"/>
      <c r="G1214" s="6"/>
      <c r="H1214" s="6"/>
      <c r="I1214" s="6"/>
      <c r="J1214" s="6"/>
      <c r="K1214" s="6"/>
    </row>
    <row r="1215" spans="1:11" s="1" customFormat="1" ht="13.2" x14ac:dyDescent="0.25">
      <c r="A1215" s="6"/>
      <c r="B1215" s="6"/>
      <c r="D1215" s="6"/>
      <c r="F1215" s="6"/>
      <c r="G1215" s="6"/>
      <c r="H1215" s="6"/>
      <c r="I1215" s="6"/>
      <c r="J1215" s="6"/>
      <c r="K1215" s="6"/>
    </row>
    <row r="1216" spans="1:11" s="1" customFormat="1" ht="13.2" x14ac:dyDescent="0.25">
      <c r="A1216" s="6"/>
      <c r="B1216" s="6"/>
      <c r="D1216" s="6"/>
      <c r="F1216" s="6"/>
      <c r="G1216" s="6"/>
      <c r="H1216" s="6"/>
      <c r="I1216" s="6"/>
      <c r="J1216" s="6"/>
      <c r="K1216" s="6"/>
    </row>
    <row r="1217" spans="1:11" s="1" customFormat="1" ht="13.2" x14ac:dyDescent="0.25">
      <c r="A1217" s="6"/>
      <c r="B1217" s="6"/>
      <c r="D1217" s="6"/>
      <c r="F1217" s="6"/>
      <c r="G1217" s="6"/>
      <c r="H1217" s="6"/>
      <c r="I1217" s="6"/>
      <c r="J1217" s="6"/>
      <c r="K1217" s="6"/>
    </row>
    <row r="1218" spans="1:11" s="1" customFormat="1" ht="13.2" x14ac:dyDescent="0.25">
      <c r="A1218" s="6"/>
      <c r="B1218" s="6"/>
      <c r="D1218" s="6"/>
      <c r="F1218" s="6"/>
      <c r="G1218" s="6"/>
      <c r="H1218" s="6"/>
      <c r="I1218" s="6"/>
      <c r="J1218" s="6"/>
      <c r="K1218" s="6"/>
    </row>
    <row r="1219" spans="1:11" s="1" customFormat="1" ht="13.2" x14ac:dyDescent="0.25">
      <c r="A1219" s="6"/>
      <c r="B1219" s="6"/>
      <c r="D1219" s="6"/>
      <c r="F1219" s="6"/>
      <c r="G1219" s="6"/>
      <c r="H1219" s="6"/>
      <c r="I1219" s="6"/>
      <c r="J1219" s="6"/>
      <c r="K1219" s="6"/>
    </row>
    <row r="1220" spans="1:11" s="1" customFormat="1" ht="13.2" x14ac:dyDescent="0.25">
      <c r="A1220" s="6"/>
      <c r="B1220" s="6"/>
      <c r="D1220" s="6"/>
      <c r="F1220" s="6"/>
      <c r="G1220" s="6"/>
      <c r="H1220" s="6"/>
      <c r="I1220" s="6"/>
      <c r="J1220" s="6"/>
      <c r="K1220" s="6"/>
    </row>
    <row r="1221" spans="1:11" s="1" customFormat="1" ht="13.2" x14ac:dyDescent="0.25">
      <c r="A1221" s="6"/>
      <c r="B1221" s="6"/>
      <c r="D1221" s="6"/>
      <c r="F1221" s="6"/>
      <c r="G1221" s="6"/>
      <c r="H1221" s="6"/>
      <c r="I1221" s="6"/>
      <c r="J1221" s="6"/>
      <c r="K1221" s="6"/>
    </row>
    <row r="1222" spans="1:11" s="1" customFormat="1" ht="13.2" x14ac:dyDescent="0.25">
      <c r="A1222" s="6"/>
      <c r="B1222" s="6"/>
      <c r="D1222" s="6"/>
      <c r="F1222" s="6"/>
      <c r="G1222" s="6"/>
      <c r="H1222" s="6"/>
      <c r="I1222" s="6"/>
      <c r="J1222" s="6"/>
      <c r="K1222" s="6"/>
    </row>
    <row r="1223" spans="1:11" s="1" customFormat="1" ht="13.2" x14ac:dyDescent="0.25">
      <c r="A1223" s="6"/>
      <c r="B1223" s="6"/>
      <c r="D1223" s="6"/>
      <c r="F1223" s="6"/>
      <c r="G1223" s="6"/>
      <c r="H1223" s="6"/>
      <c r="I1223" s="6"/>
      <c r="J1223" s="6"/>
      <c r="K1223" s="6"/>
    </row>
    <row r="1224" spans="1:11" s="1" customFormat="1" ht="13.2" x14ac:dyDescent="0.25">
      <c r="A1224" s="6"/>
      <c r="B1224" s="6"/>
      <c r="D1224" s="6"/>
      <c r="F1224" s="6"/>
      <c r="G1224" s="6"/>
      <c r="H1224" s="6"/>
      <c r="I1224" s="6"/>
      <c r="J1224" s="6"/>
      <c r="K1224" s="6"/>
    </row>
    <row r="1225" spans="1:11" s="1" customFormat="1" ht="13.2" x14ac:dyDescent="0.25">
      <c r="A1225" s="6"/>
      <c r="B1225" s="6"/>
      <c r="D1225" s="6"/>
      <c r="F1225" s="6"/>
      <c r="G1225" s="6"/>
      <c r="H1225" s="6"/>
      <c r="I1225" s="6"/>
      <c r="J1225" s="6"/>
      <c r="K1225" s="6"/>
    </row>
    <row r="1226" spans="1:11" s="1" customFormat="1" ht="13.2" x14ac:dyDescent="0.25">
      <c r="A1226" s="6"/>
      <c r="B1226" s="6"/>
      <c r="D1226" s="6"/>
      <c r="F1226" s="6"/>
      <c r="G1226" s="6"/>
      <c r="H1226" s="6"/>
      <c r="I1226" s="6"/>
      <c r="J1226" s="6"/>
      <c r="K1226" s="6"/>
    </row>
    <row r="1227" spans="1:11" s="1" customFormat="1" ht="13.2" x14ac:dyDescent="0.25">
      <c r="A1227" s="6"/>
      <c r="B1227" s="6"/>
      <c r="D1227" s="6"/>
      <c r="F1227" s="6"/>
      <c r="G1227" s="6"/>
      <c r="H1227" s="6"/>
      <c r="I1227" s="6"/>
      <c r="J1227" s="6"/>
      <c r="K1227" s="6"/>
    </row>
    <row r="1228" spans="1:11" s="1" customFormat="1" ht="13.2" x14ac:dyDescent="0.25">
      <c r="A1228" s="6"/>
      <c r="B1228" s="6"/>
      <c r="D1228" s="6"/>
      <c r="F1228" s="6"/>
      <c r="G1228" s="6"/>
      <c r="H1228" s="6"/>
      <c r="I1228" s="6"/>
      <c r="J1228" s="6"/>
      <c r="K1228" s="6"/>
    </row>
    <row r="1229" spans="1:11" s="1" customFormat="1" ht="13.2" x14ac:dyDescent="0.25">
      <c r="A1229" s="6"/>
      <c r="B1229" s="6"/>
      <c r="D1229" s="6"/>
      <c r="F1229" s="6"/>
      <c r="G1229" s="6"/>
      <c r="H1229" s="6"/>
      <c r="I1229" s="6"/>
      <c r="J1229" s="6"/>
      <c r="K1229" s="6"/>
    </row>
    <row r="1230" spans="1:11" s="1" customFormat="1" ht="13.2" x14ac:dyDescent="0.25">
      <c r="A1230" s="6"/>
      <c r="B1230" s="6"/>
      <c r="D1230" s="6"/>
      <c r="F1230" s="6"/>
      <c r="G1230" s="6"/>
      <c r="H1230" s="6"/>
      <c r="I1230" s="6"/>
      <c r="J1230" s="6"/>
      <c r="K1230" s="6"/>
    </row>
    <row r="1231" spans="1:11" s="1" customFormat="1" ht="13.2" x14ac:dyDescent="0.25">
      <c r="A1231" s="6"/>
      <c r="B1231" s="6"/>
      <c r="D1231" s="6"/>
      <c r="F1231" s="6"/>
      <c r="G1231" s="6"/>
      <c r="H1231" s="6"/>
      <c r="I1231" s="6"/>
      <c r="J1231" s="6"/>
      <c r="K1231" s="6"/>
    </row>
    <row r="1232" spans="1:11" s="1" customFormat="1" ht="13.2" x14ac:dyDescent="0.25">
      <c r="A1232" s="6"/>
      <c r="B1232" s="6"/>
      <c r="D1232" s="6"/>
      <c r="F1232" s="6"/>
      <c r="G1232" s="6"/>
      <c r="H1232" s="6"/>
      <c r="I1232" s="6"/>
      <c r="J1232" s="6"/>
      <c r="K1232" s="6"/>
    </row>
    <row r="1233" spans="1:11" s="1" customFormat="1" ht="13.2" x14ac:dyDescent="0.25">
      <c r="A1233" s="6"/>
      <c r="B1233" s="6"/>
      <c r="D1233" s="6"/>
      <c r="F1233" s="6"/>
      <c r="G1233" s="6"/>
      <c r="H1233" s="6"/>
      <c r="I1233" s="6"/>
      <c r="J1233" s="6"/>
      <c r="K1233" s="6"/>
    </row>
    <row r="1234" spans="1:11" s="1" customFormat="1" ht="13.2" x14ac:dyDescent="0.25">
      <c r="A1234" s="6"/>
      <c r="B1234" s="6"/>
      <c r="D1234" s="6"/>
      <c r="F1234" s="6"/>
      <c r="G1234" s="6"/>
      <c r="H1234" s="6"/>
      <c r="I1234" s="6"/>
      <c r="J1234" s="6"/>
      <c r="K1234" s="6"/>
    </row>
    <row r="1235" spans="1:11" s="1" customFormat="1" ht="13.2" x14ac:dyDescent="0.25">
      <c r="A1235" s="6"/>
      <c r="B1235" s="6"/>
      <c r="D1235" s="6"/>
      <c r="F1235" s="6"/>
      <c r="G1235" s="6"/>
      <c r="H1235" s="6"/>
      <c r="I1235" s="6"/>
      <c r="J1235" s="6"/>
      <c r="K1235" s="6"/>
    </row>
    <row r="1236" spans="1:11" s="1" customFormat="1" ht="13.2" x14ac:dyDescent="0.25">
      <c r="A1236" s="6"/>
      <c r="B1236" s="6"/>
      <c r="D1236" s="6"/>
      <c r="F1236" s="6"/>
      <c r="G1236" s="6"/>
      <c r="H1236" s="6"/>
      <c r="I1236" s="6"/>
      <c r="J1236" s="6"/>
      <c r="K1236" s="6"/>
    </row>
    <row r="1237" spans="1:11" s="1" customFormat="1" ht="13.2" x14ac:dyDescent="0.25">
      <c r="A1237" s="6"/>
      <c r="B1237" s="6"/>
      <c r="D1237" s="6"/>
      <c r="F1237" s="6"/>
      <c r="G1237" s="6"/>
      <c r="H1237" s="6"/>
      <c r="I1237" s="6"/>
      <c r="J1237" s="6"/>
      <c r="K1237" s="6"/>
    </row>
    <row r="1238" spans="1:11" s="1" customFormat="1" ht="13.2" x14ac:dyDescent="0.25">
      <c r="A1238" s="6"/>
      <c r="B1238" s="6"/>
      <c r="D1238" s="6"/>
      <c r="F1238" s="6"/>
      <c r="G1238" s="6"/>
      <c r="H1238" s="6"/>
      <c r="I1238" s="6"/>
      <c r="J1238" s="6"/>
      <c r="K1238" s="6"/>
    </row>
    <row r="1239" spans="1:11" s="1" customFormat="1" ht="13.2" x14ac:dyDescent="0.25">
      <c r="A1239" s="6"/>
      <c r="B1239" s="6"/>
      <c r="D1239" s="6"/>
      <c r="F1239" s="6"/>
      <c r="G1239" s="6"/>
      <c r="H1239" s="6"/>
      <c r="I1239" s="6"/>
      <c r="J1239" s="6"/>
      <c r="K1239" s="6"/>
    </row>
    <row r="1240" spans="1:11" s="1" customFormat="1" ht="13.2" x14ac:dyDescent="0.25">
      <c r="A1240" s="6"/>
      <c r="B1240" s="6"/>
      <c r="D1240" s="6"/>
      <c r="F1240" s="6"/>
      <c r="G1240" s="6"/>
      <c r="H1240" s="6"/>
      <c r="I1240" s="6"/>
      <c r="J1240" s="6"/>
      <c r="K1240" s="6"/>
    </row>
    <row r="1241" spans="1:11" s="1" customFormat="1" ht="13.2" x14ac:dyDescent="0.25">
      <c r="A1241" s="6"/>
      <c r="B1241" s="6"/>
      <c r="D1241" s="6"/>
      <c r="F1241" s="6"/>
      <c r="G1241" s="6"/>
      <c r="H1241" s="6"/>
      <c r="I1241" s="6"/>
      <c r="J1241" s="6"/>
      <c r="K1241" s="6"/>
    </row>
    <row r="1242" spans="1:11" s="1" customFormat="1" ht="13.2" x14ac:dyDescent="0.25">
      <c r="A1242" s="6"/>
      <c r="B1242" s="6"/>
      <c r="D1242" s="6"/>
      <c r="F1242" s="6"/>
      <c r="G1242" s="6"/>
      <c r="H1242" s="6"/>
      <c r="I1242" s="6"/>
      <c r="J1242" s="6"/>
      <c r="K1242" s="6"/>
    </row>
    <row r="1243" spans="1:11" s="1" customFormat="1" ht="13.2" x14ac:dyDescent="0.25">
      <c r="A1243" s="6"/>
      <c r="B1243" s="6"/>
      <c r="D1243" s="6"/>
      <c r="F1243" s="6"/>
      <c r="G1243" s="6"/>
      <c r="H1243" s="6"/>
      <c r="I1243" s="6"/>
      <c r="J1243" s="6"/>
      <c r="K1243" s="6"/>
    </row>
    <row r="1244" spans="1:11" s="1" customFormat="1" ht="13.2" x14ac:dyDescent="0.25">
      <c r="A1244" s="6"/>
      <c r="B1244" s="6"/>
      <c r="D1244" s="6"/>
      <c r="F1244" s="6"/>
      <c r="G1244" s="6"/>
      <c r="H1244" s="6"/>
      <c r="I1244" s="6"/>
      <c r="J1244" s="6"/>
      <c r="K1244" s="6"/>
    </row>
    <row r="1245" spans="1:11" s="1" customFormat="1" ht="13.2" x14ac:dyDescent="0.25">
      <c r="A1245" s="6"/>
      <c r="B1245" s="6"/>
      <c r="D1245" s="6"/>
      <c r="F1245" s="6"/>
      <c r="G1245" s="6"/>
      <c r="H1245" s="6"/>
      <c r="I1245" s="6"/>
      <c r="J1245" s="6"/>
      <c r="K1245" s="6"/>
    </row>
    <row r="1246" spans="1:11" s="1" customFormat="1" ht="13.2" x14ac:dyDescent="0.25">
      <c r="A1246" s="6"/>
      <c r="B1246" s="6"/>
      <c r="D1246" s="6"/>
      <c r="F1246" s="6"/>
      <c r="G1246" s="6"/>
      <c r="H1246" s="6"/>
      <c r="I1246" s="6"/>
      <c r="J1246" s="6"/>
      <c r="K1246" s="6"/>
    </row>
    <row r="1247" spans="1:11" s="1" customFormat="1" ht="13.2" x14ac:dyDescent="0.25">
      <c r="A1247" s="6"/>
      <c r="B1247" s="6"/>
      <c r="D1247" s="6"/>
      <c r="F1247" s="6"/>
      <c r="G1247" s="6"/>
      <c r="H1247" s="6"/>
      <c r="I1247" s="6"/>
      <c r="J1247" s="6"/>
      <c r="K1247" s="6"/>
    </row>
    <row r="1248" spans="1:11" s="1" customFormat="1" ht="13.2" x14ac:dyDescent="0.25">
      <c r="A1248" s="6"/>
      <c r="B1248" s="6"/>
      <c r="D1248" s="6"/>
      <c r="F1248" s="6"/>
      <c r="G1248" s="6"/>
      <c r="H1248" s="6"/>
      <c r="I1248" s="6"/>
      <c r="J1248" s="6"/>
      <c r="K1248" s="6"/>
    </row>
    <row r="1249" spans="1:11" s="1" customFormat="1" ht="13.2" x14ac:dyDescent="0.25">
      <c r="A1249" s="6"/>
      <c r="B1249" s="6"/>
      <c r="D1249" s="6"/>
      <c r="F1249" s="6"/>
      <c r="G1249" s="6"/>
      <c r="H1249" s="6"/>
      <c r="I1249" s="6"/>
      <c r="J1249" s="6"/>
      <c r="K1249" s="6"/>
    </row>
    <row r="1250" spans="1:11" s="1" customFormat="1" ht="13.2" x14ac:dyDescent="0.25">
      <c r="A1250" s="6"/>
      <c r="B1250" s="6"/>
      <c r="D1250" s="6"/>
      <c r="F1250" s="6"/>
      <c r="G1250" s="6"/>
      <c r="H1250" s="6"/>
      <c r="I1250" s="6"/>
      <c r="J1250" s="6"/>
      <c r="K1250" s="6"/>
    </row>
    <row r="1251" spans="1:11" s="1" customFormat="1" ht="13.2" x14ac:dyDescent="0.25">
      <c r="A1251" s="6"/>
      <c r="B1251" s="6"/>
      <c r="D1251" s="6"/>
      <c r="F1251" s="6"/>
      <c r="G1251" s="6"/>
      <c r="H1251" s="6"/>
      <c r="I1251" s="6"/>
      <c r="J1251" s="6"/>
      <c r="K1251" s="6"/>
    </row>
    <row r="1252" spans="1:11" s="1" customFormat="1" ht="13.2" x14ac:dyDescent="0.25">
      <c r="A1252" s="6"/>
      <c r="B1252" s="6"/>
      <c r="D1252" s="6"/>
      <c r="F1252" s="6"/>
      <c r="G1252" s="6"/>
      <c r="H1252" s="6"/>
      <c r="I1252" s="6"/>
      <c r="J1252" s="6"/>
      <c r="K1252" s="6"/>
    </row>
    <row r="1253" spans="1:11" s="1" customFormat="1" ht="13.2" x14ac:dyDescent="0.25">
      <c r="A1253" s="6"/>
      <c r="B1253" s="6"/>
      <c r="D1253" s="6"/>
      <c r="F1253" s="6"/>
      <c r="G1253" s="6"/>
      <c r="H1253" s="6"/>
      <c r="I1253" s="6"/>
      <c r="J1253" s="6"/>
      <c r="K1253" s="6"/>
    </row>
    <row r="1254" spans="1:11" s="1" customFormat="1" ht="13.2" x14ac:dyDescent="0.25">
      <c r="A1254" s="6"/>
      <c r="B1254" s="6"/>
      <c r="D1254" s="6"/>
      <c r="F1254" s="6"/>
      <c r="G1254" s="6"/>
      <c r="H1254" s="6"/>
      <c r="I1254" s="6"/>
      <c r="J1254" s="6"/>
      <c r="K1254" s="6"/>
    </row>
    <row r="1255" spans="1:11" s="1" customFormat="1" ht="13.2" x14ac:dyDescent="0.25">
      <c r="A1255" s="6"/>
      <c r="B1255" s="6"/>
      <c r="D1255" s="6"/>
      <c r="F1255" s="6"/>
      <c r="G1255" s="6"/>
      <c r="H1255" s="6"/>
      <c r="I1255" s="6"/>
      <c r="J1255" s="6"/>
      <c r="K1255" s="6"/>
    </row>
    <row r="1256" spans="1:11" s="1" customFormat="1" ht="13.2" x14ac:dyDescent="0.25">
      <c r="A1256" s="6"/>
      <c r="B1256" s="6"/>
      <c r="D1256" s="6"/>
      <c r="F1256" s="6"/>
      <c r="G1256" s="6"/>
      <c r="H1256" s="6"/>
      <c r="I1256" s="6"/>
      <c r="J1256" s="6"/>
      <c r="K1256" s="6"/>
    </row>
    <row r="1257" spans="1:11" s="1" customFormat="1" ht="13.2" x14ac:dyDescent="0.25">
      <c r="A1257" s="6"/>
      <c r="B1257" s="6"/>
      <c r="D1257" s="6"/>
      <c r="F1257" s="6"/>
      <c r="G1257" s="6"/>
      <c r="H1257" s="6"/>
      <c r="I1257" s="6"/>
      <c r="J1257" s="6"/>
      <c r="K1257" s="6"/>
    </row>
    <row r="1258" spans="1:11" s="1" customFormat="1" ht="13.2" x14ac:dyDescent="0.25">
      <c r="A1258" s="6"/>
      <c r="B1258" s="6"/>
      <c r="D1258" s="6"/>
      <c r="F1258" s="6"/>
      <c r="G1258" s="6"/>
      <c r="H1258" s="6"/>
      <c r="I1258" s="6"/>
      <c r="J1258" s="6"/>
      <c r="K1258" s="6"/>
    </row>
    <row r="1259" spans="1:11" s="1" customFormat="1" ht="13.2" x14ac:dyDescent="0.25">
      <c r="A1259" s="6"/>
      <c r="B1259" s="6"/>
      <c r="D1259" s="6"/>
      <c r="F1259" s="6"/>
      <c r="G1259" s="6"/>
      <c r="H1259" s="6"/>
      <c r="I1259" s="6"/>
      <c r="J1259" s="6"/>
      <c r="K1259" s="6"/>
    </row>
    <row r="1260" spans="1:11" s="1" customFormat="1" ht="13.2" x14ac:dyDescent="0.25">
      <c r="A1260" s="6"/>
      <c r="B1260" s="6"/>
      <c r="D1260" s="6"/>
      <c r="F1260" s="6"/>
      <c r="G1260" s="6"/>
      <c r="H1260" s="6"/>
      <c r="I1260" s="6"/>
      <c r="J1260" s="6"/>
      <c r="K1260" s="6"/>
    </row>
    <row r="1261" spans="1:11" s="1" customFormat="1" ht="13.2" x14ac:dyDescent="0.25">
      <c r="A1261" s="6"/>
      <c r="B1261" s="6"/>
      <c r="D1261" s="6"/>
      <c r="F1261" s="6"/>
      <c r="G1261" s="6"/>
      <c r="H1261" s="6"/>
      <c r="I1261" s="6"/>
      <c r="J1261" s="6"/>
      <c r="K1261" s="6"/>
    </row>
    <row r="1262" spans="1:11" s="1" customFormat="1" ht="13.2" x14ac:dyDescent="0.25">
      <c r="A1262" s="6"/>
      <c r="B1262" s="6"/>
      <c r="D1262" s="6"/>
      <c r="F1262" s="6"/>
      <c r="G1262" s="6"/>
      <c r="H1262" s="6"/>
      <c r="I1262" s="6"/>
      <c r="J1262" s="6"/>
      <c r="K1262" s="6"/>
    </row>
    <row r="1263" spans="1:11" s="1" customFormat="1" ht="13.2" x14ac:dyDescent="0.25">
      <c r="A1263" s="6"/>
      <c r="B1263" s="6"/>
      <c r="D1263" s="6"/>
      <c r="F1263" s="6"/>
      <c r="G1263" s="6"/>
      <c r="H1263" s="6"/>
      <c r="I1263" s="6"/>
      <c r="J1263" s="6"/>
      <c r="K1263" s="6"/>
    </row>
    <row r="1264" spans="1:11" s="1" customFormat="1" ht="13.2" x14ac:dyDescent="0.25">
      <c r="A1264" s="6"/>
      <c r="B1264" s="6"/>
      <c r="D1264" s="6"/>
      <c r="F1264" s="6"/>
      <c r="G1264" s="6"/>
      <c r="H1264" s="6"/>
      <c r="I1264" s="6"/>
      <c r="J1264" s="6"/>
      <c r="K1264" s="6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32"/>
  <sheetViews>
    <sheetView zoomScale="85" zoomScaleNormal="85" workbookViewId="0">
      <pane ySplit="1" topLeftCell="A2" activePane="bottomLeft" state="frozen"/>
      <selection pane="bottomLeft" activeCell="H7" sqref="H7"/>
    </sheetView>
  </sheetViews>
  <sheetFormatPr defaultColWidth="11.5546875" defaultRowHeight="13.2" x14ac:dyDescent="0.25"/>
  <cols>
    <col min="1" max="1" width="6" style="6" customWidth="1"/>
    <col min="2" max="2" width="6.5546875" style="6" customWidth="1"/>
    <col min="3" max="3" width="6.88671875" style="1" customWidth="1"/>
    <col min="4" max="4" width="15.33203125" style="1" customWidth="1"/>
    <col min="5" max="11" width="6" style="1" customWidth="1"/>
    <col min="12" max="12" width="13.33203125" style="1" customWidth="1"/>
    <col min="13" max="13" width="11.6640625" style="1" customWidth="1"/>
    <col min="14" max="15" width="6" style="1" customWidth="1"/>
    <col min="16" max="16" width="10.44140625" style="9" customWidth="1"/>
    <col min="17" max="17" width="8.6640625" style="1" customWidth="1"/>
    <col min="18" max="18" width="6" style="1" customWidth="1"/>
    <col min="19" max="19" width="5" style="1" customWidth="1"/>
    <col min="20" max="20" width="6" style="1" customWidth="1"/>
    <col min="21" max="21" width="8.88671875" style="6" customWidth="1"/>
    <col min="22" max="22" width="6.5546875" style="6" customWidth="1"/>
    <col min="23" max="24" width="11.5546875" style="8"/>
  </cols>
  <sheetData>
    <row r="1" spans="1:25" ht="36.6" customHeight="1" x14ac:dyDescent="0.2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s="23" customFormat="1" ht="15.6" x14ac:dyDescent="0.25">
      <c r="A2" s="33" t="s">
        <v>1909</v>
      </c>
      <c r="B2" s="33" t="s">
        <v>1910</v>
      </c>
      <c r="C2" s="25" t="s">
        <v>1912</v>
      </c>
      <c r="D2" s="25" t="s">
        <v>1911</v>
      </c>
      <c r="E2" s="26" t="s">
        <v>1899</v>
      </c>
      <c r="F2" s="26" t="s">
        <v>1900</v>
      </c>
      <c r="G2" s="26" t="s">
        <v>1901</v>
      </c>
      <c r="H2" s="26" t="s">
        <v>1902</v>
      </c>
      <c r="I2" s="26" t="s">
        <v>1903</v>
      </c>
      <c r="J2" s="26" t="s">
        <v>1904</v>
      </c>
      <c r="K2" s="26" t="s">
        <v>1905</v>
      </c>
      <c r="L2" s="33" t="s">
        <v>1913</v>
      </c>
      <c r="M2" s="33" t="s">
        <v>1914</v>
      </c>
      <c r="N2" s="26" t="s">
        <v>1906</v>
      </c>
      <c r="O2" s="26" t="s">
        <v>1907</v>
      </c>
      <c r="P2" s="36" t="s">
        <v>1915</v>
      </c>
      <c r="Q2" s="33" t="s">
        <v>1916</v>
      </c>
      <c r="R2" s="28" t="s">
        <v>23</v>
      </c>
      <c r="S2" s="28" t="s">
        <v>24</v>
      </c>
      <c r="T2" s="28" t="s">
        <v>1908</v>
      </c>
      <c r="U2" s="28" t="s">
        <v>1917</v>
      </c>
      <c r="V2" s="28" t="s">
        <v>1918</v>
      </c>
      <c r="W2" s="28" t="s">
        <v>1919</v>
      </c>
      <c r="X2" s="28" t="s">
        <v>1920</v>
      </c>
      <c r="Y2" s="28" t="s">
        <v>1921</v>
      </c>
    </row>
    <row r="3" spans="1:25" x14ac:dyDescent="0.25">
      <c r="A3" s="24" t="s">
        <v>1</v>
      </c>
      <c r="B3" s="24" t="s">
        <v>2</v>
      </c>
      <c r="C3" s="27" t="s">
        <v>917</v>
      </c>
      <c r="D3" s="27" t="s">
        <v>1152</v>
      </c>
      <c r="E3" s="29">
        <v>82.3</v>
      </c>
      <c r="F3" s="29">
        <v>213.4</v>
      </c>
      <c r="G3" s="29">
        <v>287.10000000000002</v>
      </c>
      <c r="H3" s="29">
        <v>295.5</v>
      </c>
      <c r="I3" s="29">
        <v>171.2</v>
      </c>
      <c r="J3" s="29">
        <v>55.1</v>
      </c>
      <c r="K3" s="29">
        <v>79.900000000000006</v>
      </c>
      <c r="L3" s="27" t="s">
        <v>26</v>
      </c>
      <c r="M3" s="27" t="s">
        <v>26</v>
      </c>
      <c r="N3" s="30">
        <v>197.5</v>
      </c>
      <c r="O3" s="30">
        <v>199.1</v>
      </c>
      <c r="P3" s="31" t="s">
        <v>27</v>
      </c>
      <c r="Q3" s="27" t="s">
        <v>27</v>
      </c>
      <c r="R3" s="29">
        <v>4.6900000000000004</v>
      </c>
      <c r="S3" s="29">
        <v>5.41</v>
      </c>
      <c r="T3" s="29">
        <v>18.2</v>
      </c>
      <c r="U3" s="24" t="s">
        <v>28</v>
      </c>
      <c r="V3" s="24" t="s">
        <v>28</v>
      </c>
      <c r="W3" s="29">
        <v>38.779717391304303</v>
      </c>
      <c r="X3" s="32">
        <v>4.8310387627827698</v>
      </c>
      <c r="Y3" s="24">
        <v>0</v>
      </c>
    </row>
    <row r="4" spans="1:25" x14ac:dyDescent="0.25">
      <c r="A4" s="24" t="s">
        <v>29</v>
      </c>
      <c r="B4" s="24" t="s">
        <v>3</v>
      </c>
      <c r="C4" s="27" t="s">
        <v>81</v>
      </c>
      <c r="D4" s="27" t="s">
        <v>1153</v>
      </c>
      <c r="E4" s="29">
        <v>82.6</v>
      </c>
      <c r="F4" s="29">
        <v>199.8</v>
      </c>
      <c r="G4" s="29">
        <v>282.39999999999998</v>
      </c>
      <c r="H4" s="29">
        <v>141.5</v>
      </c>
      <c r="I4" s="29">
        <v>200.5</v>
      </c>
      <c r="J4" s="29">
        <v>177.7</v>
      </c>
      <c r="K4" s="29">
        <v>83.3</v>
      </c>
      <c r="L4" s="27" t="s">
        <v>26</v>
      </c>
      <c r="M4" s="27" t="s">
        <v>26</v>
      </c>
      <c r="N4" s="30">
        <v>213.1</v>
      </c>
      <c r="O4" s="30">
        <v>186.9</v>
      </c>
      <c r="P4" s="31" t="s">
        <v>27</v>
      </c>
      <c r="Q4" s="27" t="s">
        <v>27</v>
      </c>
      <c r="R4" s="29">
        <v>4.3600000000000003</v>
      </c>
      <c r="S4" s="29">
        <v>4.99</v>
      </c>
      <c r="T4" s="29">
        <v>15</v>
      </c>
      <c r="U4" s="24" t="s">
        <v>35</v>
      </c>
      <c r="V4" s="24" t="s">
        <v>35</v>
      </c>
      <c r="W4" s="29">
        <v>17.182243083004</v>
      </c>
      <c r="X4" s="32">
        <v>6.9615246332235499</v>
      </c>
      <c r="Y4" s="24">
        <v>2</v>
      </c>
    </row>
    <row r="5" spans="1:25" x14ac:dyDescent="0.25">
      <c r="A5" s="24" t="s">
        <v>1140</v>
      </c>
      <c r="B5" s="24" t="s">
        <v>4</v>
      </c>
      <c r="C5" s="27" t="s">
        <v>1121</v>
      </c>
      <c r="D5" s="27" t="s">
        <v>1160</v>
      </c>
      <c r="E5" s="29">
        <v>80.2</v>
      </c>
      <c r="F5" s="29">
        <v>213.7</v>
      </c>
      <c r="G5" s="29">
        <v>206.5</v>
      </c>
      <c r="H5" s="29">
        <v>312.60000000000002</v>
      </c>
      <c r="I5" s="29">
        <v>165.9</v>
      </c>
      <c r="J5" s="29">
        <v>52.1</v>
      </c>
      <c r="K5" s="29">
        <v>76.900000000000006</v>
      </c>
      <c r="L5" s="27" t="s">
        <v>26</v>
      </c>
      <c r="M5" s="27" t="s">
        <v>26</v>
      </c>
      <c r="N5" s="30">
        <v>204.5</v>
      </c>
      <c r="O5" s="30">
        <v>188.3</v>
      </c>
      <c r="P5" s="31" t="s">
        <v>27</v>
      </c>
      <c r="Q5" s="27" t="s">
        <v>27</v>
      </c>
      <c r="R5" s="29">
        <v>8.7799999999999994</v>
      </c>
      <c r="S5" s="29">
        <v>8.09</v>
      </c>
      <c r="T5" s="29">
        <v>325.2</v>
      </c>
      <c r="U5" s="24" t="s">
        <v>31</v>
      </c>
      <c r="V5" s="24" t="s">
        <v>31</v>
      </c>
      <c r="W5" s="29"/>
      <c r="X5" s="32"/>
      <c r="Y5" s="24">
        <v>10</v>
      </c>
    </row>
    <row r="6" spans="1:25" x14ac:dyDescent="0.25">
      <c r="A6" s="24" t="s">
        <v>14</v>
      </c>
      <c r="B6" s="24" t="s">
        <v>3</v>
      </c>
      <c r="C6" s="27" t="s">
        <v>849</v>
      </c>
      <c r="D6" s="27" t="s">
        <v>1159</v>
      </c>
      <c r="E6" s="29">
        <v>73.900000000000006</v>
      </c>
      <c r="F6" s="29">
        <v>198.2</v>
      </c>
      <c r="G6" s="29">
        <v>296.2</v>
      </c>
      <c r="H6" s="29">
        <v>205.8</v>
      </c>
      <c r="I6" s="29">
        <v>171</v>
      </c>
      <c r="J6" s="29">
        <v>137.5</v>
      </c>
      <c r="K6" s="29">
        <v>89</v>
      </c>
      <c r="L6" s="27" t="s">
        <v>26</v>
      </c>
      <c r="M6" s="27" t="s">
        <v>61</v>
      </c>
      <c r="N6" s="30">
        <v>189.3</v>
      </c>
      <c r="O6" s="30">
        <v>182.1</v>
      </c>
      <c r="P6" s="31" t="s">
        <v>27</v>
      </c>
      <c r="Q6" s="27" t="s">
        <v>27</v>
      </c>
      <c r="R6" s="29">
        <v>4.99</v>
      </c>
      <c r="S6" s="29">
        <v>5.69</v>
      </c>
      <c r="T6" s="29">
        <v>19.7</v>
      </c>
      <c r="U6" s="24" t="s">
        <v>28</v>
      </c>
      <c r="V6" s="24" t="s">
        <v>31</v>
      </c>
      <c r="W6" s="29">
        <v>60.9195158102767</v>
      </c>
      <c r="X6" s="32">
        <v>3.4320036404095999</v>
      </c>
      <c r="Y6" s="24">
        <v>9</v>
      </c>
    </row>
    <row r="7" spans="1:25" x14ac:dyDescent="0.25">
      <c r="A7" s="24" t="s">
        <v>18</v>
      </c>
      <c r="B7" s="24" t="s">
        <v>3</v>
      </c>
      <c r="C7" s="27" t="s">
        <v>1106</v>
      </c>
      <c r="D7" s="27" t="s">
        <v>1169</v>
      </c>
      <c r="E7" s="29">
        <v>100.4</v>
      </c>
      <c r="F7" s="29">
        <v>260.5</v>
      </c>
      <c r="G7" s="29">
        <v>264.7</v>
      </c>
      <c r="H7" s="29">
        <v>84.7</v>
      </c>
      <c r="I7" s="29">
        <v>225.3</v>
      </c>
      <c r="J7" s="29">
        <v>222.7</v>
      </c>
      <c r="K7" s="29">
        <v>87.6</v>
      </c>
      <c r="L7" s="27" t="s">
        <v>61</v>
      </c>
      <c r="M7" s="27" t="s">
        <v>61</v>
      </c>
      <c r="N7" s="30">
        <v>180.3</v>
      </c>
      <c r="O7" s="30">
        <v>180.8</v>
      </c>
      <c r="P7" s="31" t="s">
        <v>27</v>
      </c>
      <c r="Q7" s="27" t="s">
        <v>27</v>
      </c>
      <c r="R7" s="29">
        <v>4.72</v>
      </c>
      <c r="S7" s="29">
        <v>5.31</v>
      </c>
      <c r="T7" s="29">
        <v>14.9</v>
      </c>
      <c r="U7" s="24" t="s">
        <v>35</v>
      </c>
      <c r="V7" s="24" t="s">
        <v>35</v>
      </c>
      <c r="W7" s="29">
        <v>65.334782608695704</v>
      </c>
      <c r="X7" s="32">
        <v>11.1065715932929</v>
      </c>
      <c r="Y7" s="24">
        <v>21</v>
      </c>
    </row>
    <row r="8" spans="1:25" x14ac:dyDescent="0.25">
      <c r="A8" s="24" t="s">
        <v>5</v>
      </c>
      <c r="B8" s="24" t="s">
        <v>6</v>
      </c>
      <c r="C8" s="27" t="s">
        <v>32</v>
      </c>
      <c r="D8" s="27" t="s">
        <v>33</v>
      </c>
      <c r="E8" s="29">
        <v>85.9</v>
      </c>
      <c r="F8" s="29">
        <v>219.8</v>
      </c>
      <c r="G8" s="29">
        <v>289.3</v>
      </c>
      <c r="H8" s="29">
        <v>305.3</v>
      </c>
      <c r="I8" s="29">
        <v>181.9</v>
      </c>
      <c r="J8" s="29">
        <v>58.7</v>
      </c>
      <c r="K8" s="29">
        <v>142.19999999999999</v>
      </c>
      <c r="L8" s="27" t="s">
        <v>26</v>
      </c>
      <c r="M8" s="27" t="s">
        <v>34</v>
      </c>
      <c r="N8" s="30">
        <v>190.9</v>
      </c>
      <c r="O8" s="30">
        <v>231.8</v>
      </c>
      <c r="P8" s="31" t="s">
        <v>27</v>
      </c>
      <c r="Q8" s="27" t="s">
        <v>27</v>
      </c>
      <c r="R8" s="29">
        <v>4.8499999999999996</v>
      </c>
      <c r="S8" s="29">
        <v>5.76</v>
      </c>
      <c r="T8" s="29">
        <v>12.2</v>
      </c>
      <c r="U8" s="24" t="s">
        <v>35</v>
      </c>
      <c r="V8" s="24" t="s">
        <v>35</v>
      </c>
      <c r="W8" s="29">
        <v>30.585869565217401</v>
      </c>
      <c r="X8" s="32">
        <v>6.46553174184029</v>
      </c>
      <c r="Y8" s="24">
        <v>1</v>
      </c>
    </row>
    <row r="9" spans="1:25" x14ac:dyDescent="0.25">
      <c r="A9" s="33" t="s">
        <v>1141</v>
      </c>
      <c r="B9" s="24" t="s">
        <v>6</v>
      </c>
      <c r="C9" s="27" t="s">
        <v>953</v>
      </c>
      <c r="D9" s="27" t="s">
        <v>1162</v>
      </c>
      <c r="E9" s="29">
        <v>78.2</v>
      </c>
      <c r="F9" s="29">
        <v>246.5</v>
      </c>
      <c r="G9" s="29">
        <v>241.3</v>
      </c>
      <c r="H9" s="29">
        <v>62.4</v>
      </c>
      <c r="I9" s="29">
        <v>173</v>
      </c>
      <c r="J9" s="29">
        <v>56.8</v>
      </c>
      <c r="K9" s="29">
        <v>148.30000000000001</v>
      </c>
      <c r="L9" s="27" t="s">
        <v>26</v>
      </c>
      <c r="M9" s="27" t="s">
        <v>34</v>
      </c>
      <c r="N9" s="30">
        <v>195.9</v>
      </c>
      <c r="O9" s="30">
        <v>233.4</v>
      </c>
      <c r="P9" s="31" t="s">
        <v>27</v>
      </c>
      <c r="Q9" s="27" t="s">
        <v>27</v>
      </c>
      <c r="R9" s="29">
        <v>10.06</v>
      </c>
      <c r="S9" s="29">
        <v>8.92</v>
      </c>
      <c r="T9" s="29">
        <v>90.2</v>
      </c>
      <c r="U9" s="24" t="s">
        <v>31</v>
      </c>
      <c r="V9" s="24" t="s">
        <v>31</v>
      </c>
      <c r="W9" s="29">
        <v>47.414095796676399</v>
      </c>
      <c r="X9" s="32">
        <v>6.5126611856712602</v>
      </c>
      <c r="Y9" s="24">
        <v>13</v>
      </c>
    </row>
    <row r="10" spans="1:25" x14ac:dyDescent="0.25">
      <c r="A10" s="33" t="s">
        <v>1174</v>
      </c>
      <c r="B10" s="24" t="s">
        <v>6</v>
      </c>
      <c r="C10" s="27" t="s">
        <v>998</v>
      </c>
      <c r="D10" s="27" t="s">
        <v>1173</v>
      </c>
      <c r="E10" s="29">
        <v>80.8</v>
      </c>
      <c r="F10" s="29">
        <v>208.6</v>
      </c>
      <c r="G10" s="29">
        <v>66.900000000000006</v>
      </c>
      <c r="H10" s="29">
        <v>75.099999999999994</v>
      </c>
      <c r="I10" s="29">
        <v>146.30000000000001</v>
      </c>
      <c r="J10" s="29">
        <v>51.1</v>
      </c>
      <c r="K10" s="29">
        <v>149.6</v>
      </c>
      <c r="L10" s="27" t="s">
        <v>26</v>
      </c>
      <c r="M10" s="27" t="s">
        <v>34</v>
      </c>
      <c r="N10" s="30">
        <v>207.4</v>
      </c>
      <c r="O10" s="30">
        <v>259.39999999999998</v>
      </c>
      <c r="P10" s="31" t="s">
        <v>27</v>
      </c>
      <c r="Q10" s="27" t="s">
        <v>27</v>
      </c>
      <c r="R10" s="29">
        <v>9.3699999999999992</v>
      </c>
      <c r="S10" s="29">
        <v>8.76</v>
      </c>
      <c r="T10" s="29">
        <v>270.8</v>
      </c>
      <c r="U10" s="24" t="s">
        <v>31</v>
      </c>
      <c r="V10" s="24" t="s">
        <v>31</v>
      </c>
      <c r="W10" s="29">
        <v>40.133956521739101</v>
      </c>
      <c r="X10" s="32">
        <v>1.6928505685445101</v>
      </c>
      <c r="Y10" s="24">
        <v>26</v>
      </c>
    </row>
    <row r="11" spans="1:25" x14ac:dyDescent="0.25">
      <c r="A11" s="24" t="s">
        <v>21</v>
      </c>
      <c r="B11" s="24" t="s">
        <v>22</v>
      </c>
      <c r="C11" s="27" t="s">
        <v>47</v>
      </c>
      <c r="D11" s="27" t="s">
        <v>84</v>
      </c>
      <c r="E11" s="29">
        <v>140.4</v>
      </c>
      <c r="F11" s="29">
        <v>257.7</v>
      </c>
      <c r="G11" s="29">
        <v>161.5</v>
      </c>
      <c r="H11" s="29">
        <v>61.2</v>
      </c>
      <c r="I11" s="29">
        <v>210</v>
      </c>
      <c r="J11" s="29">
        <v>199.4</v>
      </c>
      <c r="K11" s="29">
        <v>96.9</v>
      </c>
      <c r="L11" s="27" t="s">
        <v>34</v>
      </c>
      <c r="M11" s="27" t="s">
        <v>26</v>
      </c>
      <c r="N11" s="30">
        <v>267.89999999999998</v>
      </c>
      <c r="O11" s="30">
        <v>194.2</v>
      </c>
      <c r="P11" s="31" t="s">
        <v>27</v>
      </c>
      <c r="Q11" s="27" t="s">
        <v>27</v>
      </c>
      <c r="R11" s="29">
        <v>6.03</v>
      </c>
      <c r="S11" s="29">
        <v>5.87</v>
      </c>
      <c r="T11" s="29">
        <v>23.5</v>
      </c>
      <c r="U11" s="24" t="s">
        <v>31</v>
      </c>
      <c r="V11" s="24" t="s">
        <v>31</v>
      </c>
      <c r="W11" s="29">
        <v>47.556386363636399</v>
      </c>
      <c r="X11" s="32">
        <v>9.9622511329575598</v>
      </c>
      <c r="Y11" s="24">
        <v>24</v>
      </c>
    </row>
    <row r="12" spans="1:25" x14ac:dyDescent="0.25">
      <c r="A12" s="24" t="s">
        <v>1138</v>
      </c>
      <c r="B12" s="24" t="s">
        <v>1139</v>
      </c>
      <c r="C12" s="27" t="s">
        <v>591</v>
      </c>
      <c r="D12" s="27" t="s">
        <v>1158</v>
      </c>
      <c r="E12" s="29">
        <v>148.1</v>
      </c>
      <c r="F12" s="29">
        <v>223.6</v>
      </c>
      <c r="G12" s="29">
        <v>210.5</v>
      </c>
      <c r="H12" s="29">
        <v>287.8</v>
      </c>
      <c r="I12" s="29">
        <v>176.6</v>
      </c>
      <c r="J12" s="29">
        <v>56.1</v>
      </c>
      <c r="K12" s="29">
        <v>146.1</v>
      </c>
      <c r="L12" s="27" t="s">
        <v>34</v>
      </c>
      <c r="M12" s="27" t="s">
        <v>34</v>
      </c>
      <c r="N12" s="30">
        <v>286.10000000000002</v>
      </c>
      <c r="O12" s="30">
        <v>254.2</v>
      </c>
      <c r="P12" s="31" t="s">
        <v>27</v>
      </c>
      <c r="Q12" s="27" t="s">
        <v>27</v>
      </c>
      <c r="R12" s="29">
        <v>6.55</v>
      </c>
      <c r="S12" s="29">
        <v>6.59</v>
      </c>
      <c r="T12" s="29">
        <v>29.1</v>
      </c>
      <c r="U12" s="24" t="s">
        <v>31</v>
      </c>
      <c r="V12" s="24" t="s">
        <v>31</v>
      </c>
      <c r="W12" s="29">
        <v>42.123003952569199</v>
      </c>
      <c r="X12" s="32">
        <v>18.135529772379002</v>
      </c>
      <c r="Y12" s="24">
        <v>7</v>
      </c>
    </row>
    <row r="13" spans="1:25" x14ac:dyDescent="0.25">
      <c r="A13" s="24" t="s">
        <v>1136</v>
      </c>
      <c r="B13" s="24" t="s">
        <v>1137</v>
      </c>
      <c r="C13" s="27" t="s">
        <v>967</v>
      </c>
      <c r="D13" s="27" t="s">
        <v>1156</v>
      </c>
      <c r="E13" s="29">
        <v>148.80000000000001</v>
      </c>
      <c r="F13" s="29">
        <v>255.9</v>
      </c>
      <c r="G13" s="29">
        <v>278.89999999999998</v>
      </c>
      <c r="H13" s="29">
        <v>289.2</v>
      </c>
      <c r="I13" s="29">
        <v>201.9</v>
      </c>
      <c r="J13" s="29">
        <v>51.5</v>
      </c>
      <c r="K13" s="29">
        <v>148.1</v>
      </c>
      <c r="L13" s="27" t="s">
        <v>34</v>
      </c>
      <c r="M13" s="27" t="s">
        <v>34</v>
      </c>
      <c r="N13" s="30">
        <v>228.6</v>
      </c>
      <c r="O13" s="30">
        <v>238.4</v>
      </c>
      <c r="P13" s="31" t="s">
        <v>27</v>
      </c>
      <c r="Q13" s="27" t="s">
        <v>27</v>
      </c>
      <c r="R13" s="29">
        <v>8.7200000000000006</v>
      </c>
      <c r="S13" s="29">
        <v>7.91</v>
      </c>
      <c r="T13" s="29">
        <v>60.8</v>
      </c>
      <c r="U13" s="24" t="s">
        <v>31</v>
      </c>
      <c r="V13" s="24" t="s">
        <v>31</v>
      </c>
      <c r="W13" s="29">
        <v>55.441749999999999</v>
      </c>
      <c r="X13" s="32">
        <v>6.47107350209125</v>
      </c>
      <c r="Y13" s="24">
        <v>5</v>
      </c>
    </row>
    <row r="14" spans="1:25" x14ac:dyDescent="0.25">
      <c r="A14" s="33" t="s">
        <v>1142</v>
      </c>
      <c r="B14" s="24" t="s">
        <v>1143</v>
      </c>
      <c r="C14" s="27" t="s">
        <v>863</v>
      </c>
      <c r="D14" s="27" t="s">
        <v>1164</v>
      </c>
      <c r="E14" s="29">
        <v>146.5</v>
      </c>
      <c r="F14" s="29">
        <v>271.2</v>
      </c>
      <c r="G14" s="29">
        <v>242.3</v>
      </c>
      <c r="H14" s="29">
        <v>69.7</v>
      </c>
      <c r="I14" s="29">
        <v>197</v>
      </c>
      <c r="J14" s="29">
        <v>53.8</v>
      </c>
      <c r="K14" s="29">
        <v>144.4</v>
      </c>
      <c r="L14" s="27" t="s">
        <v>34</v>
      </c>
      <c r="M14" s="27" t="s">
        <v>34</v>
      </c>
      <c r="N14" s="30">
        <v>231.8</v>
      </c>
      <c r="O14" s="30">
        <v>233.4</v>
      </c>
      <c r="P14" s="31" t="s">
        <v>27</v>
      </c>
      <c r="Q14" s="27" t="s">
        <v>27</v>
      </c>
      <c r="R14" s="29">
        <v>10.029999999999999</v>
      </c>
      <c r="S14" s="29">
        <v>8.09</v>
      </c>
      <c r="T14" s="29">
        <v>205.6</v>
      </c>
      <c r="U14" s="24" t="s">
        <v>31</v>
      </c>
      <c r="V14" s="24" t="s">
        <v>31</v>
      </c>
      <c r="W14" s="29">
        <v>34.951386363636402</v>
      </c>
      <c r="X14" s="32">
        <v>5.4762149592449401</v>
      </c>
      <c r="Y14" s="24">
        <v>15</v>
      </c>
    </row>
    <row r="15" spans="1:25" x14ac:dyDescent="0.25">
      <c r="A15" s="33" t="s">
        <v>1148</v>
      </c>
      <c r="B15" s="24" t="s">
        <v>1143</v>
      </c>
      <c r="C15" s="27" t="s">
        <v>1079</v>
      </c>
      <c r="D15" s="27" t="s">
        <v>1171</v>
      </c>
      <c r="E15" s="29">
        <v>146.1</v>
      </c>
      <c r="F15" s="29">
        <v>265.5</v>
      </c>
      <c r="G15" s="29">
        <v>162.1</v>
      </c>
      <c r="H15" s="29">
        <v>139.9</v>
      </c>
      <c r="I15" s="29">
        <v>224.7</v>
      </c>
      <c r="J15" s="29">
        <v>57.4</v>
      </c>
      <c r="K15" s="29">
        <v>155.80000000000001</v>
      </c>
      <c r="L15" s="27" t="s">
        <v>34</v>
      </c>
      <c r="M15" s="27" t="s">
        <v>80</v>
      </c>
      <c r="N15" s="30">
        <v>273.5</v>
      </c>
      <c r="O15" s="30">
        <v>186.8</v>
      </c>
      <c r="P15" s="31" t="s">
        <v>27</v>
      </c>
      <c r="Q15" s="27" t="s">
        <v>27</v>
      </c>
      <c r="R15" s="29">
        <v>6.57</v>
      </c>
      <c r="S15" s="29">
        <v>6.05</v>
      </c>
      <c r="T15" s="29">
        <v>269.7</v>
      </c>
      <c r="U15" s="24" t="s">
        <v>31</v>
      </c>
      <c r="V15" s="24" t="s">
        <v>31</v>
      </c>
      <c r="W15" s="29">
        <v>30.559090909090902</v>
      </c>
      <c r="X15" s="32">
        <v>3.8450598397619302</v>
      </c>
      <c r="Y15" s="24">
        <v>23</v>
      </c>
    </row>
    <row r="16" spans="1:25" x14ac:dyDescent="0.25">
      <c r="A16" s="24" t="s">
        <v>1144</v>
      </c>
      <c r="B16" s="24" t="s">
        <v>20</v>
      </c>
      <c r="C16" s="27" t="s">
        <v>998</v>
      </c>
      <c r="D16" s="27" t="s">
        <v>1165</v>
      </c>
      <c r="E16" s="29">
        <v>76.599999999999994</v>
      </c>
      <c r="F16" s="29">
        <v>229.5</v>
      </c>
      <c r="G16" s="29">
        <v>238.1</v>
      </c>
      <c r="H16" s="29">
        <v>289.60000000000002</v>
      </c>
      <c r="I16" s="29">
        <v>204.3</v>
      </c>
      <c r="J16" s="29">
        <v>56.7</v>
      </c>
      <c r="K16" s="29">
        <v>139.5</v>
      </c>
      <c r="L16" s="27" t="s">
        <v>26</v>
      </c>
      <c r="M16" s="27" t="s">
        <v>39</v>
      </c>
      <c r="N16" s="30">
        <v>188.6</v>
      </c>
      <c r="O16" s="30">
        <v>285.39999999999998</v>
      </c>
      <c r="P16" s="31" t="s">
        <v>27</v>
      </c>
      <c r="Q16" s="27" t="s">
        <v>27</v>
      </c>
      <c r="R16" s="29">
        <v>8.1999999999999993</v>
      </c>
      <c r="S16" s="29">
        <v>8.2200000000000006</v>
      </c>
      <c r="T16" s="29">
        <v>311.39999999999998</v>
      </c>
      <c r="U16" s="24" t="s">
        <v>31</v>
      </c>
      <c r="V16" s="24" t="s">
        <v>31</v>
      </c>
      <c r="W16" s="29">
        <v>45.4508409090909</v>
      </c>
      <c r="X16" s="32">
        <v>2.5927756352243199</v>
      </c>
      <c r="Y16" s="24">
        <v>16</v>
      </c>
    </row>
    <row r="17" spans="1:25" x14ac:dyDescent="0.25">
      <c r="A17" s="33" t="s">
        <v>1149</v>
      </c>
      <c r="B17" s="24" t="s">
        <v>20</v>
      </c>
      <c r="C17" s="27" t="s">
        <v>30</v>
      </c>
      <c r="D17" s="27" t="s">
        <v>75</v>
      </c>
      <c r="E17" s="29">
        <v>82.5</v>
      </c>
      <c r="F17" s="29">
        <v>221.5</v>
      </c>
      <c r="G17" s="29">
        <v>271.8</v>
      </c>
      <c r="H17" s="29">
        <v>51.4</v>
      </c>
      <c r="I17" s="29">
        <v>195.7</v>
      </c>
      <c r="J17" s="29">
        <v>291.5</v>
      </c>
      <c r="K17" s="29">
        <v>101.8</v>
      </c>
      <c r="L17" s="27" t="s">
        <v>26</v>
      </c>
      <c r="M17" s="27" t="s">
        <v>61</v>
      </c>
      <c r="N17" s="30">
        <v>186.1</v>
      </c>
      <c r="O17" s="30">
        <v>223.1</v>
      </c>
      <c r="P17" s="31" t="s">
        <v>27</v>
      </c>
      <c r="Q17" s="27" t="s">
        <v>27</v>
      </c>
      <c r="R17" s="29">
        <v>5.52</v>
      </c>
      <c r="S17" s="29">
        <v>6.1</v>
      </c>
      <c r="T17" s="29">
        <v>12.9</v>
      </c>
      <c r="U17" s="24" t="s">
        <v>31</v>
      </c>
      <c r="V17" s="24" t="s">
        <v>31</v>
      </c>
      <c r="W17" s="29">
        <v>66.038250000000005</v>
      </c>
      <c r="X17" s="32">
        <v>1.8354750076395201</v>
      </c>
      <c r="Y17" s="24">
        <v>19</v>
      </c>
    </row>
    <row r="18" spans="1:25" x14ac:dyDescent="0.25">
      <c r="A18" s="33" t="s">
        <v>1145</v>
      </c>
      <c r="B18" s="24" t="s">
        <v>20</v>
      </c>
      <c r="C18" s="27" t="s">
        <v>926</v>
      </c>
      <c r="D18" s="27" t="s">
        <v>1172</v>
      </c>
      <c r="E18" s="29">
        <v>147.9</v>
      </c>
      <c r="F18" s="29">
        <v>258.8</v>
      </c>
      <c r="G18" s="29">
        <v>285.10000000000002</v>
      </c>
      <c r="H18" s="29">
        <v>201.8</v>
      </c>
      <c r="I18" s="29">
        <v>138.4</v>
      </c>
      <c r="J18" s="29">
        <v>49.7</v>
      </c>
      <c r="K18" s="29">
        <v>133.6</v>
      </c>
      <c r="L18" s="27" t="s">
        <v>34</v>
      </c>
      <c r="M18" s="27" t="s">
        <v>39</v>
      </c>
      <c r="N18" s="30">
        <v>240.9</v>
      </c>
      <c r="O18" s="30">
        <v>254.7</v>
      </c>
      <c r="P18" s="31" t="s">
        <v>27</v>
      </c>
      <c r="Q18" s="27" t="s">
        <v>27</v>
      </c>
      <c r="R18" s="29">
        <v>6.87</v>
      </c>
      <c r="S18" s="29">
        <v>6.53</v>
      </c>
      <c r="T18" s="29">
        <v>295.39999999999998</v>
      </c>
      <c r="U18" s="24" t="s">
        <v>31</v>
      </c>
      <c r="V18" s="24" t="s">
        <v>31</v>
      </c>
      <c r="W18" s="29">
        <v>24.577727272727302</v>
      </c>
      <c r="X18" s="32">
        <v>2.03904571058239</v>
      </c>
      <c r="Y18" s="24">
        <v>25</v>
      </c>
    </row>
    <row r="19" spans="1:25" x14ac:dyDescent="0.25">
      <c r="A19" s="34" t="s">
        <v>9</v>
      </c>
      <c r="B19" s="34" t="s">
        <v>8</v>
      </c>
      <c r="C19" s="27" t="s">
        <v>953</v>
      </c>
      <c r="D19" s="27" t="s">
        <v>1154</v>
      </c>
      <c r="E19" s="29">
        <v>148.30000000000001</v>
      </c>
      <c r="F19" s="29">
        <v>258</v>
      </c>
      <c r="G19" s="29">
        <v>294.39999999999998</v>
      </c>
      <c r="H19" s="29">
        <v>292</v>
      </c>
      <c r="I19" s="29">
        <v>193.8</v>
      </c>
      <c r="J19" s="29">
        <v>44.7</v>
      </c>
      <c r="K19" s="29">
        <v>87.6</v>
      </c>
      <c r="L19" s="27" t="s">
        <v>34</v>
      </c>
      <c r="M19" s="27" t="s">
        <v>26</v>
      </c>
      <c r="N19" s="30">
        <v>233.4</v>
      </c>
      <c r="O19" s="30">
        <v>253.9</v>
      </c>
      <c r="P19" s="31" t="s">
        <v>27</v>
      </c>
      <c r="Q19" s="27" t="s">
        <v>27</v>
      </c>
      <c r="R19" s="29">
        <v>8.5</v>
      </c>
      <c r="S19" s="29">
        <v>7.73</v>
      </c>
      <c r="T19" s="29">
        <v>97.3</v>
      </c>
      <c r="U19" s="24" t="s">
        <v>31</v>
      </c>
      <c r="V19" s="24" t="s">
        <v>31</v>
      </c>
      <c r="W19" s="29">
        <v>43.106212121212103</v>
      </c>
      <c r="X19" s="32">
        <v>4.5421984732418901</v>
      </c>
      <c r="Y19" s="34">
        <v>3</v>
      </c>
    </row>
    <row r="20" spans="1:25" x14ac:dyDescent="0.25">
      <c r="A20" s="35" t="s">
        <v>19</v>
      </c>
      <c r="B20" s="34" t="s">
        <v>8</v>
      </c>
      <c r="C20" s="27" t="s">
        <v>977</v>
      </c>
      <c r="D20" s="27" t="s">
        <v>1150</v>
      </c>
      <c r="E20" s="29">
        <v>152.19999999999999</v>
      </c>
      <c r="F20" s="29">
        <v>239.3</v>
      </c>
      <c r="G20" s="29">
        <v>135.9</v>
      </c>
      <c r="H20" s="29">
        <v>291.5</v>
      </c>
      <c r="I20" s="29">
        <v>156.1</v>
      </c>
      <c r="J20" s="29">
        <v>41</v>
      </c>
      <c r="K20" s="29">
        <v>71.900000000000006</v>
      </c>
      <c r="L20" s="27" t="s">
        <v>34</v>
      </c>
      <c r="M20" s="27" t="s">
        <v>26</v>
      </c>
      <c r="N20" s="30">
        <v>232.8</v>
      </c>
      <c r="O20" s="30">
        <v>206</v>
      </c>
      <c r="P20" s="31" t="s">
        <v>27</v>
      </c>
      <c r="Q20" s="27" t="s">
        <v>27</v>
      </c>
      <c r="R20" s="29">
        <v>7.08</v>
      </c>
      <c r="S20" s="29">
        <v>6.32</v>
      </c>
      <c r="T20" s="29">
        <v>39.6</v>
      </c>
      <c r="U20" s="24" t="s">
        <v>31</v>
      </c>
      <c r="V20" s="24" t="s">
        <v>35</v>
      </c>
      <c r="W20" s="29">
        <v>50.489840909090901</v>
      </c>
      <c r="X20" s="32">
        <v>10.2779681268002</v>
      </c>
      <c r="Y20" s="34">
        <v>8</v>
      </c>
    </row>
    <row r="21" spans="1:25" x14ac:dyDescent="0.25">
      <c r="A21" s="34" t="s">
        <v>15</v>
      </c>
      <c r="B21" s="34" t="s">
        <v>8</v>
      </c>
      <c r="C21" s="27" t="s">
        <v>65</v>
      </c>
      <c r="D21" s="27" t="s">
        <v>1167</v>
      </c>
      <c r="E21" s="29">
        <v>142.69999999999999</v>
      </c>
      <c r="F21" s="29">
        <v>274.39999999999998</v>
      </c>
      <c r="G21" s="29">
        <v>300.39999999999998</v>
      </c>
      <c r="H21" s="29">
        <v>289.7</v>
      </c>
      <c r="I21" s="29">
        <v>170.4</v>
      </c>
      <c r="J21" s="29">
        <v>181</v>
      </c>
      <c r="K21" s="29">
        <v>89.8</v>
      </c>
      <c r="L21" s="27" t="s">
        <v>34</v>
      </c>
      <c r="M21" s="27" t="s">
        <v>66</v>
      </c>
      <c r="N21" s="30">
        <v>245.2</v>
      </c>
      <c r="O21" s="30">
        <v>211</v>
      </c>
      <c r="P21" s="31" t="s">
        <v>27</v>
      </c>
      <c r="Q21" s="27" t="s">
        <v>27</v>
      </c>
      <c r="R21" s="29">
        <v>11.53</v>
      </c>
      <c r="S21" s="29">
        <v>9</v>
      </c>
      <c r="T21" s="29">
        <v>202.8</v>
      </c>
      <c r="U21" s="24" t="s">
        <v>31</v>
      </c>
      <c r="V21" s="24" t="s">
        <v>31</v>
      </c>
      <c r="W21" s="29"/>
      <c r="X21" s="32"/>
      <c r="Y21" s="34">
        <v>18</v>
      </c>
    </row>
    <row r="22" spans="1:25" x14ac:dyDescent="0.25">
      <c r="A22" s="34" t="s">
        <v>17</v>
      </c>
      <c r="B22" s="34" t="s">
        <v>8</v>
      </c>
      <c r="C22" s="27" t="s">
        <v>1062</v>
      </c>
      <c r="D22" s="27" t="s">
        <v>1151</v>
      </c>
      <c r="E22" s="29">
        <v>155.5</v>
      </c>
      <c r="F22" s="29">
        <v>266.10000000000002</v>
      </c>
      <c r="G22" s="29">
        <v>95.7</v>
      </c>
      <c r="H22" s="29">
        <v>76.7</v>
      </c>
      <c r="I22" s="29">
        <v>157.30000000000001</v>
      </c>
      <c r="J22" s="29">
        <v>63.5</v>
      </c>
      <c r="K22" s="29">
        <v>152.6</v>
      </c>
      <c r="L22" s="27" t="s">
        <v>34</v>
      </c>
      <c r="M22" s="27" t="s">
        <v>34</v>
      </c>
      <c r="N22" s="30">
        <v>238.6</v>
      </c>
      <c r="O22" s="30">
        <v>254.2</v>
      </c>
      <c r="P22" s="31" t="s">
        <v>27</v>
      </c>
      <c r="Q22" s="27" t="s">
        <v>27</v>
      </c>
      <c r="R22" s="29">
        <v>10.06</v>
      </c>
      <c r="S22" s="29">
        <v>8.02</v>
      </c>
      <c r="T22" s="29">
        <v>213.1</v>
      </c>
      <c r="U22" s="24" t="s">
        <v>31</v>
      </c>
      <c r="V22" s="24" t="s">
        <v>31</v>
      </c>
      <c r="W22" s="29">
        <v>36.648970588235301</v>
      </c>
      <c r="X22" s="32">
        <v>4.6841641757226604</v>
      </c>
      <c r="Y22" s="34">
        <v>11</v>
      </c>
    </row>
    <row r="23" spans="1:25" x14ac:dyDescent="0.25">
      <c r="A23" s="34" t="s">
        <v>11</v>
      </c>
      <c r="B23" s="34" t="s">
        <v>8</v>
      </c>
      <c r="C23" s="27" t="s">
        <v>1001</v>
      </c>
      <c r="D23" s="27" t="s">
        <v>1155</v>
      </c>
      <c r="E23" s="29">
        <v>149.5</v>
      </c>
      <c r="F23" s="29">
        <v>228.3</v>
      </c>
      <c r="G23" s="29">
        <v>135.5</v>
      </c>
      <c r="H23" s="29">
        <v>284.60000000000002</v>
      </c>
      <c r="I23" s="29">
        <v>159.80000000000001</v>
      </c>
      <c r="J23" s="29">
        <v>48.3</v>
      </c>
      <c r="K23" s="29">
        <v>151.19999999999999</v>
      </c>
      <c r="L23" s="27" t="s">
        <v>34</v>
      </c>
      <c r="M23" s="27" t="s">
        <v>34</v>
      </c>
      <c r="N23" s="30">
        <v>250.5</v>
      </c>
      <c r="O23" s="30">
        <v>227.9</v>
      </c>
      <c r="P23" s="31" t="s">
        <v>27</v>
      </c>
      <c r="Q23" s="27" t="s">
        <v>27</v>
      </c>
      <c r="R23" s="29">
        <v>6.9</v>
      </c>
      <c r="S23" s="29">
        <v>6.57</v>
      </c>
      <c r="T23" s="29">
        <v>17.100000000000001</v>
      </c>
      <c r="U23" s="24" t="s">
        <v>31</v>
      </c>
      <c r="V23" s="24" t="s">
        <v>31</v>
      </c>
      <c r="W23" s="29">
        <v>37.747141304347799</v>
      </c>
      <c r="X23" s="32">
        <v>4.4342141276121501</v>
      </c>
      <c r="Y23" s="34">
        <v>4</v>
      </c>
    </row>
    <row r="24" spans="1:25" x14ac:dyDescent="0.25">
      <c r="A24" s="34" t="s">
        <v>7</v>
      </c>
      <c r="B24" s="34" t="s">
        <v>8</v>
      </c>
      <c r="C24" s="27" t="s">
        <v>998</v>
      </c>
      <c r="D24" s="27" t="s">
        <v>1163</v>
      </c>
      <c r="E24" s="29">
        <v>152.69999999999999</v>
      </c>
      <c r="F24" s="29">
        <v>264.8</v>
      </c>
      <c r="G24" s="29">
        <v>184.9</v>
      </c>
      <c r="H24" s="29">
        <v>85.1</v>
      </c>
      <c r="I24" s="29">
        <v>200.9</v>
      </c>
      <c r="J24" s="29">
        <v>67.3</v>
      </c>
      <c r="K24" s="29">
        <v>85.7</v>
      </c>
      <c r="L24" s="27" t="s">
        <v>34</v>
      </c>
      <c r="M24" s="27" t="s">
        <v>26</v>
      </c>
      <c r="N24" s="30">
        <v>284.5</v>
      </c>
      <c r="O24" s="30">
        <v>195.9</v>
      </c>
      <c r="P24" s="31" t="s">
        <v>27</v>
      </c>
      <c r="Q24" s="27" t="s">
        <v>27</v>
      </c>
      <c r="R24" s="29">
        <v>8.5399999999999991</v>
      </c>
      <c r="S24" s="29">
        <v>7.49</v>
      </c>
      <c r="T24" s="29">
        <v>262</v>
      </c>
      <c r="U24" s="24" t="s">
        <v>31</v>
      </c>
      <c r="V24" s="24" t="s">
        <v>31</v>
      </c>
      <c r="W24" s="29">
        <v>38.436113636363601</v>
      </c>
      <c r="X24" s="32">
        <v>1.8107298938127001</v>
      </c>
      <c r="Y24" s="34">
        <v>14</v>
      </c>
    </row>
    <row r="25" spans="1:25" x14ac:dyDescent="0.25">
      <c r="A25" s="34" t="s">
        <v>1147</v>
      </c>
      <c r="B25" s="34" t="s">
        <v>8</v>
      </c>
      <c r="C25" s="27" t="s">
        <v>1079</v>
      </c>
      <c r="D25" s="27" t="s">
        <v>1170</v>
      </c>
      <c r="E25" s="29">
        <v>140.1</v>
      </c>
      <c r="F25" s="29">
        <v>268.60000000000002</v>
      </c>
      <c r="G25" s="29">
        <v>174</v>
      </c>
      <c r="H25" s="29">
        <v>203.6</v>
      </c>
      <c r="I25" s="29">
        <v>177.4</v>
      </c>
      <c r="J25" s="29">
        <v>41.1</v>
      </c>
      <c r="K25" s="29">
        <v>83.5</v>
      </c>
      <c r="L25" s="27" t="s">
        <v>34</v>
      </c>
      <c r="M25" s="27" t="s">
        <v>26</v>
      </c>
      <c r="N25" s="30">
        <v>239.1</v>
      </c>
      <c r="O25" s="30">
        <v>192</v>
      </c>
      <c r="P25" s="31" t="s">
        <v>27</v>
      </c>
      <c r="Q25" s="27" t="s">
        <v>27</v>
      </c>
      <c r="R25" s="29">
        <v>7.5</v>
      </c>
      <c r="S25" s="29">
        <v>7.48</v>
      </c>
      <c r="T25" s="29">
        <v>353.3</v>
      </c>
      <c r="U25" s="24" t="s">
        <v>31</v>
      </c>
      <c r="V25" s="24" t="s">
        <v>74</v>
      </c>
      <c r="W25" s="29">
        <v>44.706000000000003</v>
      </c>
      <c r="X25" s="32">
        <v>3.54210231888954</v>
      </c>
      <c r="Y25" s="34">
        <v>22</v>
      </c>
    </row>
    <row r="26" spans="1:25" x14ac:dyDescent="0.25">
      <c r="A26" s="34" t="s">
        <v>1146</v>
      </c>
      <c r="B26" s="34" t="s">
        <v>8</v>
      </c>
      <c r="C26" s="27" t="s">
        <v>977</v>
      </c>
      <c r="D26" s="27" t="s">
        <v>1168</v>
      </c>
      <c r="E26" s="29">
        <v>88.8</v>
      </c>
      <c r="F26" s="29">
        <v>218.5</v>
      </c>
      <c r="G26" s="29">
        <v>233.4</v>
      </c>
      <c r="H26" s="29">
        <v>64.900000000000006</v>
      </c>
      <c r="I26" s="29">
        <v>185.5</v>
      </c>
      <c r="J26" s="29">
        <v>58.4</v>
      </c>
      <c r="K26" s="29">
        <v>85.5</v>
      </c>
      <c r="L26" s="27" t="s">
        <v>26</v>
      </c>
      <c r="M26" s="27" t="s">
        <v>26</v>
      </c>
      <c r="N26" s="30">
        <v>234.1</v>
      </c>
      <c r="O26" s="30">
        <v>180.8</v>
      </c>
      <c r="P26" s="31" t="s">
        <v>27</v>
      </c>
      <c r="Q26" s="27" t="s">
        <v>27</v>
      </c>
      <c r="R26" s="29">
        <v>10.09</v>
      </c>
      <c r="S26" s="29">
        <v>8.6199999999999992</v>
      </c>
      <c r="T26" s="29">
        <v>105.4</v>
      </c>
      <c r="U26" s="24" t="s">
        <v>31</v>
      </c>
      <c r="V26" s="24" t="s">
        <v>31</v>
      </c>
      <c r="W26" s="29">
        <v>42.103557312253002</v>
      </c>
      <c r="X26" s="32">
        <v>5.0379245663412497</v>
      </c>
      <c r="Y26" s="34">
        <v>20</v>
      </c>
    </row>
    <row r="27" spans="1:25" x14ac:dyDescent="0.25">
      <c r="A27" s="33" t="s">
        <v>10</v>
      </c>
      <c r="B27" s="24" t="s">
        <v>8</v>
      </c>
      <c r="C27" s="27" t="s">
        <v>1001</v>
      </c>
      <c r="D27" s="27" t="s">
        <v>1166</v>
      </c>
      <c r="E27" s="29">
        <v>145.1</v>
      </c>
      <c r="F27" s="29">
        <v>218.7</v>
      </c>
      <c r="G27" s="29">
        <v>75.5</v>
      </c>
      <c r="H27" s="29">
        <v>55.7</v>
      </c>
      <c r="I27" s="29">
        <v>163.1</v>
      </c>
      <c r="J27" s="29">
        <v>38.4</v>
      </c>
      <c r="K27" s="29">
        <v>82.8</v>
      </c>
      <c r="L27" s="27" t="s">
        <v>34</v>
      </c>
      <c r="M27" s="27" t="s">
        <v>26</v>
      </c>
      <c r="N27" s="30">
        <v>219.9</v>
      </c>
      <c r="O27" s="30">
        <v>183.7</v>
      </c>
      <c r="P27" s="31" t="s">
        <v>27</v>
      </c>
      <c r="Q27" s="27" t="s">
        <v>27</v>
      </c>
      <c r="R27" s="29">
        <v>10.57</v>
      </c>
      <c r="S27" s="29">
        <v>9.09</v>
      </c>
      <c r="T27" s="29">
        <v>304.3</v>
      </c>
      <c r="U27" s="24" t="s">
        <v>31</v>
      </c>
      <c r="V27" s="24" t="s">
        <v>35</v>
      </c>
      <c r="W27" s="29">
        <v>32.361499999999999</v>
      </c>
      <c r="X27" s="32">
        <v>4.9273419946869197</v>
      </c>
      <c r="Y27" s="24">
        <v>17</v>
      </c>
    </row>
    <row r="28" spans="1:25" x14ac:dyDescent="0.25">
      <c r="A28" s="33" t="s">
        <v>1175</v>
      </c>
      <c r="B28" s="24" t="s">
        <v>8</v>
      </c>
      <c r="C28" s="27" t="s">
        <v>946</v>
      </c>
      <c r="D28" s="27" t="s">
        <v>1157</v>
      </c>
      <c r="E28" s="29">
        <v>84.3</v>
      </c>
      <c r="F28" s="29">
        <v>228.4</v>
      </c>
      <c r="G28" s="29">
        <v>281</v>
      </c>
      <c r="H28" s="29">
        <v>171</v>
      </c>
      <c r="I28" s="29">
        <v>165.9</v>
      </c>
      <c r="J28" s="29">
        <v>50.9</v>
      </c>
      <c r="K28" s="29">
        <v>86.4</v>
      </c>
      <c r="L28" s="27" t="s">
        <v>26</v>
      </c>
      <c r="M28" s="27" t="s">
        <v>26</v>
      </c>
      <c r="N28" s="30">
        <v>198.6</v>
      </c>
      <c r="O28" s="30">
        <v>203.1</v>
      </c>
      <c r="P28" s="31" t="s">
        <v>27</v>
      </c>
      <c r="Q28" s="27" t="s">
        <v>27</v>
      </c>
      <c r="R28" s="29">
        <v>7.46</v>
      </c>
      <c r="S28" s="29">
        <v>7.33</v>
      </c>
      <c r="T28" s="29">
        <v>205</v>
      </c>
      <c r="U28" s="24" t="s">
        <v>31</v>
      </c>
      <c r="V28" s="24" t="s">
        <v>31</v>
      </c>
      <c r="W28" s="29">
        <v>41.077893109540597</v>
      </c>
      <c r="X28" s="32">
        <v>18.666235203032802</v>
      </c>
      <c r="Y28" s="24">
        <v>6</v>
      </c>
    </row>
    <row r="29" spans="1:25" x14ac:dyDescent="0.25">
      <c r="A29" s="24" t="s">
        <v>16</v>
      </c>
      <c r="B29" s="24" t="s">
        <v>13</v>
      </c>
      <c r="C29" s="27" t="s">
        <v>78</v>
      </c>
      <c r="D29" s="27" t="s">
        <v>79</v>
      </c>
      <c r="E29" s="29">
        <v>78.400000000000006</v>
      </c>
      <c r="F29" s="29">
        <v>209.6</v>
      </c>
      <c r="G29" s="29">
        <v>48.4</v>
      </c>
      <c r="H29" s="29">
        <v>176</v>
      </c>
      <c r="I29" s="29">
        <v>160.4</v>
      </c>
      <c r="J29" s="29">
        <v>28.8</v>
      </c>
      <c r="K29" s="29">
        <v>148</v>
      </c>
      <c r="L29" s="27" t="s">
        <v>26</v>
      </c>
      <c r="M29" s="27" t="s">
        <v>80</v>
      </c>
      <c r="N29" s="30">
        <v>194.4</v>
      </c>
      <c r="O29" s="30">
        <v>242.6</v>
      </c>
      <c r="P29" s="31" t="s">
        <v>27</v>
      </c>
      <c r="Q29" s="27" t="s">
        <v>27</v>
      </c>
      <c r="R29" s="29">
        <v>4.8099999999999996</v>
      </c>
      <c r="S29" s="29">
        <v>6.17</v>
      </c>
      <c r="T29" s="29">
        <v>301.5</v>
      </c>
      <c r="U29" s="24" t="s">
        <v>31</v>
      </c>
      <c r="V29" s="24" t="s">
        <v>31</v>
      </c>
      <c r="W29" s="29">
        <v>47.390409090909102</v>
      </c>
      <c r="X29" s="32">
        <v>2.26274033522609</v>
      </c>
      <c r="Y29" s="24">
        <v>27</v>
      </c>
    </row>
    <row r="30" spans="1:25" x14ac:dyDescent="0.25">
      <c r="A30" s="27" t="s">
        <v>12</v>
      </c>
      <c r="B30" s="27" t="s">
        <v>13</v>
      </c>
      <c r="C30" s="27" t="s">
        <v>76</v>
      </c>
      <c r="D30" s="27" t="s">
        <v>1161</v>
      </c>
      <c r="E30" s="29">
        <v>148.30000000000001</v>
      </c>
      <c r="F30" s="29">
        <v>262.3</v>
      </c>
      <c r="G30" s="29">
        <v>79.2</v>
      </c>
      <c r="H30" s="29">
        <v>56</v>
      </c>
      <c r="I30" s="29">
        <v>195.4</v>
      </c>
      <c r="J30" s="29">
        <v>181.5</v>
      </c>
      <c r="K30" s="29">
        <v>92</v>
      </c>
      <c r="L30" s="27" t="s">
        <v>34</v>
      </c>
      <c r="M30" s="27" t="s">
        <v>26</v>
      </c>
      <c r="N30" s="30">
        <v>219</v>
      </c>
      <c r="O30" s="30">
        <v>59.3</v>
      </c>
      <c r="P30" s="31" t="s">
        <v>27</v>
      </c>
      <c r="Q30" s="27" t="s">
        <v>43</v>
      </c>
      <c r="R30" s="29">
        <v>6.26</v>
      </c>
      <c r="S30" s="29">
        <v>6.13</v>
      </c>
      <c r="T30" s="29">
        <v>350.9</v>
      </c>
      <c r="U30" s="24" t="s">
        <v>28</v>
      </c>
      <c r="V30" s="24" t="s">
        <v>28</v>
      </c>
      <c r="W30" s="29">
        <v>14.634</v>
      </c>
      <c r="X30" s="32">
        <v>1.5820665098661799</v>
      </c>
      <c r="Y30" s="24">
        <v>12</v>
      </c>
    </row>
    <row r="32" spans="1:25" ht="174.6" customHeight="1" x14ac:dyDescent="0.25"/>
  </sheetData>
  <mergeCells count="1">
    <mergeCell ref="A1:Y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3F42-F976-4B2F-9631-0DB5D4EDEB99}">
  <dimension ref="A1:AD124"/>
  <sheetViews>
    <sheetView topLeftCell="A28" zoomScale="70" zoomScaleNormal="70" workbookViewId="0">
      <selection activeCell="E88" sqref="E88"/>
    </sheetView>
  </sheetViews>
  <sheetFormatPr defaultColWidth="11.5546875" defaultRowHeight="17.399999999999999" x14ac:dyDescent="0.3"/>
  <cols>
    <col min="1" max="16384" width="11.5546875" style="12"/>
  </cols>
  <sheetData>
    <row r="1" spans="1:30" s="48" customFormat="1" ht="33" customHeight="1" x14ac:dyDescent="0.25">
      <c r="A1" s="47" t="s">
        <v>1922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30" s="13" customFormat="1" x14ac:dyDescent="0.3">
      <c r="A2" s="12" t="s">
        <v>25</v>
      </c>
      <c r="B2" s="13" t="s">
        <v>2</v>
      </c>
      <c r="C2" s="13" t="s">
        <v>3</v>
      </c>
      <c r="D2" s="13" t="s">
        <v>4</v>
      </c>
      <c r="E2" s="13" t="s">
        <v>3</v>
      </c>
      <c r="F2" s="13" t="s">
        <v>3</v>
      </c>
      <c r="G2" s="13" t="s">
        <v>6</v>
      </c>
      <c r="H2" s="13" t="s">
        <v>6</v>
      </c>
      <c r="I2" s="13" t="s">
        <v>6</v>
      </c>
      <c r="J2" s="13" t="s">
        <v>22</v>
      </c>
      <c r="K2" s="13" t="s">
        <v>1139</v>
      </c>
      <c r="L2" s="13" t="s">
        <v>1137</v>
      </c>
      <c r="M2" s="13" t="s">
        <v>1143</v>
      </c>
      <c r="N2" s="13" t="s">
        <v>1143</v>
      </c>
      <c r="O2" s="13" t="s">
        <v>20</v>
      </c>
      <c r="P2" s="13" t="s">
        <v>20</v>
      </c>
      <c r="Q2" s="13" t="s">
        <v>20</v>
      </c>
      <c r="R2" s="13" t="s">
        <v>38</v>
      </c>
      <c r="S2" s="13" t="s">
        <v>8</v>
      </c>
      <c r="T2" s="13" t="s">
        <v>8</v>
      </c>
      <c r="U2" s="13" t="s">
        <v>8</v>
      </c>
      <c r="V2" s="13" t="s">
        <v>8</v>
      </c>
      <c r="W2" s="13" t="s">
        <v>8</v>
      </c>
      <c r="X2" s="13" t="s">
        <v>8</v>
      </c>
      <c r="Y2" s="13" t="s">
        <v>8</v>
      </c>
      <c r="Z2" s="13" t="s">
        <v>8</v>
      </c>
      <c r="AA2" s="13" t="s">
        <v>8</v>
      </c>
      <c r="AB2" s="13" t="s">
        <v>8</v>
      </c>
      <c r="AC2" s="13" t="s">
        <v>13</v>
      </c>
      <c r="AD2" s="13" t="s">
        <v>13</v>
      </c>
    </row>
    <row r="3" spans="1:30" s="13" customFormat="1" x14ac:dyDescent="0.3">
      <c r="A3" s="12" t="s">
        <v>0</v>
      </c>
      <c r="B3" s="13" t="s">
        <v>1</v>
      </c>
      <c r="C3" s="13" t="s">
        <v>29</v>
      </c>
      <c r="D3" s="13" t="s">
        <v>1140</v>
      </c>
      <c r="E3" s="13" t="s">
        <v>14</v>
      </c>
      <c r="F3" s="13" t="s">
        <v>18</v>
      </c>
      <c r="G3" s="13" t="s">
        <v>5</v>
      </c>
      <c r="H3" s="13" t="s">
        <v>1141</v>
      </c>
      <c r="I3" s="13" t="s">
        <v>1174</v>
      </c>
      <c r="J3" s="13" t="s">
        <v>21</v>
      </c>
      <c r="K3" s="13" t="s">
        <v>1138</v>
      </c>
      <c r="L3" s="13" t="s">
        <v>1136</v>
      </c>
      <c r="M3" s="13" t="s">
        <v>1142</v>
      </c>
      <c r="N3" s="13" t="s">
        <v>1148</v>
      </c>
      <c r="O3" s="13" t="s">
        <v>1144</v>
      </c>
      <c r="P3" s="13" t="s">
        <v>1149</v>
      </c>
      <c r="Q3" s="13" t="s">
        <v>1145</v>
      </c>
      <c r="R3" s="13" t="s">
        <v>37</v>
      </c>
      <c r="S3" s="13" t="s">
        <v>9</v>
      </c>
      <c r="T3" s="13" t="s">
        <v>19</v>
      </c>
      <c r="U3" s="13" t="s">
        <v>15</v>
      </c>
      <c r="V3" s="13" t="s">
        <v>17</v>
      </c>
      <c r="W3" s="13" t="s">
        <v>11</v>
      </c>
      <c r="X3" s="13" t="s">
        <v>7</v>
      </c>
      <c r="Y3" s="13" t="s">
        <v>1147</v>
      </c>
      <c r="Z3" s="13" t="s">
        <v>1146</v>
      </c>
      <c r="AA3" s="13" t="s">
        <v>10</v>
      </c>
      <c r="AB3" s="13" t="s">
        <v>1175</v>
      </c>
      <c r="AC3" s="13" t="s">
        <v>16</v>
      </c>
      <c r="AD3" s="13" t="s">
        <v>12</v>
      </c>
    </row>
    <row r="4" spans="1:30" s="13" customFormat="1" x14ac:dyDescent="0.25">
      <c r="A4" s="13" t="s">
        <v>1876</v>
      </c>
      <c r="B4" s="13">
        <v>124</v>
      </c>
      <c r="C4" s="13">
        <v>13</v>
      </c>
      <c r="D4" s="13">
        <v>99</v>
      </c>
      <c r="E4" s="13">
        <v>23</v>
      </c>
      <c r="F4" s="13">
        <v>0</v>
      </c>
      <c r="G4" s="13">
        <v>20</v>
      </c>
      <c r="H4" s="13">
        <v>5</v>
      </c>
      <c r="I4" s="13">
        <v>1</v>
      </c>
      <c r="J4" s="13">
        <v>5</v>
      </c>
      <c r="K4" s="13">
        <v>13</v>
      </c>
      <c r="L4" s="13">
        <v>5</v>
      </c>
      <c r="M4" s="13">
        <v>7</v>
      </c>
      <c r="N4" s="13">
        <v>12</v>
      </c>
      <c r="O4" s="13">
        <v>0</v>
      </c>
      <c r="P4" s="13">
        <v>4</v>
      </c>
      <c r="Q4" s="13">
        <v>8</v>
      </c>
      <c r="R4" s="13">
        <v>46</v>
      </c>
      <c r="S4" s="13">
        <v>8</v>
      </c>
      <c r="T4" s="13">
        <v>17</v>
      </c>
      <c r="U4" s="13">
        <v>6</v>
      </c>
      <c r="V4" s="13">
        <v>13</v>
      </c>
      <c r="W4" s="13">
        <v>2</v>
      </c>
      <c r="X4" s="13">
        <v>12</v>
      </c>
      <c r="Y4" s="13">
        <v>2</v>
      </c>
      <c r="Z4" s="13">
        <v>1</v>
      </c>
      <c r="AA4" s="13">
        <v>0</v>
      </c>
      <c r="AB4" s="13">
        <v>9</v>
      </c>
      <c r="AC4" s="13">
        <v>1</v>
      </c>
      <c r="AD4" s="13">
        <v>11</v>
      </c>
    </row>
    <row r="5" spans="1:30" s="13" customFormat="1" x14ac:dyDescent="0.25">
      <c r="A5" s="13" t="s">
        <v>1877</v>
      </c>
      <c r="B5" s="13">
        <v>104</v>
      </c>
      <c r="C5" s="13">
        <v>16</v>
      </c>
      <c r="D5" s="13">
        <v>55</v>
      </c>
      <c r="E5" s="13">
        <v>24</v>
      </c>
      <c r="F5" s="13">
        <v>3</v>
      </c>
      <c r="G5" s="13">
        <v>21</v>
      </c>
      <c r="H5" s="13">
        <v>1</v>
      </c>
      <c r="I5" s="13">
        <v>1</v>
      </c>
      <c r="J5" s="13">
        <v>1</v>
      </c>
      <c r="K5" s="13">
        <v>13</v>
      </c>
      <c r="L5" s="13">
        <v>1</v>
      </c>
      <c r="M5" s="13">
        <v>2</v>
      </c>
      <c r="N5" s="13">
        <v>1</v>
      </c>
      <c r="O5" s="13">
        <v>0</v>
      </c>
      <c r="P5" s="13">
        <v>1</v>
      </c>
      <c r="Q5" s="13">
        <v>0</v>
      </c>
      <c r="R5" s="13">
        <v>31</v>
      </c>
      <c r="S5" s="13">
        <v>14</v>
      </c>
      <c r="T5" s="13">
        <v>2</v>
      </c>
      <c r="U5" s="13">
        <v>1</v>
      </c>
      <c r="V5" s="13">
        <v>17</v>
      </c>
      <c r="W5" s="13">
        <v>2</v>
      </c>
      <c r="X5" s="13">
        <v>9</v>
      </c>
      <c r="Y5" s="13">
        <v>0</v>
      </c>
      <c r="Z5" s="13">
        <v>2</v>
      </c>
      <c r="AA5" s="13">
        <v>1</v>
      </c>
      <c r="AB5" s="13">
        <v>2</v>
      </c>
      <c r="AC5" s="13">
        <v>0</v>
      </c>
      <c r="AD5" s="13">
        <v>12</v>
      </c>
    </row>
    <row r="6" spans="1:30" s="13" customFormat="1" x14ac:dyDescent="0.25">
      <c r="A6" s="13" t="s">
        <v>1878</v>
      </c>
      <c r="B6" s="13">
        <v>116</v>
      </c>
      <c r="C6" s="13">
        <v>47</v>
      </c>
      <c r="D6" s="13">
        <v>113</v>
      </c>
      <c r="E6" s="13">
        <v>30</v>
      </c>
      <c r="F6" s="13">
        <v>3</v>
      </c>
      <c r="G6" s="13">
        <v>20</v>
      </c>
      <c r="H6" s="13">
        <v>0</v>
      </c>
      <c r="I6" s="13">
        <v>0</v>
      </c>
      <c r="J6" s="13">
        <v>3</v>
      </c>
      <c r="K6" s="13">
        <v>4</v>
      </c>
      <c r="L6" s="13">
        <v>2</v>
      </c>
      <c r="M6" s="13">
        <v>0</v>
      </c>
      <c r="N6" s="13">
        <v>0</v>
      </c>
      <c r="O6" s="13">
        <v>2</v>
      </c>
      <c r="P6" s="13">
        <v>0</v>
      </c>
      <c r="Q6" s="13">
        <v>0</v>
      </c>
      <c r="R6" s="13">
        <v>25</v>
      </c>
      <c r="S6" s="13">
        <v>10</v>
      </c>
      <c r="T6" s="13">
        <v>6</v>
      </c>
      <c r="U6" s="13">
        <v>4</v>
      </c>
      <c r="V6" s="13">
        <v>4</v>
      </c>
      <c r="W6" s="13">
        <v>2</v>
      </c>
      <c r="X6" s="13">
        <v>2</v>
      </c>
      <c r="Y6" s="13">
        <v>0</v>
      </c>
      <c r="Z6" s="13">
        <v>2</v>
      </c>
      <c r="AA6" s="13">
        <v>0</v>
      </c>
      <c r="AB6" s="13">
        <v>14</v>
      </c>
      <c r="AC6" s="13">
        <v>0</v>
      </c>
      <c r="AD6" s="13">
        <v>13</v>
      </c>
    </row>
    <row r="7" spans="1:30" s="13" customFormat="1" x14ac:dyDescent="0.25">
      <c r="A7" s="13" t="s">
        <v>1879</v>
      </c>
      <c r="B7" s="13">
        <v>111</v>
      </c>
      <c r="C7" s="13">
        <v>18</v>
      </c>
      <c r="D7" s="13">
        <v>102</v>
      </c>
      <c r="E7" s="13">
        <v>20</v>
      </c>
      <c r="F7" s="13">
        <v>2</v>
      </c>
      <c r="G7" s="13">
        <v>9</v>
      </c>
      <c r="H7" s="13">
        <v>0</v>
      </c>
      <c r="I7" s="13">
        <v>1</v>
      </c>
      <c r="J7" s="13">
        <v>1</v>
      </c>
      <c r="K7" s="13">
        <v>5</v>
      </c>
      <c r="L7" s="13">
        <v>7</v>
      </c>
      <c r="M7" s="13">
        <v>4</v>
      </c>
      <c r="N7" s="13">
        <v>1</v>
      </c>
      <c r="O7" s="13">
        <v>0</v>
      </c>
      <c r="P7" s="13">
        <v>1</v>
      </c>
      <c r="Q7" s="13">
        <v>0</v>
      </c>
      <c r="R7" s="13">
        <v>14</v>
      </c>
      <c r="S7" s="13">
        <v>1</v>
      </c>
      <c r="T7" s="13">
        <v>4</v>
      </c>
      <c r="U7" s="13">
        <v>2</v>
      </c>
      <c r="V7" s="13">
        <v>2</v>
      </c>
      <c r="W7" s="13">
        <v>0</v>
      </c>
      <c r="X7" s="13">
        <v>0</v>
      </c>
      <c r="Y7" s="13">
        <v>0</v>
      </c>
      <c r="Z7" s="13">
        <v>3</v>
      </c>
      <c r="AA7" s="13">
        <v>1</v>
      </c>
      <c r="AB7" s="13">
        <v>1</v>
      </c>
      <c r="AC7" s="13">
        <v>1</v>
      </c>
      <c r="AD7" s="13">
        <v>1</v>
      </c>
    </row>
    <row r="8" spans="1:30" s="13" customFormat="1" x14ac:dyDescent="0.25">
      <c r="A8" s="13" t="s">
        <v>1880</v>
      </c>
      <c r="B8" s="13">
        <v>57</v>
      </c>
      <c r="C8" s="13">
        <v>7</v>
      </c>
      <c r="D8" s="13">
        <v>46</v>
      </c>
      <c r="E8" s="13">
        <v>17</v>
      </c>
      <c r="F8" s="13">
        <v>0</v>
      </c>
      <c r="G8" s="13">
        <v>33</v>
      </c>
      <c r="H8" s="13">
        <v>1</v>
      </c>
      <c r="I8" s="13">
        <v>0</v>
      </c>
      <c r="J8" s="13">
        <v>2</v>
      </c>
      <c r="K8" s="13">
        <v>11</v>
      </c>
      <c r="L8" s="13">
        <v>8</v>
      </c>
      <c r="M8" s="13">
        <v>2</v>
      </c>
      <c r="N8" s="13">
        <v>3</v>
      </c>
      <c r="O8" s="13">
        <v>10</v>
      </c>
      <c r="P8" s="13">
        <v>0</v>
      </c>
      <c r="Q8" s="13">
        <v>0</v>
      </c>
      <c r="R8" s="13">
        <v>30</v>
      </c>
      <c r="S8" s="13">
        <v>9</v>
      </c>
      <c r="T8" s="13">
        <v>26</v>
      </c>
      <c r="U8" s="13">
        <v>11</v>
      </c>
      <c r="V8" s="13">
        <v>6</v>
      </c>
      <c r="W8" s="13">
        <v>8</v>
      </c>
      <c r="X8" s="13">
        <v>1</v>
      </c>
      <c r="Y8" s="13">
        <v>0</v>
      </c>
      <c r="Z8" s="13">
        <v>0</v>
      </c>
      <c r="AA8" s="13">
        <v>5</v>
      </c>
      <c r="AB8" s="13">
        <v>5</v>
      </c>
      <c r="AC8" s="13">
        <v>2</v>
      </c>
      <c r="AD8" s="13">
        <v>9</v>
      </c>
    </row>
    <row r="9" spans="1:30" s="13" customFormat="1" x14ac:dyDescent="0.25">
      <c r="A9" s="13" t="s">
        <v>1881</v>
      </c>
      <c r="B9" s="13">
        <v>101</v>
      </c>
      <c r="C9" s="13">
        <v>24</v>
      </c>
      <c r="D9" s="13">
        <v>135</v>
      </c>
      <c r="E9" s="13">
        <v>45</v>
      </c>
      <c r="F9" s="13">
        <v>4</v>
      </c>
      <c r="G9" s="13">
        <v>49</v>
      </c>
      <c r="H9" s="13">
        <v>3</v>
      </c>
      <c r="I9" s="13">
        <v>1</v>
      </c>
      <c r="J9" s="13">
        <v>2</v>
      </c>
      <c r="K9" s="13">
        <v>30</v>
      </c>
      <c r="L9" s="13">
        <v>16</v>
      </c>
      <c r="M9" s="13">
        <v>10</v>
      </c>
      <c r="N9" s="13">
        <v>0</v>
      </c>
      <c r="O9" s="13">
        <v>6</v>
      </c>
      <c r="P9" s="13">
        <v>6</v>
      </c>
      <c r="Q9" s="13">
        <v>3</v>
      </c>
      <c r="R9" s="13">
        <v>69</v>
      </c>
      <c r="S9" s="13">
        <v>16</v>
      </c>
      <c r="T9" s="13">
        <v>24</v>
      </c>
      <c r="U9" s="13">
        <v>10</v>
      </c>
      <c r="V9" s="13">
        <v>4</v>
      </c>
      <c r="W9" s="13">
        <v>5</v>
      </c>
      <c r="X9" s="13">
        <v>4</v>
      </c>
      <c r="Y9" s="13">
        <v>6</v>
      </c>
      <c r="Z9" s="13">
        <v>2</v>
      </c>
      <c r="AA9" s="13">
        <v>4</v>
      </c>
      <c r="AB9" s="13">
        <v>5</v>
      </c>
      <c r="AC9" s="13">
        <v>2</v>
      </c>
      <c r="AD9" s="13">
        <v>14</v>
      </c>
    </row>
    <row r="10" spans="1:30" s="13" customFormat="1" x14ac:dyDescent="0.25">
      <c r="A10" s="13" t="s">
        <v>1882</v>
      </c>
      <c r="B10" s="13">
        <v>98</v>
      </c>
      <c r="C10" s="13">
        <v>26</v>
      </c>
      <c r="D10" s="13">
        <v>68</v>
      </c>
      <c r="E10" s="13">
        <v>22</v>
      </c>
      <c r="F10" s="13">
        <v>3</v>
      </c>
      <c r="G10" s="13">
        <v>36</v>
      </c>
      <c r="H10" s="13">
        <v>1</v>
      </c>
      <c r="I10" s="13">
        <v>0</v>
      </c>
      <c r="J10" s="13">
        <v>1</v>
      </c>
      <c r="K10" s="13">
        <v>7</v>
      </c>
      <c r="L10" s="13">
        <v>6</v>
      </c>
      <c r="M10" s="13">
        <v>3</v>
      </c>
      <c r="N10" s="13">
        <v>0</v>
      </c>
      <c r="O10" s="13">
        <v>2</v>
      </c>
      <c r="P10" s="13">
        <v>2</v>
      </c>
      <c r="Q10" s="13">
        <v>1</v>
      </c>
      <c r="R10" s="13">
        <v>28</v>
      </c>
      <c r="S10" s="13">
        <v>15</v>
      </c>
      <c r="T10" s="13">
        <v>8</v>
      </c>
      <c r="U10" s="13">
        <v>2</v>
      </c>
      <c r="V10" s="13">
        <v>2</v>
      </c>
      <c r="W10" s="13">
        <v>1</v>
      </c>
      <c r="X10" s="13">
        <v>2</v>
      </c>
      <c r="Y10" s="13">
        <v>0</v>
      </c>
      <c r="Z10" s="13">
        <v>1</v>
      </c>
      <c r="AA10" s="13">
        <v>4</v>
      </c>
      <c r="AB10" s="13">
        <v>7</v>
      </c>
      <c r="AC10" s="13">
        <v>0</v>
      </c>
      <c r="AD10" s="13">
        <v>9</v>
      </c>
    </row>
    <row r="11" spans="1:30" s="13" customFormat="1" x14ac:dyDescent="0.25">
      <c r="A11" s="13" t="s">
        <v>1883</v>
      </c>
      <c r="B11" s="13">
        <v>116</v>
      </c>
      <c r="C11" s="13">
        <v>26</v>
      </c>
      <c r="D11" s="13">
        <v>72</v>
      </c>
      <c r="E11" s="13">
        <v>25</v>
      </c>
      <c r="F11" s="13">
        <v>1</v>
      </c>
      <c r="G11" s="13">
        <v>9</v>
      </c>
      <c r="H11" s="13">
        <v>1</v>
      </c>
      <c r="I11" s="13">
        <v>1</v>
      </c>
      <c r="J11" s="13">
        <v>2</v>
      </c>
      <c r="K11" s="13">
        <v>13</v>
      </c>
      <c r="L11" s="13">
        <v>7</v>
      </c>
      <c r="M11" s="13">
        <v>1</v>
      </c>
      <c r="N11" s="13">
        <v>0</v>
      </c>
      <c r="O11" s="13">
        <v>3</v>
      </c>
      <c r="P11" s="13">
        <v>1</v>
      </c>
      <c r="Q11" s="13">
        <v>2</v>
      </c>
      <c r="R11" s="13">
        <v>21</v>
      </c>
      <c r="S11" s="13">
        <v>29</v>
      </c>
      <c r="T11" s="13">
        <v>4</v>
      </c>
      <c r="U11" s="13">
        <v>2</v>
      </c>
      <c r="V11" s="13">
        <v>4</v>
      </c>
      <c r="W11" s="13">
        <v>0</v>
      </c>
      <c r="X11" s="13">
        <v>3</v>
      </c>
      <c r="Y11" s="13">
        <v>2</v>
      </c>
      <c r="Z11" s="13">
        <v>5</v>
      </c>
      <c r="AA11" s="13">
        <v>1</v>
      </c>
      <c r="AB11" s="13">
        <v>22</v>
      </c>
      <c r="AC11" s="13">
        <v>0</v>
      </c>
      <c r="AD11" s="13">
        <v>1</v>
      </c>
    </row>
    <row r="12" spans="1:30" s="13" customFormat="1" x14ac:dyDescent="0.25">
      <c r="A12" s="13" t="s">
        <v>1884</v>
      </c>
      <c r="B12" s="13">
        <v>115</v>
      </c>
      <c r="C12" s="13">
        <v>23</v>
      </c>
      <c r="D12" s="13">
        <v>102</v>
      </c>
      <c r="E12" s="13">
        <v>38</v>
      </c>
      <c r="F12" s="13">
        <v>2</v>
      </c>
      <c r="G12" s="13">
        <v>23</v>
      </c>
      <c r="H12" s="13">
        <v>0</v>
      </c>
      <c r="I12" s="13">
        <v>0</v>
      </c>
      <c r="J12" s="13">
        <v>4</v>
      </c>
      <c r="K12" s="13">
        <v>7</v>
      </c>
      <c r="L12" s="13">
        <v>9</v>
      </c>
      <c r="M12" s="13">
        <v>5</v>
      </c>
      <c r="N12" s="13">
        <v>1</v>
      </c>
      <c r="O12" s="13">
        <v>3</v>
      </c>
      <c r="P12" s="13">
        <v>6</v>
      </c>
      <c r="Q12" s="13">
        <v>0</v>
      </c>
      <c r="R12" s="13">
        <v>27</v>
      </c>
      <c r="S12" s="13">
        <v>2</v>
      </c>
      <c r="T12" s="13">
        <v>9</v>
      </c>
      <c r="U12" s="13">
        <v>1</v>
      </c>
      <c r="V12" s="13">
        <v>2</v>
      </c>
      <c r="W12" s="13">
        <v>1</v>
      </c>
      <c r="X12" s="13">
        <v>1</v>
      </c>
      <c r="Y12" s="13">
        <v>0</v>
      </c>
      <c r="Z12" s="13">
        <v>9</v>
      </c>
      <c r="AA12" s="13">
        <v>1</v>
      </c>
      <c r="AB12" s="13">
        <v>11</v>
      </c>
      <c r="AC12" s="13">
        <v>1</v>
      </c>
      <c r="AD12" s="13">
        <v>8</v>
      </c>
    </row>
    <row r="13" spans="1:30" s="13" customFormat="1" x14ac:dyDescent="0.25">
      <c r="A13" s="13" t="s">
        <v>1885</v>
      </c>
      <c r="B13" s="13">
        <v>135</v>
      </c>
      <c r="C13" s="13">
        <v>6</v>
      </c>
      <c r="D13" s="13">
        <v>77</v>
      </c>
      <c r="E13" s="13">
        <v>20</v>
      </c>
      <c r="F13" s="13">
        <v>2</v>
      </c>
      <c r="G13" s="13">
        <v>41</v>
      </c>
      <c r="H13" s="13">
        <v>3</v>
      </c>
      <c r="I13" s="13">
        <v>0</v>
      </c>
      <c r="J13" s="13">
        <v>0</v>
      </c>
      <c r="K13" s="13">
        <v>18</v>
      </c>
      <c r="L13" s="13">
        <v>3</v>
      </c>
      <c r="M13" s="13">
        <v>6</v>
      </c>
      <c r="N13" s="13">
        <v>0</v>
      </c>
      <c r="O13" s="13">
        <v>1</v>
      </c>
      <c r="P13" s="13">
        <v>0</v>
      </c>
      <c r="Q13" s="13">
        <v>1</v>
      </c>
      <c r="R13" s="13">
        <v>34</v>
      </c>
      <c r="S13" s="13">
        <v>9</v>
      </c>
      <c r="T13" s="13">
        <v>6</v>
      </c>
      <c r="U13" s="13">
        <v>6</v>
      </c>
      <c r="V13" s="13">
        <v>9</v>
      </c>
      <c r="W13" s="13">
        <v>10</v>
      </c>
      <c r="X13" s="13">
        <v>0</v>
      </c>
      <c r="Y13" s="13">
        <v>1</v>
      </c>
      <c r="Z13" s="13">
        <v>0</v>
      </c>
      <c r="AA13" s="13">
        <v>0</v>
      </c>
      <c r="AB13" s="13">
        <v>3</v>
      </c>
      <c r="AC13" s="13">
        <v>0</v>
      </c>
      <c r="AD13" s="13">
        <v>2</v>
      </c>
    </row>
    <row r="14" spans="1:30" s="13" customFormat="1" x14ac:dyDescent="0.25">
      <c r="A14" s="13" t="s">
        <v>1886</v>
      </c>
      <c r="B14" s="13">
        <v>246</v>
      </c>
      <c r="C14" s="13">
        <v>59</v>
      </c>
      <c r="D14" s="13">
        <v>135</v>
      </c>
      <c r="E14" s="13">
        <v>43</v>
      </c>
      <c r="F14" s="13">
        <v>7</v>
      </c>
      <c r="G14" s="13">
        <v>19</v>
      </c>
      <c r="H14" s="13">
        <v>0</v>
      </c>
      <c r="I14" s="13">
        <v>0</v>
      </c>
      <c r="J14" s="13">
        <v>0</v>
      </c>
      <c r="K14" s="13">
        <v>22</v>
      </c>
      <c r="L14" s="13">
        <v>3</v>
      </c>
      <c r="M14" s="13">
        <v>1</v>
      </c>
      <c r="N14" s="13">
        <v>0</v>
      </c>
      <c r="O14" s="13">
        <v>0</v>
      </c>
      <c r="P14" s="13">
        <v>8</v>
      </c>
      <c r="Q14" s="13">
        <v>0</v>
      </c>
      <c r="R14" s="13">
        <v>19</v>
      </c>
      <c r="S14" s="13">
        <v>0</v>
      </c>
      <c r="T14" s="13">
        <v>10</v>
      </c>
      <c r="U14" s="13">
        <v>0</v>
      </c>
      <c r="V14" s="13">
        <v>4</v>
      </c>
      <c r="W14" s="13">
        <v>0</v>
      </c>
      <c r="X14" s="13">
        <v>0</v>
      </c>
      <c r="Y14" s="13">
        <v>0</v>
      </c>
      <c r="Z14" s="13">
        <v>0</v>
      </c>
      <c r="AA14" s="13">
        <v>1</v>
      </c>
      <c r="AB14" s="13">
        <v>5</v>
      </c>
      <c r="AC14" s="13">
        <v>0</v>
      </c>
      <c r="AD14" s="13">
        <v>2</v>
      </c>
    </row>
    <row r="15" spans="1:30" s="13" customFormat="1" x14ac:dyDescent="0.25">
      <c r="A15" s="13" t="s">
        <v>1887</v>
      </c>
      <c r="B15" s="13">
        <v>223</v>
      </c>
      <c r="C15" s="13">
        <v>23</v>
      </c>
      <c r="D15" s="13">
        <v>132</v>
      </c>
      <c r="E15" s="13">
        <v>28</v>
      </c>
      <c r="F15" s="13">
        <v>2</v>
      </c>
      <c r="G15" s="13">
        <v>11</v>
      </c>
      <c r="H15" s="13">
        <v>1</v>
      </c>
      <c r="I15" s="13">
        <v>0</v>
      </c>
      <c r="J15" s="13">
        <v>1</v>
      </c>
      <c r="K15" s="13">
        <v>1</v>
      </c>
      <c r="L15" s="13">
        <v>0</v>
      </c>
      <c r="M15" s="13">
        <v>1</v>
      </c>
      <c r="N15" s="13">
        <v>0</v>
      </c>
      <c r="O15" s="13">
        <v>1</v>
      </c>
      <c r="P15" s="13">
        <v>1</v>
      </c>
      <c r="Q15" s="13">
        <v>0</v>
      </c>
      <c r="R15" s="13">
        <v>13</v>
      </c>
      <c r="S15" s="13">
        <v>4</v>
      </c>
      <c r="T15" s="13">
        <v>1</v>
      </c>
      <c r="U15" s="13">
        <v>2</v>
      </c>
      <c r="V15" s="13">
        <v>1</v>
      </c>
      <c r="W15" s="13">
        <v>1</v>
      </c>
      <c r="X15" s="13">
        <v>0</v>
      </c>
      <c r="Y15" s="13">
        <v>1</v>
      </c>
      <c r="Z15" s="13">
        <v>2</v>
      </c>
      <c r="AA15" s="13">
        <v>3</v>
      </c>
      <c r="AB15" s="13">
        <v>3</v>
      </c>
      <c r="AC15" s="13">
        <v>1</v>
      </c>
      <c r="AD15" s="13">
        <v>0</v>
      </c>
    </row>
    <row r="16" spans="1:30" s="13" customFormat="1" x14ac:dyDescent="0.25">
      <c r="A16" s="13" t="s">
        <v>1888</v>
      </c>
      <c r="B16" s="13">
        <v>119</v>
      </c>
      <c r="C16" s="13">
        <v>28</v>
      </c>
      <c r="D16" s="13">
        <v>85</v>
      </c>
      <c r="E16" s="13">
        <v>30</v>
      </c>
      <c r="F16" s="13">
        <v>3</v>
      </c>
      <c r="G16" s="13">
        <v>10</v>
      </c>
      <c r="H16" s="13">
        <v>4</v>
      </c>
      <c r="I16" s="13">
        <v>0</v>
      </c>
      <c r="J16" s="13">
        <v>0</v>
      </c>
      <c r="K16" s="13">
        <v>2</v>
      </c>
      <c r="L16" s="13">
        <v>0</v>
      </c>
      <c r="M16" s="13">
        <v>3</v>
      </c>
      <c r="N16" s="13">
        <v>2</v>
      </c>
      <c r="O16" s="13">
        <v>1</v>
      </c>
      <c r="P16" s="13">
        <v>1</v>
      </c>
      <c r="Q16" s="13">
        <v>0</v>
      </c>
      <c r="R16" s="13">
        <v>22</v>
      </c>
      <c r="S16" s="13">
        <v>6</v>
      </c>
      <c r="T16" s="13">
        <v>10</v>
      </c>
      <c r="U16" s="13">
        <v>0</v>
      </c>
      <c r="V16" s="13">
        <v>1</v>
      </c>
      <c r="W16" s="13">
        <v>1</v>
      </c>
      <c r="X16" s="13">
        <v>0</v>
      </c>
      <c r="Y16" s="13">
        <v>0</v>
      </c>
      <c r="Z16" s="13">
        <v>0</v>
      </c>
      <c r="AA16" s="13">
        <v>1</v>
      </c>
      <c r="AB16" s="13">
        <v>2</v>
      </c>
      <c r="AC16" s="13">
        <v>2</v>
      </c>
      <c r="AD16" s="13">
        <v>3</v>
      </c>
    </row>
    <row r="17" spans="1:30" s="13" customFormat="1" x14ac:dyDescent="0.25">
      <c r="A17" s="13" t="s">
        <v>1889</v>
      </c>
      <c r="B17" s="13">
        <v>159</v>
      </c>
      <c r="C17" s="13">
        <v>11</v>
      </c>
      <c r="D17" s="13">
        <v>60</v>
      </c>
      <c r="E17" s="13">
        <v>15</v>
      </c>
      <c r="F17" s="13">
        <v>0</v>
      </c>
      <c r="G17" s="13">
        <v>21</v>
      </c>
      <c r="H17" s="13">
        <v>5</v>
      </c>
      <c r="I17" s="13">
        <v>0</v>
      </c>
      <c r="J17" s="13">
        <v>2</v>
      </c>
      <c r="K17" s="13">
        <v>7</v>
      </c>
      <c r="L17" s="13">
        <v>1</v>
      </c>
      <c r="M17" s="13">
        <v>6</v>
      </c>
      <c r="N17" s="13">
        <v>0</v>
      </c>
      <c r="O17" s="13">
        <v>1</v>
      </c>
      <c r="P17" s="13">
        <v>4</v>
      </c>
      <c r="Q17" s="13">
        <v>0</v>
      </c>
      <c r="R17" s="13">
        <v>15</v>
      </c>
      <c r="S17" s="13">
        <v>0</v>
      </c>
      <c r="T17" s="13">
        <v>1</v>
      </c>
      <c r="U17" s="13">
        <v>3</v>
      </c>
      <c r="V17" s="13">
        <v>2</v>
      </c>
      <c r="W17" s="13">
        <v>5</v>
      </c>
      <c r="X17" s="13">
        <v>2</v>
      </c>
      <c r="Y17" s="13">
        <v>0</v>
      </c>
      <c r="Z17" s="13">
        <v>1</v>
      </c>
      <c r="AA17" s="13">
        <v>0</v>
      </c>
      <c r="AB17" s="13">
        <v>0</v>
      </c>
      <c r="AC17" s="13">
        <v>4</v>
      </c>
      <c r="AD17" s="13">
        <v>0</v>
      </c>
    </row>
    <row r="18" spans="1:30" s="13" customFormat="1" x14ac:dyDescent="0.25">
      <c r="A18" s="13" t="s">
        <v>1890</v>
      </c>
      <c r="B18" s="13">
        <v>197</v>
      </c>
      <c r="C18" s="13">
        <v>30</v>
      </c>
      <c r="D18" s="13">
        <v>73</v>
      </c>
      <c r="E18" s="13">
        <v>35</v>
      </c>
      <c r="F18" s="13">
        <v>3</v>
      </c>
      <c r="G18" s="13">
        <v>9</v>
      </c>
      <c r="H18" s="13">
        <v>1</v>
      </c>
      <c r="I18" s="13">
        <v>5</v>
      </c>
      <c r="J18" s="13">
        <v>0</v>
      </c>
      <c r="K18" s="13">
        <v>2</v>
      </c>
      <c r="L18" s="13">
        <v>0</v>
      </c>
      <c r="M18" s="13">
        <v>1</v>
      </c>
      <c r="N18" s="13">
        <v>0</v>
      </c>
      <c r="O18" s="13">
        <v>0</v>
      </c>
      <c r="P18" s="13">
        <v>1</v>
      </c>
      <c r="Q18" s="13">
        <v>0</v>
      </c>
      <c r="R18" s="13">
        <v>22</v>
      </c>
      <c r="S18" s="13">
        <v>4</v>
      </c>
      <c r="T18" s="13">
        <v>1</v>
      </c>
      <c r="U18" s="13">
        <v>2</v>
      </c>
      <c r="V18" s="13">
        <v>2</v>
      </c>
      <c r="W18" s="13">
        <v>3</v>
      </c>
      <c r="X18" s="13">
        <v>0</v>
      </c>
      <c r="Y18" s="13">
        <v>0</v>
      </c>
      <c r="Z18" s="13">
        <v>5</v>
      </c>
      <c r="AA18" s="13">
        <v>7</v>
      </c>
      <c r="AB18" s="13">
        <v>3</v>
      </c>
      <c r="AC18" s="13">
        <v>1</v>
      </c>
      <c r="AD18" s="13">
        <v>14</v>
      </c>
    </row>
    <row r="19" spans="1:30" s="13" customFormat="1" x14ac:dyDescent="0.25">
      <c r="A19" s="13" t="s">
        <v>24</v>
      </c>
      <c r="B19" s="13">
        <v>286</v>
      </c>
      <c r="C19" s="13">
        <v>26</v>
      </c>
      <c r="D19" s="13">
        <v>124</v>
      </c>
      <c r="E19" s="13">
        <v>33</v>
      </c>
      <c r="F19" s="13">
        <v>1</v>
      </c>
      <c r="G19" s="13">
        <v>8</v>
      </c>
      <c r="H19" s="13">
        <v>0</v>
      </c>
      <c r="I19" s="13">
        <v>0</v>
      </c>
      <c r="J19" s="13">
        <v>1</v>
      </c>
      <c r="K19" s="13">
        <v>3</v>
      </c>
      <c r="L19" s="13">
        <v>1</v>
      </c>
      <c r="M19" s="13">
        <v>1</v>
      </c>
      <c r="N19" s="13">
        <v>0</v>
      </c>
      <c r="O19" s="13">
        <v>1</v>
      </c>
      <c r="P19" s="13">
        <v>1</v>
      </c>
      <c r="Q19" s="13">
        <v>1</v>
      </c>
      <c r="R19" s="13">
        <v>9</v>
      </c>
      <c r="S19" s="13">
        <v>11</v>
      </c>
      <c r="T19" s="13">
        <v>1</v>
      </c>
      <c r="U19" s="13">
        <v>0</v>
      </c>
      <c r="V19" s="13">
        <v>1</v>
      </c>
      <c r="W19" s="13">
        <v>0</v>
      </c>
      <c r="X19" s="13">
        <v>0</v>
      </c>
      <c r="Y19" s="13">
        <v>1</v>
      </c>
      <c r="Z19" s="13">
        <v>2</v>
      </c>
      <c r="AA19" s="13">
        <v>8</v>
      </c>
      <c r="AB19" s="13">
        <v>0</v>
      </c>
      <c r="AC19" s="13">
        <v>0</v>
      </c>
      <c r="AD19" s="13">
        <v>3</v>
      </c>
    </row>
    <row r="20" spans="1:30" s="13" customFormat="1" x14ac:dyDescent="0.3">
      <c r="A20" s="12" t="s">
        <v>1891</v>
      </c>
      <c r="B20" s="12">
        <f t="shared" ref="B20:AD20" si="0">SUM(B4:B19)</f>
        <v>2307</v>
      </c>
      <c r="C20" s="12">
        <f t="shared" si="0"/>
        <v>383</v>
      </c>
      <c r="D20" s="12">
        <f t="shared" si="0"/>
        <v>1478</v>
      </c>
      <c r="E20" s="12">
        <f t="shared" si="0"/>
        <v>448</v>
      </c>
      <c r="F20" s="12">
        <f t="shared" si="0"/>
        <v>36</v>
      </c>
      <c r="G20" s="12">
        <f t="shared" si="0"/>
        <v>339</v>
      </c>
      <c r="H20" s="12">
        <f t="shared" si="0"/>
        <v>26</v>
      </c>
      <c r="I20" s="12">
        <f t="shared" si="0"/>
        <v>10</v>
      </c>
      <c r="J20" s="12">
        <f t="shared" si="0"/>
        <v>25</v>
      </c>
      <c r="K20" s="12">
        <f t="shared" si="0"/>
        <v>158</v>
      </c>
      <c r="L20" s="12">
        <f t="shared" si="0"/>
        <v>69</v>
      </c>
      <c r="M20" s="12">
        <f t="shared" si="0"/>
        <v>53</v>
      </c>
      <c r="N20" s="12">
        <f t="shared" si="0"/>
        <v>20</v>
      </c>
      <c r="O20" s="12">
        <f t="shared" si="0"/>
        <v>31</v>
      </c>
      <c r="P20" s="12">
        <f t="shared" si="0"/>
        <v>37</v>
      </c>
      <c r="Q20" s="12">
        <f t="shared" si="0"/>
        <v>16</v>
      </c>
      <c r="R20" s="12">
        <f t="shared" si="0"/>
        <v>425</v>
      </c>
      <c r="S20" s="12">
        <f t="shared" si="0"/>
        <v>138</v>
      </c>
      <c r="T20" s="12">
        <f t="shared" si="0"/>
        <v>130</v>
      </c>
      <c r="U20" s="12">
        <f t="shared" si="0"/>
        <v>52</v>
      </c>
      <c r="V20" s="12">
        <f t="shared" si="0"/>
        <v>74</v>
      </c>
      <c r="W20" s="12">
        <f t="shared" si="0"/>
        <v>41</v>
      </c>
      <c r="X20" s="12">
        <f t="shared" si="0"/>
        <v>36</v>
      </c>
      <c r="Y20" s="12">
        <f t="shared" si="0"/>
        <v>13</v>
      </c>
      <c r="Z20" s="12">
        <f t="shared" si="0"/>
        <v>35</v>
      </c>
      <c r="AA20" s="12">
        <f t="shared" si="0"/>
        <v>37</v>
      </c>
      <c r="AB20" s="12">
        <f t="shared" si="0"/>
        <v>92</v>
      </c>
      <c r="AC20" s="12">
        <f t="shared" si="0"/>
        <v>15</v>
      </c>
      <c r="AD20" s="12">
        <f t="shared" si="0"/>
        <v>102</v>
      </c>
    </row>
    <row r="21" spans="1:30" s="13" customFormat="1" ht="52.2" x14ac:dyDescent="0.25">
      <c r="A21" s="19" t="s">
        <v>1892</v>
      </c>
      <c r="B21" s="13" t="s">
        <v>1893</v>
      </c>
    </row>
    <row r="22" spans="1:30" s="13" customFormat="1" x14ac:dyDescent="0.3">
      <c r="A22" s="12" t="s">
        <v>25</v>
      </c>
      <c r="B22" s="13" t="s">
        <v>2</v>
      </c>
      <c r="C22" s="13" t="s">
        <v>3</v>
      </c>
      <c r="D22" s="13" t="s">
        <v>4</v>
      </c>
      <c r="E22" s="13" t="s">
        <v>3</v>
      </c>
      <c r="F22" s="13" t="s">
        <v>3</v>
      </c>
      <c r="G22" s="13" t="s">
        <v>6</v>
      </c>
      <c r="H22" s="13" t="s">
        <v>6</v>
      </c>
      <c r="I22" s="13" t="s">
        <v>6</v>
      </c>
      <c r="J22" s="13" t="s">
        <v>22</v>
      </c>
      <c r="K22" s="13" t="s">
        <v>1139</v>
      </c>
      <c r="L22" s="13" t="s">
        <v>1137</v>
      </c>
      <c r="M22" s="13" t="s">
        <v>1143</v>
      </c>
      <c r="N22" s="13" t="s">
        <v>1143</v>
      </c>
      <c r="O22" s="13" t="s">
        <v>20</v>
      </c>
      <c r="P22" s="13" t="s">
        <v>20</v>
      </c>
      <c r="Q22" s="13" t="s">
        <v>20</v>
      </c>
      <c r="R22" s="13" t="s">
        <v>38</v>
      </c>
      <c r="S22" s="13" t="s">
        <v>8</v>
      </c>
      <c r="T22" s="13" t="s">
        <v>8</v>
      </c>
      <c r="U22" s="13" t="s">
        <v>8</v>
      </c>
      <c r="V22" s="13" t="s">
        <v>8</v>
      </c>
      <c r="W22" s="13" t="s">
        <v>8</v>
      </c>
      <c r="X22" s="13" t="s">
        <v>8</v>
      </c>
      <c r="Y22" s="13" t="s">
        <v>8</v>
      </c>
      <c r="Z22" s="13" t="s">
        <v>8</v>
      </c>
      <c r="AA22" s="13" t="s">
        <v>8</v>
      </c>
      <c r="AB22" s="13" t="s">
        <v>8</v>
      </c>
      <c r="AC22" s="13" t="s">
        <v>13</v>
      </c>
      <c r="AD22" s="13" t="s">
        <v>13</v>
      </c>
    </row>
    <row r="23" spans="1:30" s="13" customFormat="1" x14ac:dyDescent="0.3">
      <c r="A23" s="12" t="s">
        <v>0</v>
      </c>
      <c r="B23" s="12" t="s">
        <v>1</v>
      </c>
      <c r="C23" s="12" t="s">
        <v>29</v>
      </c>
      <c r="D23" s="12" t="s">
        <v>1140</v>
      </c>
      <c r="E23" s="12" t="s">
        <v>14</v>
      </c>
      <c r="F23" s="12" t="s">
        <v>18</v>
      </c>
      <c r="G23" s="12" t="s">
        <v>5</v>
      </c>
      <c r="H23" s="12" t="s">
        <v>1141</v>
      </c>
      <c r="I23" s="12" t="s">
        <v>1174</v>
      </c>
      <c r="J23" s="12" t="s">
        <v>21</v>
      </c>
      <c r="K23" s="12" t="s">
        <v>1138</v>
      </c>
      <c r="L23" s="12" t="s">
        <v>1136</v>
      </c>
      <c r="M23" s="12" t="s">
        <v>1142</v>
      </c>
      <c r="N23" s="12" t="s">
        <v>1148</v>
      </c>
      <c r="O23" s="12" t="s">
        <v>1144</v>
      </c>
      <c r="P23" s="12" t="s">
        <v>1149</v>
      </c>
      <c r="Q23" s="12" t="s">
        <v>1145</v>
      </c>
      <c r="R23" s="12" t="s">
        <v>37</v>
      </c>
      <c r="S23" s="12" t="s">
        <v>9</v>
      </c>
      <c r="T23" s="12" t="s">
        <v>19</v>
      </c>
      <c r="U23" s="12" t="s">
        <v>15</v>
      </c>
      <c r="V23" s="12" t="s">
        <v>17</v>
      </c>
      <c r="W23" s="12" t="s">
        <v>11</v>
      </c>
      <c r="X23" s="12" t="s">
        <v>7</v>
      </c>
      <c r="Y23" s="12" t="s">
        <v>1147</v>
      </c>
      <c r="Z23" s="12" t="s">
        <v>1146</v>
      </c>
      <c r="AA23" s="12" t="s">
        <v>10</v>
      </c>
      <c r="AB23" s="12" t="s">
        <v>1175</v>
      </c>
      <c r="AC23" s="12" t="s">
        <v>16</v>
      </c>
      <c r="AD23" s="12" t="s">
        <v>12</v>
      </c>
    </row>
    <row r="24" spans="1:30" s="13" customFormat="1" x14ac:dyDescent="0.3">
      <c r="A24" s="13" t="s">
        <v>1876</v>
      </c>
      <c r="B24" s="12">
        <v>163</v>
      </c>
      <c r="C24" s="12">
        <v>27</v>
      </c>
      <c r="D24" s="12">
        <v>104</v>
      </c>
      <c r="E24" s="12">
        <v>32</v>
      </c>
      <c r="F24" s="12">
        <v>3</v>
      </c>
      <c r="G24" s="12">
        <v>24</v>
      </c>
      <c r="H24" s="12">
        <v>2</v>
      </c>
      <c r="I24" s="12">
        <v>1</v>
      </c>
      <c r="J24" s="12">
        <v>2</v>
      </c>
      <c r="K24" s="12">
        <v>11</v>
      </c>
      <c r="L24" s="12">
        <v>5</v>
      </c>
      <c r="M24" s="12">
        <v>4</v>
      </c>
      <c r="N24" s="12">
        <v>1</v>
      </c>
      <c r="O24" s="12">
        <v>2</v>
      </c>
      <c r="P24" s="12">
        <v>3</v>
      </c>
      <c r="Q24" s="12">
        <v>1</v>
      </c>
      <c r="R24" s="12">
        <v>30</v>
      </c>
      <c r="S24" s="12">
        <v>10</v>
      </c>
      <c r="T24" s="12">
        <v>9</v>
      </c>
      <c r="U24" s="12">
        <v>4</v>
      </c>
      <c r="V24" s="12">
        <v>5</v>
      </c>
      <c r="W24" s="12">
        <v>3</v>
      </c>
      <c r="X24" s="12">
        <v>3</v>
      </c>
      <c r="Y24" s="12">
        <v>1</v>
      </c>
      <c r="Z24" s="12">
        <v>2</v>
      </c>
      <c r="AA24" s="12">
        <v>3</v>
      </c>
      <c r="AB24" s="12">
        <v>6</v>
      </c>
      <c r="AC24" s="12">
        <v>1</v>
      </c>
      <c r="AD24" s="12">
        <v>7</v>
      </c>
    </row>
    <row r="25" spans="1:30" s="13" customFormat="1" x14ac:dyDescent="0.3">
      <c r="A25" s="13" t="s">
        <v>1877</v>
      </c>
      <c r="B25" s="12">
        <v>117</v>
      </c>
      <c r="C25" s="12">
        <v>19</v>
      </c>
      <c r="D25" s="12">
        <v>75</v>
      </c>
      <c r="E25" s="12">
        <v>23</v>
      </c>
      <c r="F25" s="12">
        <v>2</v>
      </c>
      <c r="G25" s="12">
        <v>17</v>
      </c>
      <c r="H25" s="12">
        <v>1</v>
      </c>
      <c r="I25" s="12">
        <v>1</v>
      </c>
      <c r="J25" s="12">
        <v>1</v>
      </c>
      <c r="K25" s="12">
        <v>8</v>
      </c>
      <c r="L25" s="12">
        <v>4</v>
      </c>
      <c r="M25" s="12">
        <v>3</v>
      </c>
      <c r="N25" s="12">
        <v>1</v>
      </c>
      <c r="O25" s="12">
        <v>2</v>
      </c>
      <c r="P25" s="12">
        <v>2</v>
      </c>
      <c r="Q25" s="12">
        <v>1</v>
      </c>
      <c r="R25" s="12">
        <v>22</v>
      </c>
      <c r="S25" s="12">
        <v>7</v>
      </c>
      <c r="T25" s="12">
        <v>7</v>
      </c>
      <c r="U25" s="12">
        <v>3</v>
      </c>
      <c r="V25" s="12">
        <v>4</v>
      </c>
      <c r="W25" s="12">
        <v>2</v>
      </c>
      <c r="X25" s="12">
        <v>2</v>
      </c>
      <c r="Y25" s="12">
        <v>1</v>
      </c>
      <c r="Z25" s="12">
        <v>2</v>
      </c>
      <c r="AA25" s="12">
        <v>2</v>
      </c>
      <c r="AB25" s="12">
        <v>5</v>
      </c>
      <c r="AC25" s="12">
        <v>1</v>
      </c>
      <c r="AD25" s="12">
        <v>5</v>
      </c>
    </row>
    <row r="26" spans="1:30" s="13" customFormat="1" x14ac:dyDescent="0.3">
      <c r="A26" s="13" t="s">
        <v>1878</v>
      </c>
      <c r="B26" s="12">
        <v>147</v>
      </c>
      <c r="C26" s="12">
        <v>24</v>
      </c>
      <c r="D26" s="12">
        <v>94</v>
      </c>
      <c r="E26" s="12">
        <v>29</v>
      </c>
      <c r="F26" s="12">
        <v>2</v>
      </c>
      <c r="G26" s="12">
        <v>22</v>
      </c>
      <c r="H26" s="12">
        <v>2</v>
      </c>
      <c r="I26" s="12">
        <v>1</v>
      </c>
      <c r="J26" s="12">
        <v>2</v>
      </c>
      <c r="K26" s="12">
        <v>10</v>
      </c>
      <c r="L26" s="12">
        <v>4</v>
      </c>
      <c r="M26" s="12">
        <v>3</v>
      </c>
      <c r="N26" s="12">
        <v>1</v>
      </c>
      <c r="O26" s="12">
        <v>2</v>
      </c>
      <c r="P26" s="12">
        <v>2</v>
      </c>
      <c r="Q26" s="12">
        <v>1</v>
      </c>
      <c r="R26" s="12">
        <v>27</v>
      </c>
      <c r="S26" s="12">
        <v>9</v>
      </c>
      <c r="T26" s="12">
        <v>8</v>
      </c>
      <c r="U26" s="12">
        <v>3</v>
      </c>
      <c r="V26" s="12">
        <v>5</v>
      </c>
      <c r="W26" s="12">
        <v>3</v>
      </c>
      <c r="X26" s="12">
        <v>2</v>
      </c>
      <c r="Y26" s="12">
        <v>1</v>
      </c>
      <c r="Z26" s="12">
        <v>2</v>
      </c>
      <c r="AA26" s="12">
        <v>2</v>
      </c>
      <c r="AB26" s="12">
        <v>6</v>
      </c>
      <c r="AC26" s="12">
        <v>1</v>
      </c>
      <c r="AD26" s="12">
        <v>6</v>
      </c>
    </row>
    <row r="27" spans="1:30" s="13" customFormat="1" x14ac:dyDescent="0.3">
      <c r="A27" s="13" t="s">
        <v>1879</v>
      </c>
      <c r="B27" s="12">
        <v>109</v>
      </c>
      <c r="C27" s="12">
        <v>18</v>
      </c>
      <c r="D27" s="12">
        <v>70</v>
      </c>
      <c r="E27" s="12">
        <v>21</v>
      </c>
      <c r="F27" s="12">
        <v>2</v>
      </c>
      <c r="G27" s="12">
        <v>16</v>
      </c>
      <c r="H27" s="12">
        <v>1</v>
      </c>
      <c r="I27" s="12">
        <v>0</v>
      </c>
      <c r="J27" s="12">
        <v>1</v>
      </c>
      <c r="K27" s="12">
        <v>7</v>
      </c>
      <c r="L27" s="12">
        <v>3</v>
      </c>
      <c r="M27" s="12">
        <v>2</v>
      </c>
      <c r="N27" s="12">
        <v>1</v>
      </c>
      <c r="O27" s="12">
        <v>1</v>
      </c>
      <c r="P27" s="12">
        <v>2</v>
      </c>
      <c r="Q27" s="12">
        <v>1</v>
      </c>
      <c r="R27" s="12">
        <v>20</v>
      </c>
      <c r="S27" s="12">
        <v>6</v>
      </c>
      <c r="T27" s="12">
        <v>6</v>
      </c>
      <c r="U27" s="12">
        <v>2</v>
      </c>
      <c r="V27" s="12">
        <v>3</v>
      </c>
      <c r="W27" s="12">
        <v>2</v>
      </c>
      <c r="X27" s="12">
        <v>2</v>
      </c>
      <c r="Y27" s="12">
        <v>1</v>
      </c>
      <c r="Z27" s="12">
        <v>2</v>
      </c>
      <c r="AA27" s="12">
        <v>2</v>
      </c>
      <c r="AB27" s="12">
        <v>4</v>
      </c>
      <c r="AC27" s="12">
        <v>1</v>
      </c>
      <c r="AD27" s="12">
        <v>5</v>
      </c>
    </row>
    <row r="28" spans="1:30" s="13" customFormat="1" x14ac:dyDescent="0.3">
      <c r="A28" s="13" t="s">
        <v>1880</v>
      </c>
      <c r="B28" s="12">
        <v>108</v>
      </c>
      <c r="C28" s="12">
        <v>18</v>
      </c>
      <c r="D28" s="12">
        <v>69</v>
      </c>
      <c r="E28" s="12">
        <v>21</v>
      </c>
      <c r="F28" s="12">
        <v>2</v>
      </c>
      <c r="G28" s="12">
        <v>16</v>
      </c>
      <c r="H28" s="12">
        <v>1</v>
      </c>
      <c r="I28" s="12">
        <v>0</v>
      </c>
      <c r="J28" s="12">
        <v>1</v>
      </c>
      <c r="K28" s="12">
        <v>7</v>
      </c>
      <c r="L28" s="12">
        <v>3</v>
      </c>
      <c r="M28" s="12">
        <v>2</v>
      </c>
      <c r="N28" s="12">
        <v>1</v>
      </c>
      <c r="O28" s="12">
        <v>1</v>
      </c>
      <c r="P28" s="12">
        <v>2</v>
      </c>
      <c r="Q28" s="12">
        <v>1</v>
      </c>
      <c r="R28" s="12">
        <v>20</v>
      </c>
      <c r="S28" s="12">
        <v>6</v>
      </c>
      <c r="T28" s="12">
        <v>6</v>
      </c>
      <c r="U28" s="12">
        <v>2</v>
      </c>
      <c r="V28" s="12">
        <v>3</v>
      </c>
      <c r="W28" s="12">
        <v>2</v>
      </c>
      <c r="X28" s="12">
        <v>2</v>
      </c>
      <c r="Y28" s="12">
        <v>1</v>
      </c>
      <c r="Z28" s="12">
        <v>2</v>
      </c>
      <c r="AA28" s="12">
        <v>2</v>
      </c>
      <c r="AB28" s="12">
        <v>4</v>
      </c>
      <c r="AC28" s="12">
        <v>1</v>
      </c>
      <c r="AD28" s="12">
        <v>5</v>
      </c>
    </row>
    <row r="29" spans="1:30" s="13" customFormat="1" x14ac:dyDescent="0.3">
      <c r="A29" s="13" t="s">
        <v>1881</v>
      </c>
      <c r="B29" s="12">
        <v>209</v>
      </c>
      <c r="C29" s="12">
        <v>35</v>
      </c>
      <c r="D29" s="12">
        <v>134</v>
      </c>
      <c r="E29" s="12">
        <v>41</v>
      </c>
      <c r="F29" s="12">
        <v>3</v>
      </c>
      <c r="G29" s="12">
        <v>31</v>
      </c>
      <c r="H29" s="12">
        <v>2</v>
      </c>
      <c r="I29" s="12">
        <v>1</v>
      </c>
      <c r="J29" s="12">
        <v>2</v>
      </c>
      <c r="K29" s="12">
        <v>14</v>
      </c>
      <c r="L29" s="12">
        <v>6</v>
      </c>
      <c r="M29" s="12">
        <v>5</v>
      </c>
      <c r="N29" s="12">
        <v>2</v>
      </c>
      <c r="O29" s="12">
        <v>3</v>
      </c>
      <c r="P29" s="12">
        <v>3</v>
      </c>
      <c r="Q29" s="12">
        <v>1</v>
      </c>
      <c r="R29" s="12">
        <v>38</v>
      </c>
      <c r="S29" s="12">
        <v>12</v>
      </c>
      <c r="T29" s="12">
        <v>12</v>
      </c>
      <c r="U29" s="12">
        <v>5</v>
      </c>
      <c r="V29" s="12">
        <v>7</v>
      </c>
      <c r="W29" s="12">
        <v>4</v>
      </c>
      <c r="X29" s="12">
        <v>3</v>
      </c>
      <c r="Y29" s="12">
        <v>1</v>
      </c>
      <c r="Z29" s="12">
        <v>3</v>
      </c>
      <c r="AA29" s="12">
        <v>3</v>
      </c>
      <c r="AB29" s="12">
        <v>8</v>
      </c>
      <c r="AC29" s="12">
        <v>1</v>
      </c>
      <c r="AD29" s="12">
        <v>9</v>
      </c>
    </row>
    <row r="30" spans="1:30" s="13" customFormat="1" x14ac:dyDescent="0.3">
      <c r="A30" s="13" t="s">
        <v>1882</v>
      </c>
      <c r="B30" s="12">
        <v>124</v>
      </c>
      <c r="C30" s="12">
        <v>21</v>
      </c>
      <c r="D30" s="12">
        <v>79</v>
      </c>
      <c r="E30" s="12">
        <v>24</v>
      </c>
      <c r="F30" s="12">
        <v>2</v>
      </c>
      <c r="G30" s="12">
        <v>18</v>
      </c>
      <c r="H30" s="12">
        <v>1</v>
      </c>
      <c r="I30" s="12">
        <v>1</v>
      </c>
      <c r="J30" s="12">
        <v>1</v>
      </c>
      <c r="K30" s="12">
        <v>8</v>
      </c>
      <c r="L30" s="12">
        <v>4</v>
      </c>
      <c r="M30" s="12">
        <v>3</v>
      </c>
      <c r="N30" s="12">
        <v>1</v>
      </c>
      <c r="O30" s="12">
        <v>2</v>
      </c>
      <c r="P30" s="12">
        <v>2</v>
      </c>
      <c r="Q30" s="12">
        <v>1</v>
      </c>
      <c r="R30" s="12">
        <v>23</v>
      </c>
      <c r="S30" s="12">
        <v>7</v>
      </c>
      <c r="T30" s="12">
        <v>7</v>
      </c>
      <c r="U30" s="12">
        <v>3</v>
      </c>
      <c r="V30" s="12">
        <v>4</v>
      </c>
      <c r="W30" s="12">
        <v>2</v>
      </c>
      <c r="X30" s="12">
        <v>2</v>
      </c>
      <c r="Y30" s="12">
        <v>1</v>
      </c>
      <c r="Z30" s="12">
        <v>2</v>
      </c>
      <c r="AA30" s="12">
        <v>2</v>
      </c>
      <c r="AB30" s="12">
        <v>5</v>
      </c>
      <c r="AC30" s="12">
        <v>1</v>
      </c>
      <c r="AD30" s="12">
        <v>5</v>
      </c>
    </row>
    <row r="31" spans="1:30" s="13" customFormat="1" x14ac:dyDescent="0.3">
      <c r="A31" s="13" t="s">
        <v>1883</v>
      </c>
      <c r="B31" s="12">
        <v>130</v>
      </c>
      <c r="C31" s="12">
        <v>22</v>
      </c>
      <c r="D31" s="12">
        <v>83</v>
      </c>
      <c r="E31" s="12">
        <v>25</v>
      </c>
      <c r="F31" s="12">
        <v>2</v>
      </c>
      <c r="G31" s="12">
        <v>19</v>
      </c>
      <c r="H31" s="12">
        <v>1</v>
      </c>
      <c r="I31" s="12">
        <v>1</v>
      </c>
      <c r="J31" s="12">
        <v>1</v>
      </c>
      <c r="K31" s="12">
        <v>9</v>
      </c>
      <c r="L31" s="12">
        <v>4</v>
      </c>
      <c r="M31" s="12">
        <v>3</v>
      </c>
      <c r="N31" s="12">
        <v>1</v>
      </c>
      <c r="O31" s="12">
        <v>2</v>
      </c>
      <c r="P31" s="12">
        <v>2</v>
      </c>
      <c r="Q31" s="12">
        <v>1</v>
      </c>
      <c r="R31" s="12">
        <v>24</v>
      </c>
      <c r="S31" s="12">
        <v>8</v>
      </c>
      <c r="T31" s="12">
        <v>7</v>
      </c>
      <c r="U31" s="12">
        <v>3</v>
      </c>
      <c r="V31" s="12">
        <v>4</v>
      </c>
      <c r="W31" s="12">
        <v>2</v>
      </c>
      <c r="X31" s="12">
        <v>2</v>
      </c>
      <c r="Y31" s="12">
        <v>1</v>
      </c>
      <c r="Z31" s="12">
        <v>2</v>
      </c>
      <c r="AA31" s="12">
        <v>2</v>
      </c>
      <c r="AB31" s="12">
        <v>5</v>
      </c>
      <c r="AC31" s="12">
        <v>1</v>
      </c>
      <c r="AD31" s="12">
        <v>6</v>
      </c>
    </row>
    <row r="32" spans="1:30" s="13" customFormat="1" x14ac:dyDescent="0.3">
      <c r="A32" s="13" t="s">
        <v>1884</v>
      </c>
      <c r="B32" s="12">
        <v>143</v>
      </c>
      <c r="C32" s="12">
        <v>24</v>
      </c>
      <c r="D32" s="12">
        <v>92</v>
      </c>
      <c r="E32" s="12">
        <v>28</v>
      </c>
      <c r="F32" s="12">
        <v>2</v>
      </c>
      <c r="G32" s="12">
        <v>21</v>
      </c>
      <c r="H32" s="12">
        <v>2</v>
      </c>
      <c r="I32" s="12">
        <v>1</v>
      </c>
      <c r="J32" s="12">
        <v>2</v>
      </c>
      <c r="K32" s="12">
        <v>10</v>
      </c>
      <c r="L32" s="12">
        <v>4</v>
      </c>
      <c r="M32" s="12">
        <v>3</v>
      </c>
      <c r="N32" s="12">
        <v>1</v>
      </c>
      <c r="O32" s="12">
        <v>2</v>
      </c>
      <c r="P32" s="12">
        <v>2</v>
      </c>
      <c r="Q32" s="12">
        <v>1</v>
      </c>
      <c r="R32" s="12">
        <v>26</v>
      </c>
      <c r="S32" s="12">
        <v>9</v>
      </c>
      <c r="T32" s="12">
        <v>8</v>
      </c>
      <c r="U32" s="12">
        <v>3</v>
      </c>
      <c r="V32" s="12">
        <v>5</v>
      </c>
      <c r="W32" s="12">
        <v>3</v>
      </c>
      <c r="X32" s="12">
        <v>2</v>
      </c>
      <c r="Y32" s="12">
        <v>1</v>
      </c>
      <c r="Z32" s="12">
        <v>2</v>
      </c>
      <c r="AA32" s="12">
        <v>2</v>
      </c>
      <c r="AB32" s="12">
        <v>6</v>
      </c>
      <c r="AC32" s="12">
        <v>1</v>
      </c>
      <c r="AD32" s="12">
        <v>6</v>
      </c>
    </row>
    <row r="33" spans="1:30" s="13" customFormat="1" x14ac:dyDescent="0.3">
      <c r="A33" s="13" t="s">
        <v>1885</v>
      </c>
      <c r="B33" s="12">
        <v>137</v>
      </c>
      <c r="C33" s="12">
        <v>23</v>
      </c>
      <c r="D33" s="12">
        <v>88</v>
      </c>
      <c r="E33" s="12">
        <v>27</v>
      </c>
      <c r="F33" s="12">
        <v>2</v>
      </c>
      <c r="G33" s="12">
        <v>20</v>
      </c>
      <c r="H33" s="12">
        <v>2</v>
      </c>
      <c r="I33" s="12">
        <v>1</v>
      </c>
      <c r="J33" s="12">
        <v>1</v>
      </c>
      <c r="K33" s="12">
        <v>9</v>
      </c>
      <c r="L33" s="12">
        <v>4</v>
      </c>
      <c r="M33" s="12">
        <v>3</v>
      </c>
      <c r="N33" s="12">
        <v>1</v>
      </c>
      <c r="O33" s="12">
        <v>2</v>
      </c>
      <c r="P33" s="12">
        <v>2</v>
      </c>
      <c r="Q33" s="12">
        <v>1</v>
      </c>
      <c r="R33" s="12">
        <v>25</v>
      </c>
      <c r="S33" s="12">
        <v>8</v>
      </c>
      <c r="T33" s="12">
        <v>8</v>
      </c>
      <c r="U33" s="12">
        <v>3</v>
      </c>
      <c r="V33" s="12">
        <v>4</v>
      </c>
      <c r="W33" s="12">
        <v>2</v>
      </c>
      <c r="X33" s="12">
        <v>2</v>
      </c>
      <c r="Y33" s="12">
        <v>1</v>
      </c>
      <c r="Z33" s="12">
        <v>2</v>
      </c>
      <c r="AA33" s="12">
        <v>2</v>
      </c>
      <c r="AB33" s="12">
        <v>5</v>
      </c>
      <c r="AC33" s="12">
        <v>1</v>
      </c>
      <c r="AD33" s="12">
        <v>6</v>
      </c>
    </row>
    <row r="34" spans="1:30" s="13" customFormat="1" x14ac:dyDescent="0.3">
      <c r="A34" s="13" t="s">
        <v>1886</v>
      </c>
      <c r="B34" s="12">
        <v>203</v>
      </c>
      <c r="C34" s="12">
        <v>34</v>
      </c>
      <c r="D34" s="12">
        <v>130</v>
      </c>
      <c r="E34" s="12">
        <v>39</v>
      </c>
      <c r="F34" s="12">
        <v>3</v>
      </c>
      <c r="G34" s="12">
        <v>30</v>
      </c>
      <c r="H34" s="12">
        <v>2</v>
      </c>
      <c r="I34" s="12">
        <v>1</v>
      </c>
      <c r="J34" s="12">
        <v>2</v>
      </c>
      <c r="K34" s="12">
        <v>14</v>
      </c>
      <c r="L34" s="12">
        <v>6</v>
      </c>
      <c r="M34" s="12">
        <v>5</v>
      </c>
      <c r="N34" s="12">
        <v>2</v>
      </c>
      <c r="O34" s="12">
        <v>3</v>
      </c>
      <c r="P34" s="12">
        <v>3</v>
      </c>
      <c r="Q34" s="12">
        <v>1</v>
      </c>
      <c r="R34" s="12">
        <v>37</v>
      </c>
      <c r="S34" s="12">
        <v>12</v>
      </c>
      <c r="T34" s="12">
        <v>11</v>
      </c>
      <c r="U34" s="12">
        <v>5</v>
      </c>
      <c r="V34" s="12">
        <v>7</v>
      </c>
      <c r="W34" s="12">
        <v>4</v>
      </c>
      <c r="X34" s="12">
        <v>3</v>
      </c>
      <c r="Y34" s="12">
        <v>1</v>
      </c>
      <c r="Z34" s="12">
        <v>3</v>
      </c>
      <c r="AA34" s="12">
        <v>3</v>
      </c>
      <c r="AB34" s="12">
        <v>8</v>
      </c>
      <c r="AC34" s="12">
        <v>1</v>
      </c>
      <c r="AD34" s="12">
        <v>9</v>
      </c>
    </row>
    <row r="35" spans="1:30" s="13" customFormat="1" x14ac:dyDescent="0.3">
      <c r="A35" s="13" t="s">
        <v>1887</v>
      </c>
      <c r="B35" s="12">
        <v>159</v>
      </c>
      <c r="C35" s="12">
        <v>26</v>
      </c>
      <c r="D35" s="12">
        <v>102</v>
      </c>
      <c r="E35" s="12">
        <v>31</v>
      </c>
      <c r="F35" s="12">
        <v>2</v>
      </c>
      <c r="G35" s="12">
        <v>23</v>
      </c>
      <c r="H35" s="12">
        <v>2</v>
      </c>
      <c r="I35" s="12">
        <v>1</v>
      </c>
      <c r="J35" s="12">
        <v>2</v>
      </c>
      <c r="K35" s="12">
        <v>11</v>
      </c>
      <c r="L35" s="12">
        <v>5</v>
      </c>
      <c r="M35" s="12">
        <v>4</v>
      </c>
      <c r="N35" s="12">
        <v>1</v>
      </c>
      <c r="O35" s="12">
        <v>2</v>
      </c>
      <c r="P35" s="12">
        <v>3</v>
      </c>
      <c r="Q35" s="12">
        <v>1</v>
      </c>
      <c r="R35" s="12">
        <v>29</v>
      </c>
      <c r="S35" s="12">
        <v>10</v>
      </c>
      <c r="T35" s="12">
        <v>9</v>
      </c>
      <c r="U35" s="12">
        <v>4</v>
      </c>
      <c r="V35" s="12">
        <v>5</v>
      </c>
      <c r="W35" s="12">
        <v>3</v>
      </c>
      <c r="X35" s="12">
        <v>2</v>
      </c>
      <c r="Y35" s="12">
        <v>1</v>
      </c>
      <c r="Z35" s="12">
        <v>2</v>
      </c>
      <c r="AA35" s="12">
        <v>3</v>
      </c>
      <c r="AB35" s="12">
        <v>6</v>
      </c>
      <c r="AC35" s="12">
        <v>1</v>
      </c>
      <c r="AD35" s="12">
        <v>7</v>
      </c>
    </row>
    <row r="36" spans="1:30" s="13" customFormat="1" x14ac:dyDescent="0.3">
      <c r="A36" s="13" t="s">
        <v>1888</v>
      </c>
      <c r="B36" s="12">
        <v>117</v>
      </c>
      <c r="C36" s="12">
        <v>19</v>
      </c>
      <c r="D36" s="12">
        <v>75</v>
      </c>
      <c r="E36" s="12">
        <v>23</v>
      </c>
      <c r="F36" s="12">
        <v>2</v>
      </c>
      <c r="G36" s="12">
        <v>17</v>
      </c>
      <c r="H36" s="12">
        <v>1</v>
      </c>
      <c r="I36" s="12">
        <v>1</v>
      </c>
      <c r="J36" s="12">
        <v>1</v>
      </c>
      <c r="K36" s="12">
        <v>8</v>
      </c>
      <c r="L36" s="12">
        <v>3</v>
      </c>
      <c r="M36" s="12">
        <v>3</v>
      </c>
      <c r="N36" s="12">
        <v>1</v>
      </c>
      <c r="O36" s="12">
        <v>2</v>
      </c>
      <c r="P36" s="12">
        <v>2</v>
      </c>
      <c r="Q36" s="12">
        <v>1</v>
      </c>
      <c r="R36" s="12">
        <v>22</v>
      </c>
      <c r="S36" s="12">
        <v>7</v>
      </c>
      <c r="T36" s="12">
        <v>7</v>
      </c>
      <c r="U36" s="12">
        <v>3</v>
      </c>
      <c r="V36" s="12">
        <v>4</v>
      </c>
      <c r="W36" s="12">
        <v>2</v>
      </c>
      <c r="X36" s="12">
        <v>2</v>
      </c>
      <c r="Y36" s="12">
        <v>1</v>
      </c>
      <c r="Z36" s="12">
        <v>2</v>
      </c>
      <c r="AA36" s="12">
        <v>2</v>
      </c>
      <c r="AB36" s="12">
        <v>5</v>
      </c>
      <c r="AC36" s="12">
        <v>1</v>
      </c>
      <c r="AD36" s="12">
        <v>5</v>
      </c>
    </row>
    <row r="37" spans="1:30" s="13" customFormat="1" x14ac:dyDescent="0.3">
      <c r="A37" s="13" t="s">
        <v>1889</v>
      </c>
      <c r="B37" s="12">
        <v>113</v>
      </c>
      <c r="C37" s="12">
        <v>19</v>
      </c>
      <c r="D37" s="12">
        <v>72</v>
      </c>
      <c r="E37" s="12">
        <v>22</v>
      </c>
      <c r="F37" s="12">
        <v>2</v>
      </c>
      <c r="G37" s="12">
        <v>17</v>
      </c>
      <c r="H37" s="12">
        <v>1</v>
      </c>
      <c r="I37" s="12">
        <v>0</v>
      </c>
      <c r="J37" s="12">
        <v>1</v>
      </c>
      <c r="K37" s="12">
        <v>8</v>
      </c>
      <c r="L37" s="12">
        <v>3</v>
      </c>
      <c r="M37" s="12">
        <v>3</v>
      </c>
      <c r="N37" s="12">
        <v>1</v>
      </c>
      <c r="O37" s="12">
        <v>2</v>
      </c>
      <c r="P37" s="12">
        <v>2</v>
      </c>
      <c r="Q37" s="12">
        <v>1</v>
      </c>
      <c r="R37" s="12">
        <v>21</v>
      </c>
      <c r="S37" s="12">
        <v>7</v>
      </c>
      <c r="T37" s="12">
        <v>6</v>
      </c>
      <c r="U37" s="12">
        <v>3</v>
      </c>
      <c r="V37" s="12">
        <v>4</v>
      </c>
      <c r="W37" s="12">
        <v>2</v>
      </c>
      <c r="X37" s="12">
        <v>2</v>
      </c>
      <c r="Y37" s="12">
        <v>1</v>
      </c>
      <c r="Z37" s="12">
        <v>2</v>
      </c>
      <c r="AA37" s="12">
        <v>2</v>
      </c>
      <c r="AB37" s="12">
        <v>5</v>
      </c>
      <c r="AC37" s="12">
        <v>1</v>
      </c>
      <c r="AD37" s="12">
        <v>5</v>
      </c>
    </row>
    <row r="38" spans="1:30" s="13" customFormat="1" x14ac:dyDescent="0.3">
      <c r="A38" s="13" t="s">
        <v>1890</v>
      </c>
      <c r="B38" s="12">
        <v>147</v>
      </c>
      <c r="C38" s="12">
        <v>24</v>
      </c>
      <c r="D38" s="12">
        <v>94</v>
      </c>
      <c r="E38" s="12">
        <v>28</v>
      </c>
      <c r="F38" s="12">
        <v>2</v>
      </c>
      <c r="G38" s="12">
        <v>22</v>
      </c>
      <c r="H38" s="12">
        <v>2</v>
      </c>
      <c r="I38" s="12">
        <v>1</v>
      </c>
      <c r="J38" s="12">
        <v>2</v>
      </c>
      <c r="K38" s="12">
        <v>10</v>
      </c>
      <c r="L38" s="12">
        <v>4</v>
      </c>
      <c r="M38" s="12">
        <v>3</v>
      </c>
      <c r="N38" s="12">
        <v>1</v>
      </c>
      <c r="O38" s="12">
        <v>2</v>
      </c>
      <c r="P38" s="12">
        <v>2</v>
      </c>
      <c r="Q38" s="12">
        <v>1</v>
      </c>
      <c r="R38" s="12">
        <v>27</v>
      </c>
      <c r="S38" s="12">
        <v>9</v>
      </c>
      <c r="T38" s="12">
        <v>8</v>
      </c>
      <c r="U38" s="12">
        <v>3</v>
      </c>
      <c r="V38" s="12">
        <v>5</v>
      </c>
      <c r="W38" s="12">
        <v>3</v>
      </c>
      <c r="X38" s="12">
        <v>2</v>
      </c>
      <c r="Y38" s="12">
        <v>1</v>
      </c>
      <c r="Z38" s="12">
        <v>2</v>
      </c>
      <c r="AA38" s="12">
        <v>2</v>
      </c>
      <c r="AB38" s="12">
        <v>6</v>
      </c>
      <c r="AC38" s="12">
        <v>1</v>
      </c>
      <c r="AD38" s="12">
        <v>6</v>
      </c>
    </row>
    <row r="39" spans="1:30" s="13" customFormat="1" x14ac:dyDescent="0.3">
      <c r="A39" s="13" t="s">
        <v>24</v>
      </c>
      <c r="B39" s="12">
        <v>182</v>
      </c>
      <c r="C39" s="12">
        <v>30</v>
      </c>
      <c r="D39" s="12">
        <v>117</v>
      </c>
      <c r="E39" s="12">
        <v>35</v>
      </c>
      <c r="F39" s="12">
        <v>3</v>
      </c>
      <c r="G39" s="12">
        <v>27</v>
      </c>
      <c r="H39" s="12">
        <v>2</v>
      </c>
      <c r="I39" s="12">
        <v>1</v>
      </c>
      <c r="J39" s="12">
        <v>2</v>
      </c>
      <c r="K39" s="12">
        <v>12</v>
      </c>
      <c r="L39" s="12">
        <v>5</v>
      </c>
      <c r="M39" s="12">
        <v>4</v>
      </c>
      <c r="N39" s="12">
        <v>2</v>
      </c>
      <c r="O39" s="12">
        <v>2</v>
      </c>
      <c r="P39" s="12">
        <v>3</v>
      </c>
      <c r="Q39" s="12">
        <v>1</v>
      </c>
      <c r="R39" s="12">
        <v>34</v>
      </c>
      <c r="S39" s="12">
        <v>11</v>
      </c>
      <c r="T39" s="12">
        <v>10</v>
      </c>
      <c r="U39" s="12">
        <v>4</v>
      </c>
      <c r="V39" s="12">
        <v>6</v>
      </c>
      <c r="W39" s="12">
        <v>3</v>
      </c>
      <c r="X39" s="12">
        <v>3</v>
      </c>
      <c r="Y39" s="12">
        <v>1</v>
      </c>
      <c r="Z39" s="12">
        <v>3</v>
      </c>
      <c r="AA39" s="12">
        <v>3</v>
      </c>
      <c r="AB39" s="12">
        <v>7</v>
      </c>
      <c r="AC39" s="12">
        <v>1</v>
      </c>
      <c r="AD39" s="12">
        <v>8</v>
      </c>
    </row>
    <row r="40" spans="1:30" s="13" customFormat="1" ht="52.2" x14ac:dyDescent="0.3">
      <c r="A40" s="19" t="s">
        <v>1892</v>
      </c>
      <c r="B40" s="12">
        <f t="shared" ref="B40" si="1">SUM(B24:B39)</f>
        <v>2308</v>
      </c>
      <c r="C40" s="12">
        <f t="shared" ref="C40" si="2">SUM(C24:C39)</f>
        <v>383</v>
      </c>
      <c r="D40" s="12">
        <f t="shared" ref="D40" si="3">SUM(D24:D39)</f>
        <v>1478</v>
      </c>
      <c r="E40" s="12">
        <f t="shared" ref="E40" si="4">SUM(E24:E39)</f>
        <v>449</v>
      </c>
      <c r="F40" s="12">
        <f t="shared" ref="F40" si="5">SUM(F24:F39)</f>
        <v>36</v>
      </c>
      <c r="G40" s="12">
        <f t="shared" ref="G40" si="6">SUM(G24:G39)</f>
        <v>340</v>
      </c>
      <c r="H40" s="12">
        <f t="shared" ref="H40" si="7">SUM(H24:H39)</f>
        <v>25</v>
      </c>
      <c r="I40" s="12">
        <f t="shared" ref="I40" si="8">SUM(I24:I39)</f>
        <v>13</v>
      </c>
      <c r="J40" s="12">
        <f t="shared" ref="J40" si="9">SUM(J24:J39)</f>
        <v>24</v>
      </c>
      <c r="K40" s="12">
        <f t="shared" ref="K40" si="10">SUM(K24:K39)</f>
        <v>156</v>
      </c>
      <c r="L40" s="12">
        <f t="shared" ref="L40" si="11">SUM(L24:L39)</f>
        <v>67</v>
      </c>
      <c r="M40" s="12">
        <f t="shared" ref="M40" si="12">SUM(M24:M39)</f>
        <v>53</v>
      </c>
      <c r="N40" s="12">
        <f t="shared" ref="N40" si="13">SUM(N24:N39)</f>
        <v>19</v>
      </c>
      <c r="O40" s="12">
        <f t="shared" ref="O40" si="14">SUM(O24:O39)</f>
        <v>32</v>
      </c>
      <c r="P40" s="12">
        <f t="shared" ref="P40" si="15">SUM(P24:P39)</f>
        <v>37</v>
      </c>
      <c r="Q40" s="12">
        <f t="shared" ref="Q40:AD40" si="16">SUM(Q24:Q39)</f>
        <v>16</v>
      </c>
      <c r="R40" s="12">
        <f t="shared" si="16"/>
        <v>425</v>
      </c>
      <c r="S40" s="12">
        <f t="shared" si="16"/>
        <v>138</v>
      </c>
      <c r="T40" s="12">
        <f t="shared" si="16"/>
        <v>129</v>
      </c>
      <c r="U40" s="12">
        <f t="shared" si="16"/>
        <v>53</v>
      </c>
      <c r="V40" s="12">
        <f t="shared" si="16"/>
        <v>75</v>
      </c>
      <c r="W40" s="12">
        <f t="shared" si="16"/>
        <v>42</v>
      </c>
      <c r="X40" s="12">
        <f t="shared" si="16"/>
        <v>36</v>
      </c>
      <c r="Y40" s="12">
        <f t="shared" si="16"/>
        <v>16</v>
      </c>
      <c r="Z40" s="12">
        <f t="shared" si="16"/>
        <v>35</v>
      </c>
      <c r="AA40" s="12">
        <f t="shared" si="16"/>
        <v>37</v>
      </c>
      <c r="AB40" s="12">
        <f t="shared" si="16"/>
        <v>91</v>
      </c>
      <c r="AC40" s="12">
        <f t="shared" si="16"/>
        <v>16</v>
      </c>
      <c r="AD40" s="12">
        <f t="shared" si="16"/>
        <v>100</v>
      </c>
    </row>
    <row r="41" spans="1:30" s="13" customForma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s="13" customFormat="1" ht="52.2" x14ac:dyDescent="0.25">
      <c r="A42" s="19" t="s">
        <v>1892</v>
      </c>
      <c r="B42" s="13" t="s">
        <v>1894</v>
      </c>
    </row>
    <row r="43" spans="1:30" s="13" customFormat="1" x14ac:dyDescent="0.3">
      <c r="A43" s="12" t="s">
        <v>25</v>
      </c>
      <c r="B43" s="13" t="s">
        <v>2</v>
      </c>
      <c r="C43" s="13" t="s">
        <v>3</v>
      </c>
      <c r="D43" s="13" t="s">
        <v>4</v>
      </c>
      <c r="E43" s="13" t="s">
        <v>3</v>
      </c>
      <c r="F43" s="13" t="s">
        <v>3</v>
      </c>
      <c r="G43" s="13" t="s">
        <v>6</v>
      </c>
      <c r="H43" s="13" t="s">
        <v>6</v>
      </c>
      <c r="I43" s="13" t="s">
        <v>6</v>
      </c>
      <c r="J43" s="13" t="s">
        <v>22</v>
      </c>
      <c r="K43" s="13" t="s">
        <v>1139</v>
      </c>
      <c r="L43" s="13" t="s">
        <v>1137</v>
      </c>
      <c r="M43" s="13" t="s">
        <v>1143</v>
      </c>
      <c r="N43" s="13" t="s">
        <v>1143</v>
      </c>
      <c r="O43" s="13" t="s">
        <v>20</v>
      </c>
      <c r="P43" s="13" t="s">
        <v>20</v>
      </c>
      <c r="Q43" s="13" t="s">
        <v>20</v>
      </c>
      <c r="R43" s="13" t="s">
        <v>38</v>
      </c>
      <c r="S43" s="13" t="s">
        <v>8</v>
      </c>
      <c r="T43" s="13" t="s">
        <v>8</v>
      </c>
      <c r="U43" s="13" t="s">
        <v>8</v>
      </c>
      <c r="V43" s="13" t="s">
        <v>8</v>
      </c>
      <c r="W43" s="13" t="s">
        <v>8</v>
      </c>
      <c r="X43" s="13" t="s">
        <v>8</v>
      </c>
      <c r="Y43" s="13" t="s">
        <v>8</v>
      </c>
      <c r="Z43" s="13" t="s">
        <v>8</v>
      </c>
      <c r="AA43" s="13" t="s">
        <v>8</v>
      </c>
      <c r="AB43" s="13" t="s">
        <v>8</v>
      </c>
      <c r="AC43" s="13" t="s">
        <v>13</v>
      </c>
      <c r="AD43" s="13" t="s">
        <v>13</v>
      </c>
    </row>
    <row r="44" spans="1:30" s="13" customFormat="1" x14ac:dyDescent="0.3">
      <c r="A44" s="12" t="s">
        <v>0</v>
      </c>
      <c r="B44" s="12" t="s">
        <v>1</v>
      </c>
      <c r="C44" s="12" t="s">
        <v>29</v>
      </c>
      <c r="D44" s="12" t="s">
        <v>1140</v>
      </c>
      <c r="E44" s="12" t="s">
        <v>14</v>
      </c>
      <c r="F44" s="12" t="s">
        <v>18</v>
      </c>
      <c r="G44" s="12" t="s">
        <v>5</v>
      </c>
      <c r="H44" s="12" t="s">
        <v>1141</v>
      </c>
      <c r="I44" s="12" t="s">
        <v>1174</v>
      </c>
      <c r="J44" s="12" t="s">
        <v>21</v>
      </c>
      <c r="K44" s="12" t="s">
        <v>1138</v>
      </c>
      <c r="L44" s="12" t="s">
        <v>1136</v>
      </c>
      <c r="M44" s="12" t="s">
        <v>1142</v>
      </c>
      <c r="N44" s="12" t="s">
        <v>1148</v>
      </c>
      <c r="O44" s="12" t="s">
        <v>1144</v>
      </c>
      <c r="P44" s="12" t="s">
        <v>1149</v>
      </c>
      <c r="Q44" s="12" t="s">
        <v>1145</v>
      </c>
      <c r="R44" s="12" t="s">
        <v>37</v>
      </c>
      <c r="S44" s="12" t="s">
        <v>9</v>
      </c>
      <c r="T44" s="12" t="s">
        <v>19</v>
      </c>
      <c r="U44" s="12" t="s">
        <v>15</v>
      </c>
      <c r="V44" s="12" t="s">
        <v>17</v>
      </c>
      <c r="W44" s="12" t="s">
        <v>11</v>
      </c>
      <c r="X44" s="12" t="s">
        <v>7</v>
      </c>
      <c r="Y44" s="12" t="s">
        <v>1147</v>
      </c>
      <c r="Z44" s="12" t="s">
        <v>1146</v>
      </c>
      <c r="AA44" s="12" t="s">
        <v>10</v>
      </c>
      <c r="AB44" s="12" t="s">
        <v>1175</v>
      </c>
      <c r="AC44" s="12" t="s">
        <v>16</v>
      </c>
      <c r="AD44" s="12" t="s">
        <v>12</v>
      </c>
    </row>
    <row r="45" spans="1:30" s="13" customFormat="1" x14ac:dyDescent="0.3">
      <c r="A45" s="13" t="s">
        <v>1876</v>
      </c>
      <c r="B45" s="12">
        <v>105</v>
      </c>
      <c r="C45" s="12">
        <v>16</v>
      </c>
      <c r="D45" s="12">
        <v>71</v>
      </c>
      <c r="E45" s="12">
        <v>20</v>
      </c>
      <c r="F45" s="12">
        <v>1</v>
      </c>
      <c r="G45" s="12">
        <v>19</v>
      </c>
      <c r="H45" s="12">
        <v>2</v>
      </c>
      <c r="I45" s="12">
        <v>1</v>
      </c>
      <c r="J45" s="12">
        <v>2</v>
      </c>
      <c r="K45" s="12">
        <v>10</v>
      </c>
      <c r="L45" s="12">
        <v>5</v>
      </c>
      <c r="M45" s="12">
        <v>4</v>
      </c>
      <c r="N45" s="12">
        <v>1</v>
      </c>
      <c r="O45" s="12">
        <v>1</v>
      </c>
      <c r="P45" s="12">
        <v>2</v>
      </c>
      <c r="Q45" s="12">
        <v>1</v>
      </c>
      <c r="R45" s="12">
        <v>25</v>
      </c>
      <c r="S45" s="12">
        <v>6</v>
      </c>
      <c r="T45" s="12">
        <v>8</v>
      </c>
      <c r="U45" s="12">
        <v>4</v>
      </c>
      <c r="V45" s="12">
        <v>5</v>
      </c>
      <c r="W45" s="12">
        <v>3</v>
      </c>
      <c r="X45" s="12">
        <v>1</v>
      </c>
      <c r="Y45" s="12">
        <v>1</v>
      </c>
      <c r="Z45" s="12">
        <v>2</v>
      </c>
      <c r="AA45" s="12">
        <v>1</v>
      </c>
      <c r="AB45" s="12">
        <v>4</v>
      </c>
      <c r="AC45" s="12">
        <v>1</v>
      </c>
      <c r="AD45" s="12">
        <v>7</v>
      </c>
    </row>
    <row r="46" spans="1:30" s="13" customFormat="1" x14ac:dyDescent="0.3">
      <c r="A46" s="13" t="s">
        <v>1877</v>
      </c>
      <c r="B46" s="12">
        <v>72</v>
      </c>
      <c r="C46" s="12">
        <v>11</v>
      </c>
      <c r="D46" s="12">
        <v>49</v>
      </c>
      <c r="E46" s="12">
        <v>14</v>
      </c>
      <c r="F46" s="12">
        <v>1</v>
      </c>
      <c r="G46" s="12">
        <v>13</v>
      </c>
      <c r="H46" s="12">
        <v>1</v>
      </c>
      <c r="I46" s="12">
        <v>0</v>
      </c>
      <c r="J46" s="12">
        <v>1</v>
      </c>
      <c r="K46" s="12">
        <v>7</v>
      </c>
      <c r="L46" s="12">
        <v>3</v>
      </c>
      <c r="M46" s="12">
        <v>3</v>
      </c>
      <c r="N46" s="12">
        <v>1</v>
      </c>
      <c r="O46" s="12">
        <v>1</v>
      </c>
      <c r="P46" s="12">
        <v>1</v>
      </c>
      <c r="Q46" s="12">
        <v>1</v>
      </c>
      <c r="R46" s="12">
        <v>17</v>
      </c>
      <c r="S46" s="12">
        <v>4</v>
      </c>
      <c r="T46" s="12">
        <v>6</v>
      </c>
      <c r="U46" s="12">
        <v>2</v>
      </c>
      <c r="V46" s="12">
        <v>3</v>
      </c>
      <c r="W46" s="12">
        <v>2</v>
      </c>
      <c r="X46" s="12">
        <v>1</v>
      </c>
      <c r="Y46" s="12">
        <v>1</v>
      </c>
      <c r="Z46" s="12">
        <v>1</v>
      </c>
      <c r="AA46" s="12">
        <v>1</v>
      </c>
      <c r="AB46" s="12">
        <v>3</v>
      </c>
      <c r="AC46" s="12">
        <v>1</v>
      </c>
      <c r="AD46" s="12">
        <v>5</v>
      </c>
    </row>
    <row r="47" spans="1:30" s="13" customFormat="1" x14ac:dyDescent="0.3">
      <c r="A47" s="13" t="s">
        <v>1878</v>
      </c>
      <c r="B47" s="12">
        <v>82</v>
      </c>
      <c r="C47" s="12">
        <v>12</v>
      </c>
      <c r="D47" s="12">
        <v>56</v>
      </c>
      <c r="E47" s="12">
        <v>16</v>
      </c>
      <c r="F47" s="12">
        <v>1</v>
      </c>
      <c r="G47" s="12">
        <v>15</v>
      </c>
      <c r="H47" s="12">
        <v>1</v>
      </c>
      <c r="I47" s="12">
        <v>0</v>
      </c>
      <c r="J47" s="12">
        <v>1</v>
      </c>
      <c r="K47" s="12">
        <v>8</v>
      </c>
      <c r="L47" s="12">
        <v>4</v>
      </c>
      <c r="M47" s="12">
        <v>3</v>
      </c>
      <c r="N47" s="12">
        <v>1</v>
      </c>
      <c r="O47" s="12">
        <v>1</v>
      </c>
      <c r="P47" s="12">
        <v>1</v>
      </c>
      <c r="Q47" s="12">
        <v>1</v>
      </c>
      <c r="R47" s="12">
        <v>20</v>
      </c>
      <c r="S47" s="12">
        <v>5</v>
      </c>
      <c r="T47" s="12">
        <v>7</v>
      </c>
      <c r="U47" s="12">
        <v>3</v>
      </c>
      <c r="V47" s="12">
        <v>4</v>
      </c>
      <c r="W47" s="12">
        <v>2</v>
      </c>
      <c r="X47" s="12">
        <v>1</v>
      </c>
      <c r="Y47" s="12">
        <v>1</v>
      </c>
      <c r="Z47" s="12">
        <v>1</v>
      </c>
      <c r="AA47" s="12">
        <v>1</v>
      </c>
      <c r="AB47" s="12">
        <v>4</v>
      </c>
      <c r="AC47" s="12">
        <v>1</v>
      </c>
      <c r="AD47" s="12">
        <v>6</v>
      </c>
    </row>
    <row r="48" spans="1:30" s="13" customFormat="1" x14ac:dyDescent="0.3">
      <c r="A48" s="13" t="s">
        <v>1879</v>
      </c>
      <c r="B48" s="12">
        <v>68</v>
      </c>
      <c r="C48" s="12">
        <v>10</v>
      </c>
      <c r="D48" s="12">
        <v>46</v>
      </c>
      <c r="E48" s="12">
        <v>13</v>
      </c>
      <c r="F48" s="12">
        <v>1</v>
      </c>
      <c r="G48" s="12">
        <v>12</v>
      </c>
      <c r="H48" s="12">
        <v>1</v>
      </c>
      <c r="I48" s="12">
        <v>0</v>
      </c>
      <c r="J48" s="12">
        <v>1</v>
      </c>
      <c r="K48" s="12">
        <v>7</v>
      </c>
      <c r="L48" s="12">
        <v>3</v>
      </c>
      <c r="M48" s="12">
        <v>2</v>
      </c>
      <c r="N48" s="12">
        <v>1</v>
      </c>
      <c r="O48" s="12">
        <v>1</v>
      </c>
      <c r="P48" s="12">
        <v>1</v>
      </c>
      <c r="Q48" s="12">
        <v>1</v>
      </c>
      <c r="R48" s="12">
        <v>16</v>
      </c>
      <c r="S48" s="12">
        <v>4</v>
      </c>
      <c r="T48" s="12">
        <v>5</v>
      </c>
      <c r="U48" s="12">
        <v>2</v>
      </c>
      <c r="V48" s="12">
        <v>3</v>
      </c>
      <c r="W48" s="12">
        <v>2</v>
      </c>
      <c r="X48" s="12">
        <v>1</v>
      </c>
      <c r="Y48" s="12">
        <v>1</v>
      </c>
      <c r="Z48" s="12">
        <v>1</v>
      </c>
      <c r="AA48" s="12">
        <v>1</v>
      </c>
      <c r="AB48" s="12">
        <v>3</v>
      </c>
      <c r="AC48" s="12">
        <v>1</v>
      </c>
      <c r="AD48" s="12">
        <v>5</v>
      </c>
    </row>
    <row r="49" spans="1:30" s="13" customFormat="1" x14ac:dyDescent="0.3">
      <c r="A49" s="13" t="s">
        <v>1880</v>
      </c>
      <c r="B49" s="12">
        <v>66</v>
      </c>
      <c r="C49" s="12">
        <v>10</v>
      </c>
      <c r="D49" s="12">
        <v>45</v>
      </c>
      <c r="E49" s="12">
        <v>13</v>
      </c>
      <c r="F49" s="12">
        <v>1</v>
      </c>
      <c r="G49" s="12">
        <v>12</v>
      </c>
      <c r="H49" s="12">
        <v>1</v>
      </c>
      <c r="I49" s="12">
        <v>0</v>
      </c>
      <c r="J49" s="12">
        <v>1</v>
      </c>
      <c r="K49" s="12">
        <v>7</v>
      </c>
      <c r="L49" s="12">
        <v>3</v>
      </c>
      <c r="M49" s="12">
        <v>2</v>
      </c>
      <c r="N49" s="12">
        <v>1</v>
      </c>
      <c r="O49" s="12">
        <v>1</v>
      </c>
      <c r="P49" s="12">
        <v>1</v>
      </c>
      <c r="Q49" s="12">
        <v>1</v>
      </c>
      <c r="R49" s="12">
        <v>16</v>
      </c>
      <c r="S49" s="12">
        <v>4</v>
      </c>
      <c r="T49" s="12">
        <v>5</v>
      </c>
      <c r="U49" s="12">
        <v>2</v>
      </c>
      <c r="V49" s="12">
        <v>3</v>
      </c>
      <c r="W49" s="12">
        <v>2</v>
      </c>
      <c r="X49" s="12">
        <v>1</v>
      </c>
      <c r="Y49" s="12">
        <v>0</v>
      </c>
      <c r="Z49" s="12">
        <v>1</v>
      </c>
      <c r="AA49" s="12">
        <v>1</v>
      </c>
      <c r="AB49" s="12">
        <v>3</v>
      </c>
      <c r="AC49" s="12">
        <v>1</v>
      </c>
      <c r="AD49" s="12">
        <v>5</v>
      </c>
    </row>
    <row r="50" spans="1:30" s="13" customFormat="1" x14ac:dyDescent="0.3">
      <c r="A50" s="13" t="s">
        <v>1881</v>
      </c>
      <c r="B50" s="12">
        <v>154</v>
      </c>
      <c r="C50" s="12">
        <v>23</v>
      </c>
      <c r="D50" s="12">
        <v>105</v>
      </c>
      <c r="E50" s="12">
        <v>30</v>
      </c>
      <c r="F50" s="12">
        <v>2</v>
      </c>
      <c r="G50" s="12">
        <v>28</v>
      </c>
      <c r="H50" s="12">
        <v>3</v>
      </c>
      <c r="I50" s="12">
        <v>1</v>
      </c>
      <c r="J50" s="12">
        <v>3</v>
      </c>
      <c r="K50" s="12">
        <v>15</v>
      </c>
      <c r="L50" s="12">
        <v>7</v>
      </c>
      <c r="M50" s="12">
        <v>6</v>
      </c>
      <c r="N50" s="12">
        <v>2</v>
      </c>
      <c r="O50" s="12">
        <v>2</v>
      </c>
      <c r="P50" s="12">
        <v>2</v>
      </c>
      <c r="Q50" s="12">
        <v>2</v>
      </c>
      <c r="R50" s="12">
        <v>37</v>
      </c>
      <c r="S50" s="12">
        <v>9</v>
      </c>
      <c r="T50" s="12">
        <v>12</v>
      </c>
      <c r="U50" s="12">
        <v>5</v>
      </c>
      <c r="V50" s="12">
        <v>7</v>
      </c>
      <c r="W50" s="12">
        <v>4</v>
      </c>
      <c r="X50" s="12">
        <v>2</v>
      </c>
      <c r="Y50" s="12">
        <v>1</v>
      </c>
      <c r="Z50" s="12">
        <v>3</v>
      </c>
      <c r="AA50" s="12">
        <v>2</v>
      </c>
      <c r="AB50" s="12">
        <v>7</v>
      </c>
      <c r="AC50" s="12">
        <v>1</v>
      </c>
      <c r="AD50" s="12">
        <v>11</v>
      </c>
    </row>
    <row r="51" spans="1:30" s="13" customFormat="1" x14ac:dyDescent="0.3">
      <c r="A51" s="13" t="s">
        <v>1882</v>
      </c>
      <c r="B51" s="12">
        <v>76</v>
      </c>
      <c r="C51" s="12">
        <v>11</v>
      </c>
      <c r="D51" s="12">
        <v>52</v>
      </c>
      <c r="E51" s="12">
        <v>15</v>
      </c>
      <c r="F51" s="12">
        <v>1</v>
      </c>
      <c r="G51" s="12">
        <v>14</v>
      </c>
      <c r="H51" s="12">
        <v>1</v>
      </c>
      <c r="I51" s="12">
        <v>0</v>
      </c>
      <c r="J51" s="12">
        <v>1</v>
      </c>
      <c r="K51" s="12">
        <v>8</v>
      </c>
      <c r="L51" s="12">
        <v>4</v>
      </c>
      <c r="M51" s="12">
        <v>3</v>
      </c>
      <c r="N51" s="12">
        <v>1</v>
      </c>
      <c r="O51" s="12">
        <v>1</v>
      </c>
      <c r="P51" s="12">
        <v>1</v>
      </c>
      <c r="Q51" s="12">
        <v>1</v>
      </c>
      <c r="R51" s="12">
        <v>18</v>
      </c>
      <c r="S51" s="12">
        <v>4</v>
      </c>
      <c r="T51" s="12">
        <v>6</v>
      </c>
      <c r="U51" s="12">
        <v>3</v>
      </c>
      <c r="V51" s="12">
        <v>3</v>
      </c>
      <c r="W51" s="12">
        <v>2</v>
      </c>
      <c r="X51" s="12">
        <v>1</v>
      </c>
      <c r="Y51" s="12">
        <v>1</v>
      </c>
      <c r="Z51" s="12">
        <v>1</v>
      </c>
      <c r="AA51" s="12">
        <v>1</v>
      </c>
      <c r="AB51" s="12">
        <v>3</v>
      </c>
      <c r="AC51" s="12">
        <v>1</v>
      </c>
      <c r="AD51" s="12">
        <v>5</v>
      </c>
    </row>
    <row r="52" spans="1:30" s="13" customFormat="1" x14ac:dyDescent="0.3">
      <c r="A52" s="13" t="s">
        <v>1883</v>
      </c>
      <c r="B52" s="12">
        <v>69</v>
      </c>
      <c r="C52" s="12">
        <v>10</v>
      </c>
      <c r="D52" s="12">
        <v>47</v>
      </c>
      <c r="E52" s="12">
        <v>13</v>
      </c>
      <c r="F52" s="12">
        <v>1</v>
      </c>
      <c r="G52" s="12">
        <v>13</v>
      </c>
      <c r="H52" s="12">
        <v>1</v>
      </c>
      <c r="I52" s="12">
        <v>0</v>
      </c>
      <c r="J52" s="12">
        <v>1</v>
      </c>
      <c r="K52" s="12">
        <v>7</v>
      </c>
      <c r="L52" s="12">
        <v>3</v>
      </c>
      <c r="M52" s="12">
        <v>2</v>
      </c>
      <c r="N52" s="12">
        <v>1</v>
      </c>
      <c r="O52" s="12">
        <v>1</v>
      </c>
      <c r="P52" s="12">
        <v>1</v>
      </c>
      <c r="Q52" s="12">
        <v>1</v>
      </c>
      <c r="R52" s="12">
        <v>17</v>
      </c>
      <c r="S52" s="12">
        <v>4</v>
      </c>
      <c r="T52" s="12">
        <v>5</v>
      </c>
      <c r="U52" s="12">
        <v>2</v>
      </c>
      <c r="V52" s="12">
        <v>3</v>
      </c>
      <c r="W52" s="12">
        <v>2</v>
      </c>
      <c r="X52" s="12">
        <v>1</v>
      </c>
      <c r="Y52" s="12">
        <v>1</v>
      </c>
      <c r="Z52" s="12">
        <v>1</v>
      </c>
      <c r="AA52" s="12">
        <v>1</v>
      </c>
      <c r="AB52" s="12">
        <v>3</v>
      </c>
      <c r="AC52" s="12">
        <v>1</v>
      </c>
      <c r="AD52" s="12">
        <v>5</v>
      </c>
    </row>
    <row r="53" spans="1:30" s="13" customFormat="1" x14ac:dyDescent="0.3">
      <c r="A53" s="13" t="s">
        <v>1884</v>
      </c>
      <c r="B53" s="12">
        <v>82</v>
      </c>
      <c r="C53" s="12">
        <v>12</v>
      </c>
      <c r="D53" s="12">
        <v>55</v>
      </c>
      <c r="E53" s="12">
        <v>16</v>
      </c>
      <c r="F53" s="12">
        <v>1</v>
      </c>
      <c r="G53" s="12">
        <v>15</v>
      </c>
      <c r="H53" s="12">
        <v>1</v>
      </c>
      <c r="I53" s="12">
        <v>0</v>
      </c>
      <c r="J53" s="12">
        <v>1</v>
      </c>
      <c r="K53" s="12">
        <v>8</v>
      </c>
      <c r="L53" s="12">
        <v>4</v>
      </c>
      <c r="M53" s="12">
        <v>3</v>
      </c>
      <c r="N53" s="12">
        <v>1</v>
      </c>
      <c r="O53" s="12">
        <v>1</v>
      </c>
      <c r="P53" s="12">
        <v>1</v>
      </c>
      <c r="Q53" s="12">
        <v>1</v>
      </c>
      <c r="R53" s="12">
        <v>20</v>
      </c>
      <c r="S53" s="12">
        <v>5</v>
      </c>
      <c r="T53" s="12">
        <v>6</v>
      </c>
      <c r="U53" s="12">
        <v>3</v>
      </c>
      <c r="V53" s="12">
        <v>4</v>
      </c>
      <c r="W53" s="12">
        <v>2</v>
      </c>
      <c r="X53" s="12">
        <v>1</v>
      </c>
      <c r="Y53" s="12">
        <v>1</v>
      </c>
      <c r="Z53" s="12">
        <v>1</v>
      </c>
      <c r="AA53" s="12">
        <v>1</v>
      </c>
      <c r="AB53" s="12">
        <v>3</v>
      </c>
      <c r="AC53" s="12">
        <v>1</v>
      </c>
      <c r="AD53" s="12">
        <v>6</v>
      </c>
    </row>
    <row r="54" spans="1:30" s="13" customFormat="1" x14ac:dyDescent="0.3">
      <c r="A54" s="13" t="s">
        <v>1885</v>
      </c>
      <c r="B54" s="12">
        <v>80</v>
      </c>
      <c r="C54" s="12">
        <v>12</v>
      </c>
      <c r="D54" s="12">
        <v>54</v>
      </c>
      <c r="E54" s="12">
        <v>15</v>
      </c>
      <c r="F54" s="12">
        <v>1</v>
      </c>
      <c r="G54" s="12">
        <v>15</v>
      </c>
      <c r="H54" s="12">
        <v>1</v>
      </c>
      <c r="I54" s="12">
        <v>0</v>
      </c>
      <c r="J54" s="12">
        <v>1</v>
      </c>
      <c r="K54" s="12">
        <v>8</v>
      </c>
      <c r="L54" s="12">
        <v>4</v>
      </c>
      <c r="M54" s="12">
        <v>3</v>
      </c>
      <c r="N54" s="12">
        <v>1</v>
      </c>
      <c r="O54" s="12">
        <v>1</v>
      </c>
      <c r="P54" s="12">
        <v>1</v>
      </c>
      <c r="Q54" s="12">
        <v>1</v>
      </c>
      <c r="R54" s="12">
        <v>19</v>
      </c>
      <c r="S54" s="12">
        <v>5</v>
      </c>
      <c r="T54" s="12">
        <v>6</v>
      </c>
      <c r="U54" s="12">
        <v>3</v>
      </c>
      <c r="V54" s="12">
        <v>4</v>
      </c>
      <c r="W54" s="12">
        <v>2</v>
      </c>
      <c r="X54" s="12">
        <v>1</v>
      </c>
      <c r="Y54" s="12">
        <v>1</v>
      </c>
      <c r="Z54" s="12">
        <v>1</v>
      </c>
      <c r="AA54" s="12">
        <v>1</v>
      </c>
      <c r="AB54" s="12">
        <v>3</v>
      </c>
      <c r="AC54" s="12">
        <v>1</v>
      </c>
      <c r="AD54" s="12">
        <v>6</v>
      </c>
    </row>
    <row r="55" spans="1:30" s="13" customFormat="1" x14ac:dyDescent="0.3">
      <c r="A55" s="13" t="s">
        <v>1886</v>
      </c>
      <c r="B55" s="12">
        <v>101</v>
      </c>
      <c r="C55" s="12">
        <v>15</v>
      </c>
      <c r="D55" s="12">
        <v>68</v>
      </c>
      <c r="E55" s="12">
        <v>19</v>
      </c>
      <c r="F55" s="12">
        <v>1</v>
      </c>
      <c r="G55" s="12">
        <v>18</v>
      </c>
      <c r="H55" s="12">
        <v>2</v>
      </c>
      <c r="I55" s="12">
        <v>1</v>
      </c>
      <c r="J55" s="12">
        <v>2</v>
      </c>
      <c r="K55" s="12">
        <v>10</v>
      </c>
      <c r="L55" s="12">
        <v>5</v>
      </c>
      <c r="M55" s="12">
        <v>4</v>
      </c>
      <c r="N55" s="12">
        <v>1</v>
      </c>
      <c r="O55" s="12">
        <v>1</v>
      </c>
      <c r="P55" s="12">
        <v>1</v>
      </c>
      <c r="Q55" s="12">
        <v>1</v>
      </c>
      <c r="R55" s="12">
        <v>24</v>
      </c>
      <c r="S55" s="12">
        <v>6</v>
      </c>
      <c r="T55" s="12">
        <v>8</v>
      </c>
      <c r="U55" s="12">
        <v>3</v>
      </c>
      <c r="V55" s="12">
        <v>4</v>
      </c>
      <c r="W55" s="12">
        <v>3</v>
      </c>
      <c r="X55" s="12">
        <v>1</v>
      </c>
      <c r="Y55" s="12">
        <v>1</v>
      </c>
      <c r="Z55" s="12">
        <v>2</v>
      </c>
      <c r="AA55" s="12">
        <v>1</v>
      </c>
      <c r="AB55" s="12">
        <v>4</v>
      </c>
      <c r="AC55" s="12">
        <v>1</v>
      </c>
      <c r="AD55" s="12">
        <v>7</v>
      </c>
    </row>
    <row r="56" spans="1:30" s="13" customFormat="1" x14ac:dyDescent="0.3">
      <c r="A56" s="13" t="s">
        <v>1887</v>
      </c>
      <c r="B56" s="12">
        <v>82</v>
      </c>
      <c r="C56" s="12">
        <v>12</v>
      </c>
      <c r="D56" s="12">
        <v>56</v>
      </c>
      <c r="E56" s="12">
        <v>16</v>
      </c>
      <c r="F56" s="12">
        <v>1</v>
      </c>
      <c r="G56" s="12">
        <v>15</v>
      </c>
      <c r="H56" s="12">
        <v>1</v>
      </c>
      <c r="I56" s="12">
        <v>0</v>
      </c>
      <c r="J56" s="12">
        <v>1</v>
      </c>
      <c r="K56" s="12">
        <v>8</v>
      </c>
      <c r="L56" s="12">
        <v>4</v>
      </c>
      <c r="M56" s="12">
        <v>3</v>
      </c>
      <c r="N56" s="12">
        <v>1</v>
      </c>
      <c r="O56" s="12">
        <v>1</v>
      </c>
      <c r="P56" s="12">
        <v>1</v>
      </c>
      <c r="Q56" s="12">
        <v>1</v>
      </c>
      <c r="R56" s="12">
        <v>20</v>
      </c>
      <c r="S56" s="12">
        <v>5</v>
      </c>
      <c r="T56" s="12">
        <v>7</v>
      </c>
      <c r="U56" s="12">
        <v>3</v>
      </c>
      <c r="V56" s="12">
        <v>4</v>
      </c>
      <c r="W56" s="12">
        <v>2</v>
      </c>
      <c r="X56" s="12">
        <v>1</v>
      </c>
      <c r="Y56" s="12">
        <v>1</v>
      </c>
      <c r="Z56" s="12">
        <v>1</v>
      </c>
      <c r="AA56" s="12">
        <v>1</v>
      </c>
      <c r="AB56" s="12">
        <v>4</v>
      </c>
      <c r="AC56" s="12">
        <v>1</v>
      </c>
      <c r="AD56" s="12">
        <v>6</v>
      </c>
    </row>
    <row r="57" spans="1:30" s="13" customFormat="1" x14ac:dyDescent="0.3">
      <c r="A57" s="13" t="s">
        <v>1888</v>
      </c>
      <c r="B57" s="12">
        <v>68</v>
      </c>
      <c r="C57" s="12">
        <v>10</v>
      </c>
      <c r="D57" s="12">
        <v>46</v>
      </c>
      <c r="E57" s="12">
        <v>13</v>
      </c>
      <c r="F57" s="12">
        <v>1</v>
      </c>
      <c r="G57" s="12">
        <v>12</v>
      </c>
      <c r="H57" s="12">
        <v>1</v>
      </c>
      <c r="I57" s="12">
        <v>0</v>
      </c>
      <c r="J57" s="12">
        <v>1</v>
      </c>
      <c r="K57" s="12">
        <v>7</v>
      </c>
      <c r="L57" s="12">
        <v>3</v>
      </c>
      <c r="M57" s="12">
        <v>2</v>
      </c>
      <c r="N57" s="12">
        <v>1</v>
      </c>
      <c r="O57" s="12">
        <v>1</v>
      </c>
      <c r="P57" s="12">
        <v>1</v>
      </c>
      <c r="Q57" s="12">
        <v>1</v>
      </c>
      <c r="R57" s="12">
        <v>16</v>
      </c>
      <c r="S57" s="12">
        <v>4</v>
      </c>
      <c r="T57" s="12">
        <v>5</v>
      </c>
      <c r="U57" s="12">
        <v>2</v>
      </c>
      <c r="V57" s="12">
        <v>3</v>
      </c>
      <c r="W57" s="12">
        <v>2</v>
      </c>
      <c r="X57" s="12">
        <v>1</v>
      </c>
      <c r="Y57" s="12">
        <v>1</v>
      </c>
      <c r="Z57" s="12">
        <v>1</v>
      </c>
      <c r="AA57" s="12">
        <v>1</v>
      </c>
      <c r="AB57" s="12">
        <v>3</v>
      </c>
      <c r="AC57" s="12">
        <v>1</v>
      </c>
      <c r="AD57" s="12">
        <v>5</v>
      </c>
    </row>
    <row r="58" spans="1:30" s="13" customFormat="1" x14ac:dyDescent="0.3">
      <c r="A58" s="13" t="s">
        <v>1889</v>
      </c>
      <c r="B58" s="12">
        <v>64</v>
      </c>
      <c r="C58" s="12">
        <v>10</v>
      </c>
      <c r="D58" s="12">
        <v>44</v>
      </c>
      <c r="E58" s="12">
        <v>12</v>
      </c>
      <c r="F58" s="12">
        <v>1</v>
      </c>
      <c r="G58" s="12">
        <v>12</v>
      </c>
      <c r="H58" s="12">
        <v>1</v>
      </c>
      <c r="I58" s="12">
        <v>0</v>
      </c>
      <c r="J58" s="12">
        <v>1</v>
      </c>
      <c r="K58" s="12">
        <v>6</v>
      </c>
      <c r="L58" s="12">
        <v>3</v>
      </c>
      <c r="M58" s="12">
        <v>2</v>
      </c>
      <c r="N58" s="12">
        <v>1</v>
      </c>
      <c r="O58" s="12">
        <v>1</v>
      </c>
      <c r="P58" s="12">
        <v>1</v>
      </c>
      <c r="Q58" s="12">
        <v>1</v>
      </c>
      <c r="R58" s="12">
        <v>15</v>
      </c>
      <c r="S58" s="12">
        <v>4</v>
      </c>
      <c r="T58" s="12">
        <v>5</v>
      </c>
      <c r="U58" s="12">
        <v>2</v>
      </c>
      <c r="V58" s="12">
        <v>3</v>
      </c>
      <c r="W58" s="12">
        <v>2</v>
      </c>
      <c r="X58" s="12">
        <v>1</v>
      </c>
      <c r="Y58" s="12">
        <v>0</v>
      </c>
      <c r="Z58" s="12">
        <v>1</v>
      </c>
      <c r="AA58" s="12">
        <v>1</v>
      </c>
      <c r="AB58" s="12">
        <v>3</v>
      </c>
      <c r="AC58" s="12">
        <v>1</v>
      </c>
      <c r="AD58" s="12">
        <v>5</v>
      </c>
    </row>
    <row r="59" spans="1:30" s="13" customFormat="1" x14ac:dyDescent="0.3">
      <c r="A59" s="13" t="s">
        <v>1890</v>
      </c>
      <c r="B59" s="12">
        <v>75</v>
      </c>
      <c r="C59" s="12">
        <v>11</v>
      </c>
      <c r="D59" s="12">
        <v>51</v>
      </c>
      <c r="E59" s="12">
        <v>14</v>
      </c>
      <c r="F59" s="12">
        <v>1</v>
      </c>
      <c r="G59" s="12">
        <v>14</v>
      </c>
      <c r="H59" s="12">
        <v>1</v>
      </c>
      <c r="I59" s="12">
        <v>0</v>
      </c>
      <c r="J59" s="12">
        <v>1</v>
      </c>
      <c r="K59" s="12">
        <v>7</v>
      </c>
      <c r="L59" s="12">
        <v>4</v>
      </c>
      <c r="M59" s="12">
        <v>3</v>
      </c>
      <c r="N59" s="12">
        <v>1</v>
      </c>
      <c r="O59" s="12">
        <v>1</v>
      </c>
      <c r="P59" s="12">
        <v>1</v>
      </c>
      <c r="Q59" s="12">
        <v>1</v>
      </c>
      <c r="R59" s="12">
        <v>18</v>
      </c>
      <c r="S59" s="12">
        <v>4</v>
      </c>
      <c r="T59" s="12">
        <v>6</v>
      </c>
      <c r="U59" s="12">
        <v>3</v>
      </c>
      <c r="V59" s="12">
        <v>3</v>
      </c>
      <c r="W59" s="12">
        <v>2</v>
      </c>
      <c r="X59" s="12">
        <v>1</v>
      </c>
      <c r="Y59" s="12">
        <v>1</v>
      </c>
      <c r="Z59" s="12">
        <v>1</v>
      </c>
      <c r="AA59" s="12">
        <v>1</v>
      </c>
      <c r="AB59" s="12">
        <v>3</v>
      </c>
      <c r="AC59" s="12">
        <v>1</v>
      </c>
      <c r="AD59" s="12">
        <v>5</v>
      </c>
    </row>
    <row r="60" spans="1:30" s="13" customFormat="1" x14ac:dyDescent="0.3">
      <c r="A60" s="13" t="s">
        <v>24</v>
      </c>
      <c r="B60" s="12">
        <v>96</v>
      </c>
      <c r="C60" s="12">
        <v>14</v>
      </c>
      <c r="D60" s="12">
        <v>65</v>
      </c>
      <c r="E60" s="12">
        <v>19</v>
      </c>
      <c r="F60" s="12">
        <v>1</v>
      </c>
      <c r="G60" s="12">
        <v>18</v>
      </c>
      <c r="H60" s="12">
        <v>2</v>
      </c>
      <c r="I60" s="12">
        <v>1</v>
      </c>
      <c r="J60" s="12">
        <v>2</v>
      </c>
      <c r="K60" s="12">
        <v>10</v>
      </c>
      <c r="L60" s="12">
        <v>5</v>
      </c>
      <c r="M60" s="12">
        <v>3</v>
      </c>
      <c r="N60" s="12">
        <v>1</v>
      </c>
      <c r="O60" s="12">
        <v>1</v>
      </c>
      <c r="P60" s="12">
        <v>1</v>
      </c>
      <c r="Q60" s="12">
        <v>1</v>
      </c>
      <c r="R60" s="12">
        <v>23</v>
      </c>
      <c r="S60" s="12">
        <v>6</v>
      </c>
      <c r="T60" s="12">
        <v>8</v>
      </c>
      <c r="U60" s="12">
        <v>3</v>
      </c>
      <c r="V60" s="12">
        <v>4</v>
      </c>
      <c r="W60" s="12">
        <v>3</v>
      </c>
      <c r="X60" s="12">
        <v>1</v>
      </c>
      <c r="Y60" s="12">
        <v>1</v>
      </c>
      <c r="Z60" s="12">
        <v>2</v>
      </c>
      <c r="AA60" s="12">
        <v>1</v>
      </c>
      <c r="AB60" s="12">
        <v>4</v>
      </c>
      <c r="AC60" s="12">
        <v>1</v>
      </c>
      <c r="AD60" s="12">
        <v>7</v>
      </c>
    </row>
    <row r="61" spans="1:30" s="13" customFormat="1" ht="52.2" x14ac:dyDescent="0.3">
      <c r="A61" s="19" t="s">
        <v>1892</v>
      </c>
      <c r="B61" s="12">
        <f t="shared" ref="B61" si="17">SUM(B45:B60)</f>
        <v>1340</v>
      </c>
      <c r="C61" s="12">
        <f t="shared" ref="C61" si="18">SUM(C45:C60)</f>
        <v>199</v>
      </c>
      <c r="D61" s="12">
        <f t="shared" ref="D61" si="19">SUM(D45:D60)</f>
        <v>910</v>
      </c>
      <c r="E61" s="12">
        <f t="shared" ref="E61" si="20">SUM(E45:E60)</f>
        <v>258</v>
      </c>
      <c r="F61" s="12">
        <f t="shared" ref="F61" si="21">SUM(F45:F60)</f>
        <v>17</v>
      </c>
      <c r="G61" s="12">
        <f t="shared" ref="G61" si="22">SUM(G45:G60)</f>
        <v>245</v>
      </c>
      <c r="H61" s="12">
        <f t="shared" ref="H61" si="23">SUM(H45:H60)</f>
        <v>21</v>
      </c>
      <c r="I61" s="12">
        <f t="shared" ref="I61" si="24">SUM(I45:I60)</f>
        <v>4</v>
      </c>
      <c r="J61" s="12">
        <f t="shared" ref="J61" si="25">SUM(J45:J60)</f>
        <v>21</v>
      </c>
      <c r="K61" s="12">
        <f t="shared" ref="K61" si="26">SUM(K45:K60)</f>
        <v>133</v>
      </c>
      <c r="L61" s="12">
        <f t="shared" ref="L61" si="27">SUM(L45:L60)</f>
        <v>64</v>
      </c>
      <c r="M61" s="12">
        <f t="shared" ref="M61" si="28">SUM(M45:M60)</f>
        <v>48</v>
      </c>
      <c r="N61" s="12">
        <f t="shared" ref="N61" si="29">SUM(N45:N60)</f>
        <v>17</v>
      </c>
      <c r="O61" s="12">
        <f t="shared" ref="O61" si="30">SUM(O45:O60)</f>
        <v>17</v>
      </c>
      <c r="P61" s="12">
        <f t="shared" ref="P61" si="31">SUM(P45:P60)</f>
        <v>18</v>
      </c>
      <c r="Q61" s="12">
        <f t="shared" ref="Q61" si="32">SUM(Q45:Q60)</f>
        <v>17</v>
      </c>
      <c r="R61" s="12">
        <f t="shared" ref="R61" si="33">SUM(R45:R60)</f>
        <v>321</v>
      </c>
      <c r="S61" s="12">
        <f t="shared" ref="S61" si="34">SUM(S45:S60)</f>
        <v>79</v>
      </c>
      <c r="T61" s="12">
        <f t="shared" ref="T61" si="35">SUM(T45:T60)</f>
        <v>105</v>
      </c>
      <c r="U61" s="12">
        <f t="shared" ref="U61" si="36">SUM(U45:U60)</f>
        <v>45</v>
      </c>
      <c r="V61" s="12">
        <f t="shared" ref="V61" si="37">SUM(V45:V60)</f>
        <v>60</v>
      </c>
      <c r="W61" s="12">
        <f t="shared" ref="W61" si="38">SUM(W45:W60)</f>
        <v>37</v>
      </c>
      <c r="X61" s="12">
        <f t="shared" ref="X61" si="39">SUM(X45:X60)</f>
        <v>17</v>
      </c>
      <c r="Y61" s="12">
        <f t="shared" ref="Y61" si="40">SUM(Y45:Y60)</f>
        <v>14</v>
      </c>
      <c r="Z61" s="12">
        <f t="shared" ref="Z61" si="41">SUM(Z45:Z60)</f>
        <v>21</v>
      </c>
      <c r="AA61" s="12">
        <f t="shared" ref="AA61" si="42">SUM(AA45:AA60)</f>
        <v>17</v>
      </c>
      <c r="AB61" s="12">
        <f t="shared" ref="AB61" si="43">SUM(AB45:AB60)</f>
        <v>57</v>
      </c>
      <c r="AC61" s="12">
        <f t="shared" ref="AC61" si="44">SUM(AC45:AC60)</f>
        <v>16</v>
      </c>
      <c r="AD61" s="12">
        <f t="shared" ref="AD61" si="45">SUM(AD45:AD60)</f>
        <v>96</v>
      </c>
    </row>
    <row r="62" spans="1:30" s="13" customFormat="1" x14ac:dyDescent="0.25"/>
    <row r="63" spans="1:30" s="50" customFormat="1" ht="39.6" customHeight="1" x14ac:dyDescent="0.25">
      <c r="A63" s="49" t="s">
        <v>1923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</row>
    <row r="64" spans="1:30" s="13" customFormat="1" x14ac:dyDescent="0.3">
      <c r="A64" s="12" t="s">
        <v>25</v>
      </c>
      <c r="B64" s="13" t="s">
        <v>2</v>
      </c>
      <c r="C64" s="13" t="s">
        <v>3</v>
      </c>
      <c r="D64" s="13" t="s">
        <v>4</v>
      </c>
      <c r="E64" s="13" t="s">
        <v>3</v>
      </c>
      <c r="F64" s="13" t="s">
        <v>3</v>
      </c>
      <c r="G64" s="13" t="s">
        <v>6</v>
      </c>
      <c r="H64" s="13" t="s">
        <v>6</v>
      </c>
      <c r="I64" s="13" t="s">
        <v>6</v>
      </c>
      <c r="J64" s="13" t="s">
        <v>22</v>
      </c>
      <c r="K64" s="13" t="s">
        <v>1139</v>
      </c>
      <c r="L64" s="13" t="s">
        <v>1137</v>
      </c>
      <c r="M64" s="13" t="s">
        <v>1143</v>
      </c>
      <c r="N64" s="13" t="s">
        <v>1143</v>
      </c>
      <c r="O64" s="13" t="s">
        <v>20</v>
      </c>
      <c r="P64" s="13" t="s">
        <v>20</v>
      </c>
      <c r="Q64" s="13" t="s">
        <v>20</v>
      </c>
      <c r="R64" s="13" t="s">
        <v>38</v>
      </c>
      <c r="S64" s="13" t="s">
        <v>8</v>
      </c>
      <c r="T64" s="13" t="s">
        <v>8</v>
      </c>
      <c r="U64" s="13" t="s">
        <v>8</v>
      </c>
      <c r="V64" s="13" t="s">
        <v>8</v>
      </c>
      <c r="W64" s="13" t="s">
        <v>8</v>
      </c>
      <c r="X64" s="13" t="s">
        <v>8</v>
      </c>
      <c r="Y64" s="13" t="s">
        <v>8</v>
      </c>
      <c r="Z64" s="13" t="s">
        <v>8</v>
      </c>
      <c r="AA64" s="13" t="s">
        <v>8</v>
      </c>
      <c r="AB64" s="13" t="s">
        <v>8</v>
      </c>
      <c r="AC64" s="13" t="s">
        <v>13</v>
      </c>
      <c r="AD64" s="13" t="s">
        <v>13</v>
      </c>
    </row>
    <row r="65" spans="1:30" x14ac:dyDescent="0.3">
      <c r="A65" s="12" t="s">
        <v>0</v>
      </c>
      <c r="B65" s="12" t="s">
        <v>1</v>
      </c>
      <c r="C65" s="12" t="s">
        <v>29</v>
      </c>
      <c r="D65" s="12" t="s">
        <v>1140</v>
      </c>
      <c r="E65" s="12" t="s">
        <v>14</v>
      </c>
      <c r="F65" s="12" t="s">
        <v>18</v>
      </c>
      <c r="G65" s="12" t="s">
        <v>5</v>
      </c>
      <c r="H65" s="12" t="s">
        <v>1141</v>
      </c>
      <c r="I65" s="12" t="s">
        <v>1174</v>
      </c>
      <c r="J65" s="12" t="s">
        <v>21</v>
      </c>
      <c r="K65" s="12" t="s">
        <v>1138</v>
      </c>
      <c r="L65" s="12" t="s">
        <v>1136</v>
      </c>
      <c r="M65" s="12" t="s">
        <v>1142</v>
      </c>
      <c r="N65" s="12" t="s">
        <v>1148</v>
      </c>
      <c r="O65" s="12" t="s">
        <v>1144</v>
      </c>
      <c r="P65" s="12" t="s">
        <v>1149</v>
      </c>
      <c r="Q65" s="12" t="s">
        <v>1145</v>
      </c>
      <c r="R65" s="12" t="s">
        <v>37</v>
      </c>
      <c r="S65" s="12" t="s">
        <v>9</v>
      </c>
      <c r="T65" s="12" t="s">
        <v>19</v>
      </c>
      <c r="U65" s="12" t="s">
        <v>15</v>
      </c>
      <c r="V65" s="12" t="s">
        <v>17</v>
      </c>
      <c r="W65" s="12" t="s">
        <v>11</v>
      </c>
      <c r="X65" s="12" t="s">
        <v>7</v>
      </c>
      <c r="Y65" s="12" t="s">
        <v>1147</v>
      </c>
      <c r="Z65" s="12" t="s">
        <v>1146</v>
      </c>
      <c r="AA65" s="12" t="s">
        <v>10</v>
      </c>
      <c r="AB65" s="12" t="s">
        <v>1175</v>
      </c>
      <c r="AC65" s="12" t="s">
        <v>16</v>
      </c>
      <c r="AD65" s="12" t="s">
        <v>12</v>
      </c>
    </row>
    <row r="66" spans="1:30" x14ac:dyDescent="0.3">
      <c r="A66" s="12" t="s">
        <v>1876</v>
      </c>
      <c r="B66" s="12">
        <v>75</v>
      </c>
      <c r="C66" s="12">
        <v>7</v>
      </c>
      <c r="D66" s="12">
        <v>59</v>
      </c>
      <c r="E66" s="12">
        <v>15</v>
      </c>
      <c r="F66" s="12">
        <v>0</v>
      </c>
      <c r="G66" s="12">
        <v>15</v>
      </c>
      <c r="H66" s="12">
        <v>5</v>
      </c>
      <c r="I66" s="12">
        <v>1</v>
      </c>
      <c r="J66" s="12">
        <v>5</v>
      </c>
      <c r="K66" s="12">
        <v>12</v>
      </c>
      <c r="L66" s="12">
        <v>5</v>
      </c>
      <c r="M66" s="12">
        <v>6</v>
      </c>
      <c r="N66" s="12">
        <v>12</v>
      </c>
      <c r="O66" s="12">
        <v>0</v>
      </c>
      <c r="P66" s="12">
        <v>3</v>
      </c>
      <c r="Q66" s="12">
        <v>8</v>
      </c>
      <c r="R66" s="12">
        <v>37</v>
      </c>
      <c r="S66" s="12">
        <v>8</v>
      </c>
      <c r="T66" s="12">
        <v>14</v>
      </c>
      <c r="U66" s="12">
        <v>6</v>
      </c>
      <c r="V66" s="12">
        <v>13</v>
      </c>
      <c r="W66" s="12">
        <v>1</v>
      </c>
      <c r="X66" s="12">
        <v>3</v>
      </c>
      <c r="Y66" s="12">
        <v>1</v>
      </c>
      <c r="Z66" s="12">
        <v>1</v>
      </c>
      <c r="AA66" s="12">
        <v>0</v>
      </c>
      <c r="AB66" s="12">
        <v>6</v>
      </c>
      <c r="AC66" s="12">
        <v>1</v>
      </c>
      <c r="AD66" s="12">
        <v>11</v>
      </c>
    </row>
    <row r="67" spans="1:30" x14ac:dyDescent="0.3">
      <c r="A67" s="12" t="s">
        <v>1877</v>
      </c>
      <c r="B67" s="12">
        <v>65</v>
      </c>
      <c r="C67" s="12">
        <v>10</v>
      </c>
      <c r="D67" s="12">
        <v>42</v>
      </c>
      <c r="E67" s="12">
        <v>16</v>
      </c>
      <c r="F67" s="12">
        <v>3</v>
      </c>
      <c r="G67" s="12">
        <v>9</v>
      </c>
      <c r="H67" s="12">
        <v>1</v>
      </c>
      <c r="I67" s="12">
        <v>0</v>
      </c>
      <c r="J67" s="12">
        <v>1</v>
      </c>
      <c r="K67" s="12">
        <v>11</v>
      </c>
      <c r="L67" s="12">
        <v>1</v>
      </c>
      <c r="M67" s="12">
        <v>2</v>
      </c>
      <c r="N67" s="12">
        <v>1</v>
      </c>
      <c r="O67" s="12">
        <v>0</v>
      </c>
      <c r="P67" s="12">
        <v>1</v>
      </c>
      <c r="Q67" s="12">
        <v>0</v>
      </c>
      <c r="R67" s="12">
        <v>20</v>
      </c>
      <c r="S67" s="12">
        <v>9</v>
      </c>
      <c r="T67" s="12">
        <v>2</v>
      </c>
      <c r="U67" s="12">
        <v>1</v>
      </c>
      <c r="V67" s="12">
        <v>8</v>
      </c>
      <c r="W67" s="12">
        <v>2</v>
      </c>
      <c r="X67" s="12">
        <v>4</v>
      </c>
      <c r="Y67" s="12">
        <v>0</v>
      </c>
      <c r="Z67" s="12">
        <v>2</v>
      </c>
      <c r="AA67" s="12">
        <v>1</v>
      </c>
      <c r="AB67" s="12">
        <v>2</v>
      </c>
      <c r="AC67" s="12">
        <v>0</v>
      </c>
      <c r="AD67" s="12">
        <v>12</v>
      </c>
    </row>
    <row r="68" spans="1:30" x14ac:dyDescent="0.3">
      <c r="A68" s="12" t="s">
        <v>1878</v>
      </c>
      <c r="B68" s="12">
        <v>63</v>
      </c>
      <c r="C68" s="12">
        <v>26</v>
      </c>
      <c r="D68" s="12">
        <v>73</v>
      </c>
      <c r="E68" s="12">
        <v>9</v>
      </c>
      <c r="F68" s="12">
        <v>0</v>
      </c>
      <c r="G68" s="12">
        <v>19</v>
      </c>
      <c r="H68" s="12">
        <v>0</v>
      </c>
      <c r="I68" s="12">
        <v>0</v>
      </c>
      <c r="J68" s="12">
        <v>2</v>
      </c>
      <c r="K68" s="12">
        <v>3</v>
      </c>
      <c r="L68" s="12">
        <v>2</v>
      </c>
      <c r="M68" s="12">
        <v>0</v>
      </c>
      <c r="N68" s="12">
        <v>0</v>
      </c>
      <c r="O68" s="12">
        <v>2</v>
      </c>
      <c r="P68" s="12">
        <v>0</v>
      </c>
      <c r="Q68" s="12">
        <v>0</v>
      </c>
      <c r="R68" s="12">
        <v>18</v>
      </c>
      <c r="S68" s="12">
        <v>7</v>
      </c>
      <c r="T68" s="12">
        <v>6</v>
      </c>
      <c r="U68" s="12">
        <v>4</v>
      </c>
      <c r="V68" s="12">
        <v>3</v>
      </c>
      <c r="W68" s="12">
        <v>2</v>
      </c>
      <c r="X68" s="12">
        <v>0</v>
      </c>
      <c r="Y68" s="12">
        <v>0</v>
      </c>
      <c r="Z68" s="12">
        <v>2</v>
      </c>
      <c r="AA68" s="12">
        <v>0</v>
      </c>
      <c r="AB68" s="12">
        <v>7</v>
      </c>
      <c r="AC68" s="12">
        <v>0</v>
      </c>
      <c r="AD68" s="12">
        <v>11</v>
      </c>
    </row>
    <row r="69" spans="1:30" x14ac:dyDescent="0.3">
      <c r="A69" s="12" t="s">
        <v>1879</v>
      </c>
      <c r="B69" s="12">
        <v>74</v>
      </c>
      <c r="C69" s="12">
        <v>12</v>
      </c>
      <c r="D69" s="12">
        <v>65</v>
      </c>
      <c r="E69" s="12">
        <v>14</v>
      </c>
      <c r="F69" s="12">
        <v>1</v>
      </c>
      <c r="G69" s="12">
        <v>9</v>
      </c>
      <c r="H69" s="12">
        <v>0</v>
      </c>
      <c r="I69" s="12">
        <v>1</v>
      </c>
      <c r="J69" s="12">
        <v>0</v>
      </c>
      <c r="K69" s="12">
        <v>5</v>
      </c>
      <c r="L69" s="12">
        <v>7</v>
      </c>
      <c r="M69" s="12">
        <v>4</v>
      </c>
      <c r="N69" s="12">
        <v>0</v>
      </c>
      <c r="O69" s="12">
        <v>0</v>
      </c>
      <c r="P69" s="12">
        <v>0</v>
      </c>
      <c r="Q69" s="12">
        <v>0</v>
      </c>
      <c r="R69" s="12">
        <v>11</v>
      </c>
      <c r="S69" s="12">
        <v>1</v>
      </c>
      <c r="T69" s="12">
        <v>2</v>
      </c>
      <c r="U69" s="12">
        <v>2</v>
      </c>
      <c r="V69" s="12">
        <v>2</v>
      </c>
      <c r="W69" s="12">
        <v>0</v>
      </c>
      <c r="X69" s="12">
        <v>0</v>
      </c>
      <c r="Y69" s="12">
        <v>0</v>
      </c>
      <c r="Z69" s="12">
        <v>2</v>
      </c>
      <c r="AA69" s="12">
        <v>0</v>
      </c>
      <c r="AB69" s="12">
        <v>1</v>
      </c>
      <c r="AC69" s="12">
        <v>1</v>
      </c>
      <c r="AD69" s="12">
        <v>1</v>
      </c>
    </row>
    <row r="70" spans="1:30" x14ac:dyDescent="0.3">
      <c r="A70" s="12" t="s">
        <v>1880</v>
      </c>
      <c r="B70" s="12">
        <v>37</v>
      </c>
      <c r="C70" s="12">
        <v>3</v>
      </c>
      <c r="D70" s="12">
        <v>30</v>
      </c>
      <c r="E70" s="12">
        <v>10</v>
      </c>
      <c r="F70" s="12">
        <v>0</v>
      </c>
      <c r="G70" s="12">
        <v>16</v>
      </c>
      <c r="H70" s="12">
        <v>0</v>
      </c>
      <c r="I70" s="12">
        <v>0</v>
      </c>
      <c r="J70" s="12">
        <v>2</v>
      </c>
      <c r="K70" s="12">
        <v>11</v>
      </c>
      <c r="L70" s="12">
        <v>7</v>
      </c>
      <c r="M70" s="12">
        <v>2</v>
      </c>
      <c r="N70" s="12">
        <v>3</v>
      </c>
      <c r="O70" s="12">
        <v>2</v>
      </c>
      <c r="P70" s="12">
        <v>0</v>
      </c>
      <c r="Q70" s="12">
        <v>0</v>
      </c>
      <c r="R70" s="12">
        <v>20</v>
      </c>
      <c r="S70" s="12">
        <v>4</v>
      </c>
      <c r="T70" s="12">
        <v>17</v>
      </c>
      <c r="U70" s="12">
        <v>10</v>
      </c>
      <c r="V70" s="12">
        <v>6</v>
      </c>
      <c r="W70" s="12">
        <v>8</v>
      </c>
      <c r="X70" s="12">
        <v>1</v>
      </c>
      <c r="Y70" s="12">
        <v>0</v>
      </c>
      <c r="Z70" s="12">
        <v>0</v>
      </c>
      <c r="AA70" s="12">
        <v>5</v>
      </c>
      <c r="AB70" s="12">
        <v>4</v>
      </c>
      <c r="AC70" s="12">
        <v>2</v>
      </c>
      <c r="AD70" s="12">
        <v>8</v>
      </c>
    </row>
    <row r="71" spans="1:30" x14ac:dyDescent="0.3">
      <c r="A71" s="12" t="s">
        <v>1881</v>
      </c>
      <c r="B71" s="12">
        <v>62</v>
      </c>
      <c r="C71" s="12">
        <v>17</v>
      </c>
      <c r="D71" s="12">
        <v>108</v>
      </c>
      <c r="E71" s="12">
        <v>38</v>
      </c>
      <c r="F71" s="12">
        <v>2</v>
      </c>
      <c r="G71" s="12">
        <v>42</v>
      </c>
      <c r="H71" s="12">
        <v>3</v>
      </c>
      <c r="I71" s="12">
        <v>1</v>
      </c>
      <c r="J71" s="12">
        <v>2</v>
      </c>
      <c r="K71" s="12">
        <v>27</v>
      </c>
      <c r="L71" s="12">
        <v>15</v>
      </c>
      <c r="M71" s="12">
        <v>10</v>
      </c>
      <c r="N71" s="12">
        <v>0</v>
      </c>
      <c r="O71" s="12">
        <v>3</v>
      </c>
      <c r="P71" s="12">
        <v>5</v>
      </c>
      <c r="Q71" s="12">
        <v>3</v>
      </c>
      <c r="R71" s="12">
        <v>61</v>
      </c>
      <c r="S71" s="12">
        <v>12</v>
      </c>
      <c r="T71" s="12">
        <v>24</v>
      </c>
      <c r="U71" s="12">
        <v>10</v>
      </c>
      <c r="V71" s="12">
        <v>2</v>
      </c>
      <c r="W71" s="12">
        <v>5</v>
      </c>
      <c r="X71" s="12">
        <v>4</v>
      </c>
      <c r="Y71" s="12">
        <v>6</v>
      </c>
      <c r="Z71" s="12">
        <v>1</v>
      </c>
      <c r="AA71" s="12">
        <v>2</v>
      </c>
      <c r="AB71" s="12">
        <v>4</v>
      </c>
      <c r="AC71" s="12">
        <v>2</v>
      </c>
      <c r="AD71" s="12">
        <v>14</v>
      </c>
    </row>
    <row r="72" spans="1:30" x14ac:dyDescent="0.3">
      <c r="A72" s="12" t="s">
        <v>1882</v>
      </c>
      <c r="B72" s="12">
        <v>57</v>
      </c>
      <c r="C72" s="12">
        <v>12</v>
      </c>
      <c r="D72" s="12">
        <v>49</v>
      </c>
      <c r="E72" s="12">
        <v>11</v>
      </c>
      <c r="F72" s="12">
        <v>1</v>
      </c>
      <c r="G72" s="12">
        <v>32</v>
      </c>
      <c r="H72" s="12">
        <v>1</v>
      </c>
      <c r="I72" s="12">
        <v>0</v>
      </c>
      <c r="J72" s="12">
        <v>1</v>
      </c>
      <c r="K72" s="12">
        <v>6</v>
      </c>
      <c r="L72" s="12">
        <v>5</v>
      </c>
      <c r="M72" s="12">
        <v>3</v>
      </c>
      <c r="N72" s="12">
        <v>0</v>
      </c>
      <c r="O72" s="12">
        <v>1</v>
      </c>
      <c r="P72" s="12">
        <v>1</v>
      </c>
      <c r="Q72" s="12">
        <v>1</v>
      </c>
      <c r="R72" s="12">
        <v>22</v>
      </c>
      <c r="S72" s="12">
        <v>9</v>
      </c>
      <c r="T72" s="12">
        <v>6</v>
      </c>
      <c r="U72" s="12">
        <v>2</v>
      </c>
      <c r="V72" s="12">
        <v>2</v>
      </c>
      <c r="W72" s="12">
        <v>1</v>
      </c>
      <c r="X72" s="12">
        <v>1</v>
      </c>
      <c r="Y72" s="12">
        <v>0</v>
      </c>
      <c r="Z72" s="12">
        <v>0</v>
      </c>
      <c r="AA72" s="12">
        <v>3</v>
      </c>
      <c r="AB72" s="12">
        <v>4</v>
      </c>
      <c r="AC72" s="12">
        <v>0</v>
      </c>
      <c r="AD72" s="12">
        <v>8</v>
      </c>
    </row>
    <row r="73" spans="1:30" x14ac:dyDescent="0.3">
      <c r="A73" s="12" t="s">
        <v>1883</v>
      </c>
      <c r="B73" s="12">
        <v>68</v>
      </c>
      <c r="C73" s="12">
        <v>15</v>
      </c>
      <c r="D73" s="12">
        <v>44</v>
      </c>
      <c r="E73" s="12">
        <v>13</v>
      </c>
      <c r="F73" s="12">
        <v>0</v>
      </c>
      <c r="G73" s="12">
        <v>5</v>
      </c>
      <c r="H73" s="12">
        <v>1</v>
      </c>
      <c r="I73" s="12">
        <v>1</v>
      </c>
      <c r="J73" s="12">
        <v>2</v>
      </c>
      <c r="K73" s="12">
        <v>8</v>
      </c>
      <c r="L73" s="12">
        <v>5</v>
      </c>
      <c r="M73" s="12">
        <v>1</v>
      </c>
      <c r="N73" s="12">
        <v>0</v>
      </c>
      <c r="O73" s="12">
        <v>2</v>
      </c>
      <c r="P73" s="12">
        <v>0</v>
      </c>
      <c r="Q73" s="12">
        <v>2</v>
      </c>
      <c r="R73" s="12">
        <v>12</v>
      </c>
      <c r="S73" s="12">
        <v>9</v>
      </c>
      <c r="T73" s="12">
        <v>4</v>
      </c>
      <c r="U73" s="12">
        <v>0</v>
      </c>
      <c r="V73" s="12">
        <v>4</v>
      </c>
      <c r="W73" s="12">
        <v>0</v>
      </c>
      <c r="X73" s="12">
        <v>2</v>
      </c>
      <c r="Y73" s="12">
        <v>1</v>
      </c>
      <c r="Z73" s="12">
        <v>3</v>
      </c>
      <c r="AA73" s="12">
        <v>1</v>
      </c>
      <c r="AB73" s="12">
        <v>13</v>
      </c>
      <c r="AC73" s="12">
        <v>0</v>
      </c>
      <c r="AD73" s="12">
        <v>1</v>
      </c>
    </row>
    <row r="74" spans="1:30" x14ac:dyDescent="0.3">
      <c r="A74" s="12" t="s">
        <v>1884</v>
      </c>
      <c r="B74" s="12">
        <v>67</v>
      </c>
      <c r="C74" s="12">
        <v>12</v>
      </c>
      <c r="D74" s="12">
        <v>55</v>
      </c>
      <c r="E74" s="12">
        <v>22</v>
      </c>
      <c r="F74" s="12">
        <v>1</v>
      </c>
      <c r="G74" s="12">
        <v>12</v>
      </c>
      <c r="H74" s="12">
        <v>0</v>
      </c>
      <c r="I74" s="12">
        <v>0</v>
      </c>
      <c r="J74" s="12">
        <v>4</v>
      </c>
      <c r="K74" s="12">
        <v>5</v>
      </c>
      <c r="L74" s="12">
        <v>9</v>
      </c>
      <c r="M74" s="12">
        <v>5</v>
      </c>
      <c r="N74" s="12">
        <v>1</v>
      </c>
      <c r="O74" s="12">
        <v>3</v>
      </c>
      <c r="P74" s="12">
        <v>2</v>
      </c>
      <c r="Q74" s="12">
        <v>0</v>
      </c>
      <c r="R74" s="12">
        <v>23</v>
      </c>
      <c r="S74" s="12">
        <v>2</v>
      </c>
      <c r="T74" s="12">
        <v>7</v>
      </c>
      <c r="U74" s="12">
        <v>1</v>
      </c>
      <c r="V74" s="12">
        <v>2</v>
      </c>
      <c r="W74" s="12">
        <v>1</v>
      </c>
      <c r="X74" s="12">
        <v>1</v>
      </c>
      <c r="Y74" s="12">
        <v>0</v>
      </c>
      <c r="Z74" s="12">
        <v>8</v>
      </c>
      <c r="AA74" s="12">
        <v>1</v>
      </c>
      <c r="AB74" s="12">
        <v>4</v>
      </c>
      <c r="AC74" s="12">
        <v>1</v>
      </c>
      <c r="AD74" s="12">
        <v>8</v>
      </c>
    </row>
    <row r="75" spans="1:30" x14ac:dyDescent="0.3">
      <c r="A75" s="12" t="s">
        <v>1885</v>
      </c>
      <c r="B75" s="12">
        <v>84</v>
      </c>
      <c r="C75" s="12">
        <v>1</v>
      </c>
      <c r="D75" s="12">
        <v>38</v>
      </c>
      <c r="E75" s="12">
        <v>10</v>
      </c>
      <c r="F75" s="12">
        <v>0</v>
      </c>
      <c r="G75" s="12">
        <v>35</v>
      </c>
      <c r="H75" s="12">
        <v>3</v>
      </c>
      <c r="I75" s="12">
        <v>0</v>
      </c>
      <c r="J75" s="12">
        <v>0</v>
      </c>
      <c r="K75" s="12">
        <v>16</v>
      </c>
      <c r="L75" s="12">
        <v>3</v>
      </c>
      <c r="M75" s="12">
        <v>4</v>
      </c>
      <c r="N75" s="12">
        <v>0</v>
      </c>
      <c r="O75" s="12">
        <v>1</v>
      </c>
      <c r="P75" s="12">
        <v>0</v>
      </c>
      <c r="Q75" s="12">
        <v>1</v>
      </c>
      <c r="R75" s="12">
        <v>25</v>
      </c>
      <c r="S75" s="12">
        <v>2</v>
      </c>
      <c r="T75" s="12">
        <v>3</v>
      </c>
      <c r="U75" s="12">
        <v>3</v>
      </c>
      <c r="V75" s="12">
        <v>8</v>
      </c>
      <c r="W75" s="12">
        <v>8</v>
      </c>
      <c r="X75" s="12">
        <v>0</v>
      </c>
      <c r="Y75" s="12">
        <v>1</v>
      </c>
      <c r="Z75" s="12">
        <v>0</v>
      </c>
      <c r="AA75" s="12">
        <v>0</v>
      </c>
      <c r="AB75" s="12">
        <v>3</v>
      </c>
      <c r="AC75" s="12">
        <v>0</v>
      </c>
      <c r="AD75" s="12">
        <v>2</v>
      </c>
    </row>
    <row r="76" spans="1:30" x14ac:dyDescent="0.3">
      <c r="A76" s="12" t="s">
        <v>1886</v>
      </c>
      <c r="B76" s="12">
        <v>119</v>
      </c>
      <c r="C76" s="12">
        <v>28</v>
      </c>
      <c r="D76" s="12">
        <v>80</v>
      </c>
      <c r="E76" s="12">
        <v>20</v>
      </c>
      <c r="F76" s="12">
        <v>3</v>
      </c>
      <c r="G76" s="12">
        <v>9</v>
      </c>
      <c r="H76" s="12">
        <v>0</v>
      </c>
      <c r="I76" s="12">
        <v>0</v>
      </c>
      <c r="J76" s="12">
        <v>0</v>
      </c>
      <c r="K76" s="12">
        <v>15</v>
      </c>
      <c r="L76" s="12">
        <v>3</v>
      </c>
      <c r="M76" s="12">
        <v>0</v>
      </c>
      <c r="N76" s="12">
        <v>0</v>
      </c>
      <c r="O76" s="12">
        <v>0</v>
      </c>
      <c r="P76" s="12">
        <v>5</v>
      </c>
      <c r="Q76" s="12">
        <v>0</v>
      </c>
      <c r="R76" s="12">
        <v>14</v>
      </c>
      <c r="S76" s="12">
        <v>0</v>
      </c>
      <c r="T76" s="12">
        <v>10</v>
      </c>
      <c r="U76" s="12">
        <v>0</v>
      </c>
      <c r="V76" s="12">
        <v>3</v>
      </c>
      <c r="W76" s="12">
        <v>0</v>
      </c>
      <c r="X76" s="12">
        <v>0</v>
      </c>
      <c r="Y76" s="12">
        <v>0</v>
      </c>
      <c r="Z76" s="12">
        <v>0</v>
      </c>
      <c r="AA76" s="12">
        <v>1</v>
      </c>
      <c r="AB76" s="12">
        <v>4</v>
      </c>
      <c r="AC76" s="12">
        <v>0</v>
      </c>
      <c r="AD76" s="12">
        <v>2</v>
      </c>
    </row>
    <row r="77" spans="1:30" x14ac:dyDescent="0.3">
      <c r="A77" s="12" t="s">
        <v>1887</v>
      </c>
      <c r="B77" s="12">
        <v>133</v>
      </c>
      <c r="C77" s="12">
        <v>14</v>
      </c>
      <c r="D77" s="12">
        <v>69</v>
      </c>
      <c r="E77" s="12">
        <v>9</v>
      </c>
      <c r="F77" s="12">
        <v>2</v>
      </c>
      <c r="G77" s="12">
        <v>5</v>
      </c>
      <c r="H77" s="12">
        <v>1</v>
      </c>
      <c r="I77" s="12">
        <v>0</v>
      </c>
      <c r="J77" s="12">
        <v>1</v>
      </c>
      <c r="K77" s="12">
        <v>0</v>
      </c>
      <c r="L77" s="12">
        <v>0</v>
      </c>
      <c r="M77" s="12">
        <v>1</v>
      </c>
      <c r="N77" s="12">
        <v>0</v>
      </c>
      <c r="O77" s="12">
        <v>0</v>
      </c>
      <c r="P77" s="12">
        <v>1</v>
      </c>
      <c r="Q77" s="12">
        <v>0</v>
      </c>
      <c r="R77" s="12">
        <v>11</v>
      </c>
      <c r="S77" s="12">
        <v>3</v>
      </c>
      <c r="T77" s="12">
        <v>0</v>
      </c>
      <c r="U77" s="12">
        <v>2</v>
      </c>
      <c r="V77" s="12">
        <v>1</v>
      </c>
      <c r="W77" s="12">
        <v>1</v>
      </c>
      <c r="X77" s="12">
        <v>0</v>
      </c>
      <c r="Y77" s="12">
        <v>1</v>
      </c>
      <c r="Z77" s="12">
        <v>0</v>
      </c>
      <c r="AA77" s="12">
        <v>2</v>
      </c>
      <c r="AB77" s="12">
        <v>1</v>
      </c>
      <c r="AC77" s="12">
        <v>1</v>
      </c>
      <c r="AD77" s="12">
        <v>0</v>
      </c>
    </row>
    <row r="78" spans="1:30" x14ac:dyDescent="0.3">
      <c r="A78" s="12" t="s">
        <v>1888</v>
      </c>
      <c r="B78" s="12">
        <v>69</v>
      </c>
      <c r="C78" s="12">
        <v>11</v>
      </c>
      <c r="D78" s="12">
        <v>57</v>
      </c>
      <c r="E78" s="12">
        <v>22</v>
      </c>
      <c r="F78" s="12">
        <v>2</v>
      </c>
      <c r="G78" s="12">
        <v>7</v>
      </c>
      <c r="H78" s="12">
        <v>4</v>
      </c>
      <c r="I78" s="12">
        <v>0</v>
      </c>
      <c r="J78" s="12">
        <v>0</v>
      </c>
      <c r="K78" s="12">
        <v>2</v>
      </c>
      <c r="L78" s="12">
        <v>0</v>
      </c>
      <c r="M78" s="12">
        <v>3</v>
      </c>
      <c r="N78" s="12">
        <v>1</v>
      </c>
      <c r="O78" s="12">
        <v>1</v>
      </c>
      <c r="P78" s="12">
        <v>1</v>
      </c>
      <c r="Q78" s="12">
        <v>0</v>
      </c>
      <c r="R78" s="12">
        <v>16</v>
      </c>
      <c r="S78" s="12">
        <v>5</v>
      </c>
      <c r="T78" s="12">
        <v>8</v>
      </c>
      <c r="U78" s="12">
        <v>0</v>
      </c>
      <c r="V78" s="12">
        <v>1</v>
      </c>
      <c r="W78" s="12">
        <v>1</v>
      </c>
      <c r="X78" s="12">
        <v>0</v>
      </c>
      <c r="Y78" s="12">
        <v>0</v>
      </c>
      <c r="Z78" s="12">
        <v>0</v>
      </c>
      <c r="AA78" s="12">
        <v>0</v>
      </c>
      <c r="AB78" s="12">
        <v>1</v>
      </c>
      <c r="AC78" s="12">
        <v>1</v>
      </c>
      <c r="AD78" s="12">
        <v>2</v>
      </c>
    </row>
    <row r="79" spans="1:30" x14ac:dyDescent="0.3">
      <c r="A79" s="12" t="s">
        <v>1889</v>
      </c>
      <c r="B79" s="12">
        <v>90</v>
      </c>
      <c r="C79" s="12">
        <v>8</v>
      </c>
      <c r="D79" s="12">
        <v>31</v>
      </c>
      <c r="E79" s="12">
        <v>11</v>
      </c>
      <c r="F79" s="12">
        <v>0</v>
      </c>
      <c r="G79" s="12">
        <v>18</v>
      </c>
      <c r="H79" s="12">
        <v>4</v>
      </c>
      <c r="I79" s="12">
        <v>0</v>
      </c>
      <c r="J79" s="12">
        <v>1</v>
      </c>
      <c r="K79" s="12">
        <v>7</v>
      </c>
      <c r="L79" s="12">
        <v>1</v>
      </c>
      <c r="M79" s="12">
        <v>5</v>
      </c>
      <c r="N79" s="12">
        <v>0</v>
      </c>
      <c r="O79" s="12">
        <v>1</v>
      </c>
      <c r="P79" s="12">
        <v>0</v>
      </c>
      <c r="Q79" s="12">
        <v>0</v>
      </c>
      <c r="R79" s="12">
        <v>11</v>
      </c>
      <c r="S79" s="12">
        <v>0</v>
      </c>
      <c r="T79" s="12">
        <v>1</v>
      </c>
      <c r="U79" s="12">
        <v>3</v>
      </c>
      <c r="V79" s="12">
        <v>2</v>
      </c>
      <c r="W79" s="12">
        <v>4</v>
      </c>
      <c r="X79" s="12">
        <v>1</v>
      </c>
      <c r="Y79" s="12">
        <v>0</v>
      </c>
      <c r="Z79" s="12">
        <v>1</v>
      </c>
      <c r="AA79" s="12">
        <v>0</v>
      </c>
      <c r="AB79" s="12">
        <v>0</v>
      </c>
      <c r="AC79" s="12">
        <v>2</v>
      </c>
      <c r="AD79" s="12">
        <v>0</v>
      </c>
    </row>
    <row r="80" spans="1:30" x14ac:dyDescent="0.3">
      <c r="A80" s="12" t="s">
        <v>1890</v>
      </c>
      <c r="B80" s="12">
        <v>113</v>
      </c>
      <c r="C80" s="12">
        <v>7</v>
      </c>
      <c r="D80" s="12">
        <v>39</v>
      </c>
      <c r="E80" s="12">
        <v>18</v>
      </c>
      <c r="F80" s="12">
        <v>2</v>
      </c>
      <c r="G80" s="12">
        <v>6</v>
      </c>
      <c r="H80" s="12">
        <v>1</v>
      </c>
      <c r="I80" s="12">
        <v>4</v>
      </c>
      <c r="J80" s="12">
        <v>0</v>
      </c>
      <c r="K80" s="12">
        <v>2</v>
      </c>
      <c r="L80" s="12">
        <v>0</v>
      </c>
      <c r="M80" s="12">
        <v>1</v>
      </c>
      <c r="N80" s="12">
        <v>0</v>
      </c>
      <c r="O80" s="12">
        <v>0</v>
      </c>
      <c r="P80" s="12">
        <v>1</v>
      </c>
      <c r="Q80" s="12">
        <v>0</v>
      </c>
      <c r="R80" s="12">
        <v>17</v>
      </c>
      <c r="S80" s="12">
        <v>1</v>
      </c>
      <c r="T80" s="12">
        <v>1</v>
      </c>
      <c r="U80" s="12">
        <v>1</v>
      </c>
      <c r="V80" s="12">
        <v>2</v>
      </c>
      <c r="W80" s="12">
        <v>3</v>
      </c>
      <c r="X80" s="12">
        <v>0</v>
      </c>
      <c r="Y80" s="12">
        <v>0</v>
      </c>
      <c r="Z80" s="12">
        <v>2</v>
      </c>
      <c r="AA80" s="12">
        <v>0</v>
      </c>
      <c r="AB80" s="12">
        <v>3</v>
      </c>
      <c r="AC80" s="12">
        <v>1</v>
      </c>
      <c r="AD80" s="12">
        <v>11</v>
      </c>
    </row>
    <row r="81" spans="1:30" x14ac:dyDescent="0.3">
      <c r="A81" s="12" t="s">
        <v>24</v>
      </c>
      <c r="B81" s="12">
        <v>166</v>
      </c>
      <c r="C81" s="12">
        <v>17</v>
      </c>
      <c r="D81" s="12">
        <v>70</v>
      </c>
      <c r="E81" s="12">
        <v>21</v>
      </c>
      <c r="F81" s="12">
        <v>0</v>
      </c>
      <c r="G81" s="12">
        <v>5</v>
      </c>
      <c r="H81" s="12">
        <v>0</v>
      </c>
      <c r="I81" s="12">
        <v>0</v>
      </c>
      <c r="J81" s="12">
        <v>1</v>
      </c>
      <c r="K81" s="12">
        <v>3</v>
      </c>
      <c r="L81" s="12">
        <v>1</v>
      </c>
      <c r="M81" s="12">
        <v>1</v>
      </c>
      <c r="N81" s="12">
        <v>0</v>
      </c>
      <c r="O81" s="12">
        <v>0</v>
      </c>
      <c r="P81" s="12">
        <v>0</v>
      </c>
      <c r="Q81" s="12">
        <v>1</v>
      </c>
      <c r="R81" s="12">
        <v>5</v>
      </c>
      <c r="S81" s="12">
        <v>6</v>
      </c>
      <c r="T81" s="12">
        <v>1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1</v>
      </c>
      <c r="AA81" s="12">
        <v>1</v>
      </c>
      <c r="AB81" s="12">
        <v>0</v>
      </c>
      <c r="AC81" s="12">
        <v>0</v>
      </c>
      <c r="AD81" s="12">
        <v>3</v>
      </c>
    </row>
    <row r="82" spans="1:30" x14ac:dyDescent="0.3">
      <c r="A82" s="12" t="s">
        <v>1891</v>
      </c>
      <c r="B82" s="12">
        <f t="shared" ref="B82:AD82" si="46">SUM(B66:B81)</f>
        <v>1342</v>
      </c>
      <c r="C82" s="12">
        <f t="shared" si="46"/>
        <v>200</v>
      </c>
      <c r="D82" s="12">
        <f t="shared" si="46"/>
        <v>909</v>
      </c>
      <c r="E82" s="12">
        <f t="shared" si="46"/>
        <v>259</v>
      </c>
      <c r="F82" s="12">
        <f t="shared" si="46"/>
        <v>17</v>
      </c>
      <c r="G82" s="12">
        <f t="shared" si="46"/>
        <v>244</v>
      </c>
      <c r="H82" s="12">
        <f t="shared" si="46"/>
        <v>24</v>
      </c>
      <c r="I82" s="12">
        <f t="shared" si="46"/>
        <v>8</v>
      </c>
      <c r="J82" s="12">
        <f t="shared" si="46"/>
        <v>22</v>
      </c>
      <c r="K82" s="12">
        <f t="shared" si="46"/>
        <v>133</v>
      </c>
      <c r="L82" s="12">
        <f t="shared" si="46"/>
        <v>64</v>
      </c>
      <c r="M82" s="12">
        <f t="shared" si="46"/>
        <v>48</v>
      </c>
      <c r="N82" s="12">
        <f t="shared" si="46"/>
        <v>18</v>
      </c>
      <c r="O82" s="12">
        <f t="shared" si="46"/>
        <v>16</v>
      </c>
      <c r="P82" s="12">
        <f t="shared" si="46"/>
        <v>20</v>
      </c>
      <c r="Q82" s="12">
        <f t="shared" si="46"/>
        <v>16</v>
      </c>
      <c r="R82" s="12">
        <f t="shared" si="46"/>
        <v>323</v>
      </c>
      <c r="S82" s="12">
        <f t="shared" si="46"/>
        <v>78</v>
      </c>
      <c r="T82" s="12">
        <f t="shared" si="46"/>
        <v>106</v>
      </c>
      <c r="U82" s="12">
        <f t="shared" si="46"/>
        <v>45</v>
      </c>
      <c r="V82" s="12">
        <f t="shared" si="46"/>
        <v>59</v>
      </c>
      <c r="W82" s="12">
        <f t="shared" si="46"/>
        <v>37</v>
      </c>
      <c r="X82" s="12">
        <f t="shared" si="46"/>
        <v>17</v>
      </c>
      <c r="Y82" s="12">
        <f t="shared" si="46"/>
        <v>10</v>
      </c>
      <c r="Z82" s="12">
        <f t="shared" si="46"/>
        <v>23</v>
      </c>
      <c r="AA82" s="12">
        <f t="shared" si="46"/>
        <v>17</v>
      </c>
      <c r="AB82" s="12">
        <f t="shared" si="46"/>
        <v>57</v>
      </c>
      <c r="AC82" s="12">
        <f t="shared" si="46"/>
        <v>12</v>
      </c>
      <c r="AD82" s="12">
        <f t="shared" si="46"/>
        <v>94</v>
      </c>
    </row>
    <row r="84" spans="1:30" s="50" customFormat="1" ht="45.6" customHeight="1" x14ac:dyDescent="0.25">
      <c r="A84" s="49" t="s">
        <v>1898</v>
      </c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</row>
    <row r="85" spans="1:30" s="13" customFormat="1" x14ac:dyDescent="0.3">
      <c r="A85" s="12" t="s">
        <v>25</v>
      </c>
      <c r="B85" s="13" t="s">
        <v>2</v>
      </c>
      <c r="C85" s="13" t="s">
        <v>3</v>
      </c>
      <c r="D85" s="13" t="s">
        <v>4</v>
      </c>
      <c r="E85" s="13" t="s">
        <v>3</v>
      </c>
      <c r="F85" s="13" t="s">
        <v>3</v>
      </c>
      <c r="G85" s="13" t="s">
        <v>6</v>
      </c>
      <c r="H85" s="13" t="s">
        <v>6</v>
      </c>
      <c r="I85" s="13" t="s">
        <v>6</v>
      </c>
      <c r="J85" s="13" t="s">
        <v>22</v>
      </c>
      <c r="K85" s="13" t="s">
        <v>1139</v>
      </c>
      <c r="L85" s="13" t="s">
        <v>1137</v>
      </c>
      <c r="M85" s="13" t="s">
        <v>1143</v>
      </c>
      <c r="N85" s="13" t="s">
        <v>1143</v>
      </c>
      <c r="O85" s="13" t="s">
        <v>20</v>
      </c>
      <c r="P85" s="13" t="s">
        <v>20</v>
      </c>
      <c r="Q85" s="13" t="s">
        <v>20</v>
      </c>
      <c r="R85" s="13" t="s">
        <v>38</v>
      </c>
      <c r="S85" s="13" t="s">
        <v>8</v>
      </c>
      <c r="T85" s="13" t="s">
        <v>8</v>
      </c>
      <c r="U85" s="13" t="s">
        <v>8</v>
      </c>
      <c r="V85" s="13" t="s">
        <v>8</v>
      </c>
      <c r="W85" s="13" t="s">
        <v>8</v>
      </c>
      <c r="X85" s="13" t="s">
        <v>8</v>
      </c>
      <c r="Y85" s="13" t="s">
        <v>8</v>
      </c>
      <c r="Z85" s="13" t="s">
        <v>8</v>
      </c>
      <c r="AA85" s="13" t="s">
        <v>8</v>
      </c>
      <c r="AB85" s="13" t="s">
        <v>8</v>
      </c>
      <c r="AC85" s="13" t="s">
        <v>13</v>
      </c>
      <c r="AD85" s="13" t="s">
        <v>13</v>
      </c>
    </row>
    <row r="86" spans="1:30" x14ac:dyDescent="0.3">
      <c r="A86" s="12" t="s">
        <v>0</v>
      </c>
      <c r="B86" s="12" t="s">
        <v>1</v>
      </c>
      <c r="C86" s="12" t="s">
        <v>29</v>
      </c>
      <c r="D86" s="12" t="s">
        <v>1140</v>
      </c>
      <c r="E86" s="12" t="s">
        <v>14</v>
      </c>
      <c r="F86" s="12" t="s">
        <v>18</v>
      </c>
      <c r="G86" s="12" t="s">
        <v>5</v>
      </c>
      <c r="H86" s="12" t="s">
        <v>1141</v>
      </c>
      <c r="I86" s="12" t="s">
        <v>1174</v>
      </c>
      <c r="J86" s="12" t="s">
        <v>21</v>
      </c>
      <c r="K86" s="12" t="s">
        <v>1138</v>
      </c>
      <c r="L86" s="12" t="s">
        <v>1136</v>
      </c>
      <c r="M86" s="12" t="s">
        <v>1142</v>
      </c>
      <c r="N86" s="12" t="s">
        <v>1148</v>
      </c>
      <c r="O86" s="12" t="s">
        <v>1144</v>
      </c>
      <c r="P86" s="12" t="s">
        <v>1149</v>
      </c>
      <c r="Q86" s="12" t="s">
        <v>1145</v>
      </c>
      <c r="R86" s="12" t="s">
        <v>37</v>
      </c>
      <c r="S86" s="12" t="s">
        <v>9</v>
      </c>
      <c r="T86" s="12" t="s">
        <v>19</v>
      </c>
      <c r="U86" s="12" t="s">
        <v>15</v>
      </c>
      <c r="V86" s="12" t="s">
        <v>17</v>
      </c>
      <c r="W86" s="12" t="s">
        <v>11</v>
      </c>
      <c r="X86" s="12" t="s">
        <v>7</v>
      </c>
      <c r="Y86" s="12" t="s">
        <v>1147</v>
      </c>
      <c r="Z86" s="12" t="s">
        <v>1146</v>
      </c>
      <c r="AA86" s="12" t="s">
        <v>10</v>
      </c>
      <c r="AB86" s="12" t="s">
        <v>1175</v>
      </c>
      <c r="AC86" s="12" t="s">
        <v>16</v>
      </c>
      <c r="AD86" s="12" t="s">
        <v>12</v>
      </c>
    </row>
    <row r="87" spans="1:30" x14ac:dyDescent="0.3">
      <c r="A87" s="12" t="s">
        <v>1876</v>
      </c>
      <c r="B87" s="12">
        <v>49</v>
      </c>
      <c r="C87" s="12">
        <v>6</v>
      </c>
      <c r="D87" s="12">
        <v>40</v>
      </c>
      <c r="E87" s="12">
        <v>8</v>
      </c>
      <c r="F87" s="12">
        <v>0</v>
      </c>
      <c r="G87" s="12">
        <v>5</v>
      </c>
      <c r="H87" s="12">
        <v>0</v>
      </c>
      <c r="I87" s="12">
        <v>0</v>
      </c>
      <c r="J87" s="12">
        <v>0</v>
      </c>
      <c r="K87" s="12">
        <v>1</v>
      </c>
      <c r="L87" s="12">
        <v>0</v>
      </c>
      <c r="M87" s="12">
        <v>1</v>
      </c>
      <c r="N87" s="12">
        <v>0</v>
      </c>
      <c r="O87" s="12">
        <v>0</v>
      </c>
      <c r="P87" s="12">
        <v>1</v>
      </c>
      <c r="Q87" s="12">
        <v>0</v>
      </c>
      <c r="R87" s="12">
        <v>9</v>
      </c>
      <c r="S87" s="12">
        <v>0</v>
      </c>
      <c r="T87" s="12">
        <v>3</v>
      </c>
      <c r="U87" s="12">
        <v>0</v>
      </c>
      <c r="V87" s="12">
        <v>0</v>
      </c>
      <c r="W87" s="12">
        <v>1</v>
      </c>
      <c r="X87" s="12">
        <v>9</v>
      </c>
      <c r="Y87" s="12">
        <v>1</v>
      </c>
      <c r="Z87" s="12">
        <v>0</v>
      </c>
      <c r="AA87" s="12">
        <v>0</v>
      </c>
      <c r="AB87" s="12">
        <v>3</v>
      </c>
      <c r="AC87" s="12">
        <v>0</v>
      </c>
      <c r="AD87" s="12">
        <v>0</v>
      </c>
    </row>
    <row r="88" spans="1:30" x14ac:dyDescent="0.3">
      <c r="A88" s="12" t="s">
        <v>1877</v>
      </c>
      <c r="B88" s="12">
        <v>39</v>
      </c>
      <c r="C88" s="12">
        <v>6</v>
      </c>
      <c r="D88" s="12">
        <v>13</v>
      </c>
      <c r="E88" s="12">
        <v>8</v>
      </c>
      <c r="F88" s="12">
        <v>0</v>
      </c>
      <c r="G88" s="12">
        <v>12</v>
      </c>
      <c r="H88" s="12">
        <v>0</v>
      </c>
      <c r="I88" s="12">
        <v>1</v>
      </c>
      <c r="J88" s="12">
        <v>0</v>
      </c>
      <c r="K88" s="12">
        <v>2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11</v>
      </c>
      <c r="S88" s="12">
        <v>5</v>
      </c>
      <c r="T88" s="12">
        <v>0</v>
      </c>
      <c r="U88" s="12">
        <v>0</v>
      </c>
      <c r="V88" s="12">
        <v>9</v>
      </c>
      <c r="W88" s="12">
        <v>0</v>
      </c>
      <c r="X88" s="12">
        <v>5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</row>
    <row r="89" spans="1:30" x14ac:dyDescent="0.3">
      <c r="A89" s="12" t="s">
        <v>1878</v>
      </c>
      <c r="B89" s="12">
        <v>53</v>
      </c>
      <c r="C89" s="12">
        <v>21</v>
      </c>
      <c r="D89" s="12">
        <v>40</v>
      </c>
      <c r="E89" s="12">
        <v>21</v>
      </c>
      <c r="F89" s="12">
        <v>3</v>
      </c>
      <c r="G89" s="12">
        <v>1</v>
      </c>
      <c r="H89" s="12">
        <v>0</v>
      </c>
      <c r="I89" s="12">
        <v>0</v>
      </c>
      <c r="J89" s="12">
        <v>1</v>
      </c>
      <c r="K89" s="12">
        <v>1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7</v>
      </c>
      <c r="S89" s="12">
        <v>3</v>
      </c>
      <c r="T89" s="12">
        <v>0</v>
      </c>
      <c r="U89" s="12">
        <v>0</v>
      </c>
      <c r="V89" s="12">
        <v>1</v>
      </c>
      <c r="W89" s="12">
        <v>0</v>
      </c>
      <c r="X89" s="12">
        <v>2</v>
      </c>
      <c r="Y89" s="12">
        <v>0</v>
      </c>
      <c r="Z89" s="12">
        <v>0</v>
      </c>
      <c r="AA89" s="12">
        <v>0</v>
      </c>
      <c r="AB89" s="12">
        <v>7</v>
      </c>
      <c r="AC89" s="12">
        <v>0</v>
      </c>
      <c r="AD89" s="12">
        <v>2</v>
      </c>
    </row>
    <row r="90" spans="1:30" x14ac:dyDescent="0.3">
      <c r="A90" s="12" t="s">
        <v>1879</v>
      </c>
      <c r="B90" s="12">
        <v>37</v>
      </c>
      <c r="C90" s="12">
        <v>6</v>
      </c>
      <c r="D90" s="12">
        <v>37</v>
      </c>
      <c r="E90" s="12">
        <v>6</v>
      </c>
      <c r="F90" s="12">
        <v>1</v>
      </c>
      <c r="G90" s="12">
        <v>0</v>
      </c>
      <c r="H90" s="12">
        <v>0</v>
      </c>
      <c r="I90" s="12">
        <v>0</v>
      </c>
      <c r="J90" s="12">
        <v>1</v>
      </c>
      <c r="K90" s="12">
        <v>0</v>
      </c>
      <c r="L90" s="12">
        <v>0</v>
      </c>
      <c r="M90" s="12">
        <v>0</v>
      </c>
      <c r="N90" s="12">
        <v>1</v>
      </c>
      <c r="O90" s="12">
        <v>0</v>
      </c>
      <c r="P90" s="12">
        <v>1</v>
      </c>
      <c r="Q90" s="12">
        <v>0</v>
      </c>
      <c r="R90" s="12">
        <v>3</v>
      </c>
      <c r="S90" s="12">
        <v>0</v>
      </c>
      <c r="T90" s="12">
        <v>2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1</v>
      </c>
      <c r="AA90" s="12">
        <v>1</v>
      </c>
      <c r="AB90" s="12">
        <v>0</v>
      </c>
      <c r="AC90" s="12">
        <v>0</v>
      </c>
      <c r="AD90" s="12">
        <v>0</v>
      </c>
    </row>
    <row r="91" spans="1:30" x14ac:dyDescent="0.3">
      <c r="A91" s="12" t="s">
        <v>1880</v>
      </c>
      <c r="B91" s="12">
        <v>20</v>
      </c>
      <c r="C91" s="12">
        <v>4</v>
      </c>
      <c r="D91" s="12">
        <v>16</v>
      </c>
      <c r="E91" s="12">
        <v>7</v>
      </c>
      <c r="F91" s="12">
        <v>0</v>
      </c>
      <c r="G91" s="12">
        <v>17</v>
      </c>
      <c r="H91" s="12">
        <v>1</v>
      </c>
      <c r="I91" s="12">
        <v>0</v>
      </c>
      <c r="J91" s="12">
        <v>0</v>
      </c>
      <c r="K91" s="12">
        <v>0</v>
      </c>
      <c r="L91" s="12">
        <v>1</v>
      </c>
      <c r="M91" s="12">
        <v>0</v>
      </c>
      <c r="N91" s="12">
        <v>0</v>
      </c>
      <c r="O91" s="12">
        <v>8</v>
      </c>
      <c r="P91" s="12">
        <v>0</v>
      </c>
      <c r="Q91" s="12">
        <v>0</v>
      </c>
      <c r="R91" s="12">
        <v>10</v>
      </c>
      <c r="S91" s="12">
        <v>5</v>
      </c>
      <c r="T91" s="12">
        <v>9</v>
      </c>
      <c r="U91" s="12">
        <v>1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1</v>
      </c>
      <c r="AC91" s="12">
        <v>0</v>
      </c>
      <c r="AD91" s="12">
        <v>1</v>
      </c>
    </row>
    <row r="92" spans="1:30" x14ac:dyDescent="0.3">
      <c r="A92" s="12" t="s">
        <v>1881</v>
      </c>
      <c r="B92" s="12">
        <v>39</v>
      </c>
      <c r="C92" s="12">
        <v>7</v>
      </c>
      <c r="D92" s="12">
        <v>27</v>
      </c>
      <c r="E92" s="12">
        <v>7</v>
      </c>
      <c r="F92" s="12">
        <v>2</v>
      </c>
      <c r="G92" s="12">
        <v>7</v>
      </c>
      <c r="H92" s="12">
        <v>0</v>
      </c>
      <c r="I92" s="12">
        <v>0</v>
      </c>
      <c r="J92" s="12">
        <v>0</v>
      </c>
      <c r="K92" s="12">
        <v>3</v>
      </c>
      <c r="L92" s="12">
        <v>1</v>
      </c>
      <c r="M92" s="12">
        <v>0</v>
      </c>
      <c r="N92" s="12">
        <v>0</v>
      </c>
      <c r="O92" s="12">
        <v>3</v>
      </c>
      <c r="P92" s="12">
        <v>1</v>
      </c>
      <c r="Q92" s="12">
        <v>0</v>
      </c>
      <c r="R92" s="12">
        <v>8</v>
      </c>
      <c r="S92" s="12">
        <v>4</v>
      </c>
      <c r="T92" s="12">
        <v>0</v>
      </c>
      <c r="U92" s="12">
        <v>0</v>
      </c>
      <c r="V92" s="12">
        <v>2</v>
      </c>
      <c r="W92" s="12">
        <v>0</v>
      </c>
      <c r="X92" s="12">
        <v>0</v>
      </c>
      <c r="Y92" s="12">
        <v>0</v>
      </c>
      <c r="Z92" s="12">
        <v>1</v>
      </c>
      <c r="AA92" s="12">
        <v>2</v>
      </c>
      <c r="AB92" s="12">
        <v>1</v>
      </c>
      <c r="AC92" s="12">
        <v>0</v>
      </c>
      <c r="AD92" s="12">
        <v>0</v>
      </c>
    </row>
    <row r="93" spans="1:30" x14ac:dyDescent="0.3">
      <c r="A93" s="12" t="s">
        <v>1882</v>
      </c>
      <c r="B93" s="12">
        <v>41</v>
      </c>
      <c r="C93" s="12">
        <v>14</v>
      </c>
      <c r="D93" s="12">
        <v>19</v>
      </c>
      <c r="E93" s="12">
        <v>11</v>
      </c>
      <c r="F93" s="12">
        <v>2</v>
      </c>
      <c r="G93" s="12">
        <v>4</v>
      </c>
      <c r="H93" s="12">
        <v>0</v>
      </c>
      <c r="I93" s="12">
        <v>0</v>
      </c>
      <c r="J93" s="12">
        <v>0</v>
      </c>
      <c r="K93" s="12">
        <v>1</v>
      </c>
      <c r="L93" s="12">
        <v>1</v>
      </c>
      <c r="M93" s="12">
        <v>0</v>
      </c>
      <c r="N93" s="12">
        <v>0</v>
      </c>
      <c r="O93" s="12">
        <v>1</v>
      </c>
      <c r="P93" s="12">
        <v>1</v>
      </c>
      <c r="Q93" s="12">
        <v>0</v>
      </c>
      <c r="R93" s="12">
        <v>6</v>
      </c>
      <c r="S93" s="12">
        <v>6</v>
      </c>
      <c r="T93" s="12">
        <v>2</v>
      </c>
      <c r="U93" s="12">
        <v>0</v>
      </c>
      <c r="V93" s="12">
        <v>0</v>
      </c>
      <c r="W93" s="12">
        <v>0</v>
      </c>
      <c r="X93" s="12">
        <v>1</v>
      </c>
      <c r="Y93" s="12">
        <v>0</v>
      </c>
      <c r="Z93" s="12">
        <v>1</v>
      </c>
      <c r="AA93" s="12">
        <v>1</v>
      </c>
      <c r="AB93" s="12">
        <v>3</v>
      </c>
      <c r="AC93" s="12">
        <v>0</v>
      </c>
      <c r="AD93" s="12">
        <v>1</v>
      </c>
    </row>
    <row r="94" spans="1:30" x14ac:dyDescent="0.3">
      <c r="A94" s="12" t="s">
        <v>1883</v>
      </c>
      <c r="B94" s="12">
        <v>48</v>
      </c>
      <c r="C94" s="12">
        <v>11</v>
      </c>
      <c r="D94" s="12">
        <v>28</v>
      </c>
      <c r="E94" s="12">
        <v>12</v>
      </c>
      <c r="F94" s="12">
        <v>1</v>
      </c>
      <c r="G94" s="12">
        <v>4</v>
      </c>
      <c r="H94" s="12">
        <v>0</v>
      </c>
      <c r="I94" s="12">
        <v>0</v>
      </c>
      <c r="J94" s="12">
        <v>0</v>
      </c>
      <c r="K94" s="12">
        <v>5</v>
      </c>
      <c r="L94" s="12">
        <v>2</v>
      </c>
      <c r="M94" s="12">
        <v>0</v>
      </c>
      <c r="N94" s="12">
        <v>0</v>
      </c>
      <c r="O94" s="12">
        <v>1</v>
      </c>
      <c r="P94" s="12">
        <v>1</v>
      </c>
      <c r="Q94" s="12">
        <v>0</v>
      </c>
      <c r="R94" s="12">
        <v>9</v>
      </c>
      <c r="S94" s="12">
        <v>20</v>
      </c>
      <c r="T94" s="12">
        <v>0</v>
      </c>
      <c r="U94" s="12">
        <v>2</v>
      </c>
      <c r="V94" s="12">
        <v>0</v>
      </c>
      <c r="W94" s="12">
        <v>0</v>
      </c>
      <c r="X94" s="12">
        <v>1</v>
      </c>
      <c r="Y94" s="12">
        <v>1</v>
      </c>
      <c r="Z94" s="12">
        <v>2</v>
      </c>
      <c r="AA94" s="12">
        <v>0</v>
      </c>
      <c r="AB94" s="12">
        <v>9</v>
      </c>
      <c r="AC94" s="12">
        <v>0</v>
      </c>
      <c r="AD94" s="12">
        <v>0</v>
      </c>
    </row>
    <row r="95" spans="1:30" x14ac:dyDescent="0.3">
      <c r="A95" s="12" t="s">
        <v>1884</v>
      </c>
      <c r="B95" s="12">
        <v>48</v>
      </c>
      <c r="C95" s="12">
        <v>11</v>
      </c>
      <c r="D95" s="12">
        <v>47</v>
      </c>
      <c r="E95" s="12">
        <v>16</v>
      </c>
      <c r="F95" s="12">
        <v>1</v>
      </c>
      <c r="G95" s="12">
        <v>11</v>
      </c>
      <c r="H95" s="12">
        <v>0</v>
      </c>
      <c r="I95" s="12">
        <v>0</v>
      </c>
      <c r="J95" s="12">
        <v>0</v>
      </c>
      <c r="K95" s="12">
        <v>2</v>
      </c>
      <c r="L95" s="12">
        <v>0</v>
      </c>
      <c r="M95" s="12">
        <v>0</v>
      </c>
      <c r="N95" s="12">
        <v>0</v>
      </c>
      <c r="O95" s="12">
        <v>0</v>
      </c>
      <c r="P95" s="12">
        <v>4</v>
      </c>
      <c r="Q95" s="12">
        <v>0</v>
      </c>
      <c r="R95" s="12">
        <v>4</v>
      </c>
      <c r="S95" s="12">
        <v>0</v>
      </c>
      <c r="T95" s="12">
        <v>2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1</v>
      </c>
      <c r="AA95" s="12">
        <v>0</v>
      </c>
      <c r="AB95" s="12">
        <v>7</v>
      </c>
      <c r="AC95" s="12">
        <v>0</v>
      </c>
      <c r="AD95" s="12">
        <v>0</v>
      </c>
    </row>
    <row r="96" spans="1:30" x14ac:dyDescent="0.3">
      <c r="A96" s="12" t="s">
        <v>1885</v>
      </c>
      <c r="B96" s="12">
        <v>51</v>
      </c>
      <c r="C96" s="12">
        <v>5</v>
      </c>
      <c r="D96" s="12">
        <v>39</v>
      </c>
      <c r="E96" s="12">
        <v>10</v>
      </c>
      <c r="F96" s="12">
        <v>2</v>
      </c>
      <c r="G96" s="12">
        <v>6</v>
      </c>
      <c r="H96" s="12">
        <v>0</v>
      </c>
      <c r="I96" s="12">
        <v>0</v>
      </c>
      <c r="J96" s="12">
        <v>0</v>
      </c>
      <c r="K96" s="12">
        <v>2</v>
      </c>
      <c r="L96" s="12">
        <v>0</v>
      </c>
      <c r="M96" s="12">
        <v>2</v>
      </c>
      <c r="N96" s="12">
        <v>0</v>
      </c>
      <c r="O96" s="12">
        <v>0</v>
      </c>
      <c r="P96" s="12">
        <v>0</v>
      </c>
      <c r="Q96" s="12">
        <v>0</v>
      </c>
      <c r="R96" s="12">
        <v>9</v>
      </c>
      <c r="S96" s="12">
        <v>7</v>
      </c>
      <c r="T96" s="12">
        <v>3</v>
      </c>
      <c r="U96" s="12">
        <v>3</v>
      </c>
      <c r="V96" s="12">
        <v>1</v>
      </c>
      <c r="W96" s="12">
        <v>2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</row>
    <row r="97" spans="1:30" x14ac:dyDescent="0.3">
      <c r="A97" s="12" t="s">
        <v>1886</v>
      </c>
      <c r="B97" s="12">
        <v>127</v>
      </c>
      <c r="C97" s="12">
        <v>31</v>
      </c>
      <c r="D97" s="12">
        <v>55</v>
      </c>
      <c r="E97" s="12">
        <v>23</v>
      </c>
      <c r="F97" s="12">
        <v>4</v>
      </c>
      <c r="G97" s="12">
        <v>10</v>
      </c>
      <c r="H97" s="12">
        <v>0</v>
      </c>
      <c r="I97" s="12">
        <v>0</v>
      </c>
      <c r="J97" s="12">
        <v>0</v>
      </c>
      <c r="K97" s="12">
        <v>7</v>
      </c>
      <c r="L97" s="12">
        <v>0</v>
      </c>
      <c r="M97" s="12">
        <v>1</v>
      </c>
      <c r="N97" s="12">
        <v>0</v>
      </c>
      <c r="O97" s="12">
        <v>0</v>
      </c>
      <c r="P97" s="12">
        <v>3</v>
      </c>
      <c r="Q97" s="12">
        <v>0</v>
      </c>
      <c r="R97" s="12">
        <v>5</v>
      </c>
      <c r="S97" s="12">
        <v>0</v>
      </c>
      <c r="T97" s="12">
        <v>0</v>
      </c>
      <c r="U97" s="12">
        <v>0</v>
      </c>
      <c r="V97" s="12">
        <v>1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1</v>
      </c>
      <c r="AC97" s="12">
        <v>0</v>
      </c>
      <c r="AD97" s="12">
        <v>0</v>
      </c>
    </row>
    <row r="98" spans="1:30" x14ac:dyDescent="0.3">
      <c r="A98" s="12" t="s">
        <v>1887</v>
      </c>
      <c r="B98" s="12">
        <v>90</v>
      </c>
      <c r="C98" s="12">
        <v>9</v>
      </c>
      <c r="D98" s="12">
        <v>63</v>
      </c>
      <c r="E98" s="12">
        <v>19</v>
      </c>
      <c r="F98" s="12">
        <v>0</v>
      </c>
      <c r="G98" s="12">
        <v>6</v>
      </c>
      <c r="H98" s="12">
        <v>0</v>
      </c>
      <c r="I98" s="12">
        <v>0</v>
      </c>
      <c r="J98" s="12">
        <v>0</v>
      </c>
      <c r="K98" s="12">
        <v>1</v>
      </c>
      <c r="L98" s="12">
        <v>0</v>
      </c>
      <c r="M98" s="12">
        <v>0</v>
      </c>
      <c r="N98" s="12">
        <v>0</v>
      </c>
      <c r="O98" s="12">
        <v>1</v>
      </c>
      <c r="P98" s="12">
        <v>0</v>
      </c>
      <c r="Q98" s="12">
        <v>0</v>
      </c>
      <c r="R98" s="12">
        <v>2</v>
      </c>
      <c r="S98" s="12">
        <v>1</v>
      </c>
      <c r="T98" s="12">
        <v>1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2</v>
      </c>
      <c r="AA98" s="12">
        <v>1</v>
      </c>
      <c r="AB98" s="12">
        <v>2</v>
      </c>
      <c r="AC98" s="12">
        <v>0</v>
      </c>
      <c r="AD98" s="12">
        <v>0</v>
      </c>
    </row>
    <row r="99" spans="1:30" x14ac:dyDescent="0.3">
      <c r="A99" s="12" t="s">
        <v>1888</v>
      </c>
      <c r="B99" s="12">
        <v>50</v>
      </c>
      <c r="C99" s="12">
        <v>17</v>
      </c>
      <c r="D99" s="12">
        <v>28</v>
      </c>
      <c r="E99" s="12">
        <v>8</v>
      </c>
      <c r="F99" s="12">
        <v>1</v>
      </c>
      <c r="G99" s="12">
        <v>3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1</v>
      </c>
      <c r="O99" s="12">
        <v>0</v>
      </c>
      <c r="P99" s="12">
        <v>0</v>
      </c>
      <c r="Q99" s="12">
        <v>0</v>
      </c>
      <c r="R99" s="12">
        <v>6</v>
      </c>
      <c r="S99" s="12">
        <v>1</v>
      </c>
      <c r="T99" s="12">
        <v>2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1</v>
      </c>
      <c r="AB99" s="12">
        <v>1</v>
      </c>
      <c r="AC99" s="12">
        <v>1</v>
      </c>
      <c r="AD99" s="12">
        <v>1</v>
      </c>
    </row>
    <row r="100" spans="1:30" x14ac:dyDescent="0.3">
      <c r="A100" s="12" t="s">
        <v>1889</v>
      </c>
      <c r="B100" s="12">
        <v>69</v>
      </c>
      <c r="C100" s="12">
        <v>3</v>
      </c>
      <c r="D100" s="12">
        <v>29</v>
      </c>
      <c r="E100" s="12">
        <v>4</v>
      </c>
      <c r="F100" s="12">
        <v>0</v>
      </c>
      <c r="G100" s="12">
        <v>3</v>
      </c>
      <c r="H100" s="12">
        <v>1</v>
      </c>
      <c r="I100" s="12">
        <v>0</v>
      </c>
      <c r="J100" s="12">
        <v>1</v>
      </c>
      <c r="K100" s="12">
        <v>0</v>
      </c>
      <c r="L100" s="12">
        <v>0</v>
      </c>
      <c r="M100" s="12">
        <v>1</v>
      </c>
      <c r="N100" s="12">
        <v>0</v>
      </c>
      <c r="O100" s="12">
        <v>0</v>
      </c>
      <c r="P100" s="12">
        <v>4</v>
      </c>
      <c r="Q100" s="12">
        <v>0</v>
      </c>
      <c r="R100" s="12">
        <v>4</v>
      </c>
      <c r="S100" s="12">
        <v>0</v>
      </c>
      <c r="T100" s="12">
        <v>0</v>
      </c>
      <c r="U100" s="12">
        <v>0</v>
      </c>
      <c r="V100" s="12">
        <v>0</v>
      </c>
      <c r="W100" s="12">
        <v>1</v>
      </c>
      <c r="X100" s="12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2</v>
      </c>
      <c r="AD100" s="12">
        <v>0</v>
      </c>
    </row>
    <row r="101" spans="1:30" x14ac:dyDescent="0.3">
      <c r="A101" s="12" t="s">
        <v>1890</v>
      </c>
      <c r="B101" s="12">
        <v>84</v>
      </c>
      <c r="C101" s="12">
        <v>23</v>
      </c>
      <c r="D101" s="12">
        <v>34</v>
      </c>
      <c r="E101" s="12">
        <v>17</v>
      </c>
      <c r="F101" s="12">
        <v>1</v>
      </c>
      <c r="G101" s="12">
        <v>3</v>
      </c>
      <c r="H101" s="12">
        <v>0</v>
      </c>
      <c r="I101" s="12">
        <v>1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5</v>
      </c>
      <c r="S101" s="12">
        <v>3</v>
      </c>
      <c r="T101" s="12">
        <v>0</v>
      </c>
      <c r="U101" s="12">
        <v>1</v>
      </c>
      <c r="V101" s="12">
        <v>0</v>
      </c>
      <c r="W101" s="12">
        <v>0</v>
      </c>
      <c r="X101" s="12">
        <v>0</v>
      </c>
      <c r="Y101" s="12">
        <v>0</v>
      </c>
      <c r="Z101" s="12">
        <v>3</v>
      </c>
      <c r="AA101" s="12">
        <v>7</v>
      </c>
      <c r="AB101" s="12">
        <v>0</v>
      </c>
      <c r="AC101" s="12">
        <v>0</v>
      </c>
      <c r="AD101" s="12">
        <v>3</v>
      </c>
    </row>
    <row r="102" spans="1:30" x14ac:dyDescent="0.3">
      <c r="A102" s="12" t="s">
        <v>24</v>
      </c>
      <c r="B102" s="12">
        <v>120</v>
      </c>
      <c r="C102" s="12">
        <v>9</v>
      </c>
      <c r="D102" s="12">
        <v>54</v>
      </c>
      <c r="E102" s="12">
        <v>12</v>
      </c>
      <c r="F102" s="12">
        <v>1</v>
      </c>
      <c r="G102" s="12">
        <v>3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1</v>
      </c>
      <c r="P102" s="12">
        <v>1</v>
      </c>
      <c r="Q102" s="12">
        <v>0</v>
      </c>
      <c r="R102" s="12">
        <v>4</v>
      </c>
      <c r="S102" s="12">
        <v>5</v>
      </c>
      <c r="T102" s="12">
        <v>0</v>
      </c>
      <c r="U102" s="12">
        <v>0</v>
      </c>
      <c r="V102" s="12">
        <v>1</v>
      </c>
      <c r="W102" s="12">
        <v>0</v>
      </c>
      <c r="X102" s="12">
        <v>0</v>
      </c>
      <c r="Y102" s="12">
        <v>1</v>
      </c>
      <c r="Z102" s="12">
        <v>1</v>
      </c>
      <c r="AA102" s="12">
        <v>7</v>
      </c>
      <c r="AB102" s="12">
        <v>0</v>
      </c>
      <c r="AC102" s="12">
        <v>0</v>
      </c>
      <c r="AD102" s="12">
        <v>0</v>
      </c>
    </row>
    <row r="103" spans="1:30" x14ac:dyDescent="0.3">
      <c r="A103" s="12" t="s">
        <v>1891</v>
      </c>
      <c r="B103" s="12">
        <f t="shared" ref="B103:P103" si="47">SUM(B87:B102)</f>
        <v>965</v>
      </c>
      <c r="C103" s="12">
        <f t="shared" si="47"/>
        <v>183</v>
      </c>
      <c r="D103" s="12">
        <f t="shared" si="47"/>
        <v>569</v>
      </c>
      <c r="E103" s="12">
        <f t="shared" si="47"/>
        <v>189</v>
      </c>
      <c r="F103" s="12">
        <f t="shared" si="47"/>
        <v>19</v>
      </c>
      <c r="G103" s="12">
        <f t="shared" si="47"/>
        <v>95</v>
      </c>
      <c r="H103" s="12">
        <f t="shared" si="47"/>
        <v>2</v>
      </c>
      <c r="I103" s="12">
        <f t="shared" si="47"/>
        <v>2</v>
      </c>
      <c r="J103" s="12">
        <f t="shared" si="47"/>
        <v>3</v>
      </c>
      <c r="K103" s="12">
        <f t="shared" si="47"/>
        <v>25</v>
      </c>
      <c r="L103" s="12">
        <f t="shared" si="47"/>
        <v>5</v>
      </c>
      <c r="M103" s="12">
        <f t="shared" si="47"/>
        <v>5</v>
      </c>
      <c r="N103" s="12">
        <f t="shared" si="47"/>
        <v>2</v>
      </c>
      <c r="O103" s="12">
        <f t="shared" si="47"/>
        <v>15</v>
      </c>
      <c r="P103" s="12">
        <f t="shared" si="47"/>
        <v>17</v>
      </c>
      <c r="Q103" s="12">
        <v>0</v>
      </c>
      <c r="R103" s="12">
        <f t="shared" ref="R103:AD103" si="48">SUM(R87:R102)</f>
        <v>102</v>
      </c>
      <c r="S103" s="12">
        <f t="shared" si="48"/>
        <v>60</v>
      </c>
      <c r="T103" s="12">
        <f t="shared" si="48"/>
        <v>24</v>
      </c>
      <c r="U103" s="12">
        <f t="shared" si="48"/>
        <v>7</v>
      </c>
      <c r="V103" s="12">
        <f t="shared" si="48"/>
        <v>15</v>
      </c>
      <c r="W103" s="12">
        <f t="shared" si="48"/>
        <v>4</v>
      </c>
      <c r="X103" s="12">
        <f t="shared" si="48"/>
        <v>19</v>
      </c>
      <c r="Y103" s="12">
        <f t="shared" si="48"/>
        <v>3</v>
      </c>
      <c r="Z103" s="12">
        <f t="shared" si="48"/>
        <v>12</v>
      </c>
      <c r="AA103" s="12">
        <f t="shared" si="48"/>
        <v>20</v>
      </c>
      <c r="AB103" s="12">
        <f t="shared" si="48"/>
        <v>35</v>
      </c>
      <c r="AC103" s="12">
        <f t="shared" si="48"/>
        <v>3</v>
      </c>
      <c r="AD103" s="12">
        <f t="shared" si="48"/>
        <v>8</v>
      </c>
    </row>
    <row r="105" spans="1:30" ht="52.2" x14ac:dyDescent="0.3">
      <c r="A105" s="19" t="s">
        <v>1892</v>
      </c>
      <c r="B105" s="13" t="s">
        <v>1895</v>
      </c>
    </row>
    <row r="106" spans="1:30" s="13" customFormat="1" x14ac:dyDescent="0.3">
      <c r="A106" s="12" t="s">
        <v>25</v>
      </c>
      <c r="B106" s="13" t="s">
        <v>2</v>
      </c>
      <c r="C106" s="13" t="s">
        <v>3</v>
      </c>
      <c r="D106" s="13" t="s">
        <v>4</v>
      </c>
      <c r="E106" s="13" t="s">
        <v>3</v>
      </c>
      <c r="F106" s="13" t="s">
        <v>3</v>
      </c>
      <c r="G106" s="13" t="s">
        <v>6</v>
      </c>
      <c r="H106" s="13" t="s">
        <v>6</v>
      </c>
      <c r="I106" s="13" t="s">
        <v>6</v>
      </c>
      <c r="J106" s="13" t="s">
        <v>22</v>
      </c>
      <c r="K106" s="13" t="s">
        <v>1139</v>
      </c>
      <c r="L106" s="13" t="s">
        <v>1137</v>
      </c>
      <c r="M106" s="13" t="s">
        <v>1143</v>
      </c>
      <c r="N106" s="13" t="s">
        <v>1143</v>
      </c>
      <c r="O106" s="13" t="s">
        <v>20</v>
      </c>
      <c r="P106" s="13" t="s">
        <v>20</v>
      </c>
      <c r="Q106" s="13" t="s">
        <v>20</v>
      </c>
      <c r="R106" s="13" t="s">
        <v>38</v>
      </c>
      <c r="S106" s="13" t="s">
        <v>8</v>
      </c>
      <c r="T106" s="13" t="s">
        <v>8</v>
      </c>
      <c r="U106" s="13" t="s">
        <v>8</v>
      </c>
      <c r="V106" s="13" t="s">
        <v>8</v>
      </c>
      <c r="W106" s="13" t="s">
        <v>8</v>
      </c>
      <c r="X106" s="13" t="s">
        <v>8</v>
      </c>
      <c r="Y106" s="13" t="s">
        <v>8</v>
      </c>
      <c r="Z106" s="13" t="s">
        <v>8</v>
      </c>
      <c r="AA106" s="13" t="s">
        <v>8</v>
      </c>
      <c r="AB106" s="13" t="s">
        <v>8</v>
      </c>
      <c r="AC106" s="13" t="s">
        <v>13</v>
      </c>
      <c r="AD106" s="13" t="s">
        <v>13</v>
      </c>
    </row>
    <row r="107" spans="1:30" x14ac:dyDescent="0.3">
      <c r="A107" s="12" t="s">
        <v>0</v>
      </c>
      <c r="B107" s="12" t="s">
        <v>1</v>
      </c>
      <c r="C107" s="12" t="s">
        <v>29</v>
      </c>
      <c r="D107" s="12" t="s">
        <v>1140</v>
      </c>
      <c r="E107" s="12" t="s">
        <v>14</v>
      </c>
      <c r="F107" s="12" t="s">
        <v>18</v>
      </c>
      <c r="G107" s="12" t="s">
        <v>5</v>
      </c>
      <c r="H107" s="12" t="s">
        <v>1141</v>
      </c>
      <c r="I107" s="12" t="s">
        <v>1174</v>
      </c>
      <c r="J107" s="12" t="s">
        <v>21</v>
      </c>
      <c r="K107" s="12" t="s">
        <v>1138</v>
      </c>
      <c r="L107" s="12" t="s">
        <v>1136</v>
      </c>
      <c r="M107" s="12" t="s">
        <v>1142</v>
      </c>
      <c r="N107" s="12" t="s">
        <v>1148</v>
      </c>
      <c r="O107" s="12" t="s">
        <v>1144</v>
      </c>
      <c r="P107" s="12" t="s">
        <v>1149</v>
      </c>
      <c r="Q107" s="12" t="s">
        <v>1145</v>
      </c>
      <c r="R107" s="12" t="s">
        <v>37</v>
      </c>
      <c r="S107" s="12" t="s">
        <v>9</v>
      </c>
      <c r="T107" s="12" t="s">
        <v>19</v>
      </c>
      <c r="U107" s="12" t="s">
        <v>15</v>
      </c>
      <c r="V107" s="12" t="s">
        <v>17</v>
      </c>
      <c r="W107" s="12" t="s">
        <v>11</v>
      </c>
      <c r="X107" s="12" t="s">
        <v>7</v>
      </c>
      <c r="Y107" s="12" t="s">
        <v>1147</v>
      </c>
      <c r="Z107" s="12" t="s">
        <v>1146</v>
      </c>
      <c r="AA107" s="12" t="s">
        <v>10</v>
      </c>
      <c r="AB107" s="12" t="s">
        <v>1175</v>
      </c>
      <c r="AC107" s="12" t="s">
        <v>16</v>
      </c>
      <c r="AD107" s="12" t="s">
        <v>12</v>
      </c>
    </row>
    <row r="108" spans="1:30" x14ac:dyDescent="0.3">
      <c r="A108" s="12" t="s">
        <v>1876</v>
      </c>
      <c r="B108" s="12">
        <v>55</v>
      </c>
      <c r="C108" s="12">
        <v>10</v>
      </c>
      <c r="D108" s="12">
        <v>32</v>
      </c>
      <c r="E108" s="12">
        <v>11</v>
      </c>
      <c r="F108" s="12">
        <v>1</v>
      </c>
      <c r="G108" s="12">
        <v>5</v>
      </c>
      <c r="H108" s="12">
        <v>0</v>
      </c>
      <c r="I108" s="12">
        <v>0</v>
      </c>
      <c r="J108" s="12">
        <v>0</v>
      </c>
      <c r="K108" s="12">
        <v>1</v>
      </c>
      <c r="L108" s="12">
        <v>0</v>
      </c>
      <c r="M108" s="12">
        <v>0</v>
      </c>
      <c r="N108" s="12">
        <v>0</v>
      </c>
      <c r="O108" s="12">
        <v>1</v>
      </c>
      <c r="P108" s="12">
        <v>1</v>
      </c>
      <c r="Q108" s="12">
        <v>0</v>
      </c>
      <c r="R108" s="12">
        <v>6</v>
      </c>
      <c r="S108" s="12">
        <v>3</v>
      </c>
      <c r="T108" s="12">
        <v>1</v>
      </c>
      <c r="U108" s="12">
        <v>0</v>
      </c>
      <c r="V108" s="12">
        <v>1</v>
      </c>
      <c r="W108" s="12">
        <v>0</v>
      </c>
      <c r="X108" s="12">
        <v>1</v>
      </c>
      <c r="Y108" s="12">
        <v>0</v>
      </c>
      <c r="Z108" s="12">
        <v>1</v>
      </c>
      <c r="AA108" s="12">
        <v>1</v>
      </c>
      <c r="AB108" s="12">
        <v>2</v>
      </c>
      <c r="AC108" s="12">
        <v>0</v>
      </c>
      <c r="AD108" s="12">
        <v>0</v>
      </c>
    </row>
    <row r="109" spans="1:30" x14ac:dyDescent="0.3">
      <c r="A109" s="12" t="s">
        <v>1877</v>
      </c>
      <c r="B109" s="12">
        <v>44</v>
      </c>
      <c r="C109" s="12">
        <v>8</v>
      </c>
      <c r="D109" s="12">
        <v>26</v>
      </c>
      <c r="E109" s="12">
        <v>9</v>
      </c>
      <c r="F109" s="12">
        <v>1</v>
      </c>
      <c r="G109" s="12">
        <v>4</v>
      </c>
      <c r="H109" s="12">
        <v>0</v>
      </c>
      <c r="I109" s="12">
        <v>0</v>
      </c>
      <c r="J109" s="12">
        <v>0</v>
      </c>
      <c r="K109" s="12">
        <v>1</v>
      </c>
      <c r="L109" s="12">
        <v>0</v>
      </c>
      <c r="M109" s="12">
        <v>0</v>
      </c>
      <c r="N109" s="12">
        <v>0</v>
      </c>
      <c r="O109" s="12">
        <v>1</v>
      </c>
      <c r="P109" s="12">
        <v>1</v>
      </c>
      <c r="Q109" s="12">
        <v>0</v>
      </c>
      <c r="R109" s="12">
        <v>5</v>
      </c>
      <c r="S109" s="12">
        <v>3</v>
      </c>
      <c r="T109" s="12">
        <v>1</v>
      </c>
      <c r="U109" s="12">
        <v>0</v>
      </c>
      <c r="V109" s="12">
        <v>1</v>
      </c>
      <c r="W109" s="12">
        <v>0</v>
      </c>
      <c r="X109" s="12">
        <v>1</v>
      </c>
      <c r="Y109" s="12">
        <v>0</v>
      </c>
      <c r="Z109" s="12">
        <v>1</v>
      </c>
      <c r="AA109" s="12">
        <v>1</v>
      </c>
      <c r="AB109" s="12">
        <v>2</v>
      </c>
      <c r="AC109" s="12">
        <v>0</v>
      </c>
      <c r="AD109" s="12">
        <v>0</v>
      </c>
    </row>
    <row r="110" spans="1:30" x14ac:dyDescent="0.3">
      <c r="A110" s="12" t="s">
        <v>1878</v>
      </c>
      <c r="B110" s="12">
        <v>65</v>
      </c>
      <c r="C110" s="12">
        <v>12</v>
      </c>
      <c r="D110" s="12">
        <v>39</v>
      </c>
      <c r="E110" s="12">
        <v>13</v>
      </c>
      <c r="F110" s="12">
        <v>1</v>
      </c>
      <c r="G110" s="12">
        <v>6</v>
      </c>
      <c r="H110" s="12">
        <v>0</v>
      </c>
      <c r="I110" s="12">
        <v>0</v>
      </c>
      <c r="J110" s="12">
        <v>0</v>
      </c>
      <c r="K110" s="12">
        <v>2</v>
      </c>
      <c r="L110" s="12">
        <v>0</v>
      </c>
      <c r="M110" s="12">
        <v>0</v>
      </c>
      <c r="N110" s="12">
        <v>0</v>
      </c>
      <c r="O110" s="12">
        <v>1</v>
      </c>
      <c r="P110" s="12">
        <v>1</v>
      </c>
      <c r="Q110" s="12">
        <v>0</v>
      </c>
      <c r="R110" s="12">
        <v>7</v>
      </c>
      <c r="S110" s="12">
        <v>4</v>
      </c>
      <c r="T110" s="12">
        <v>2</v>
      </c>
      <c r="U110" s="12">
        <v>0</v>
      </c>
      <c r="V110" s="12">
        <v>1</v>
      </c>
      <c r="W110" s="12">
        <v>0</v>
      </c>
      <c r="X110" s="12">
        <v>1</v>
      </c>
      <c r="Y110" s="12">
        <v>0</v>
      </c>
      <c r="Z110" s="12">
        <v>1</v>
      </c>
      <c r="AA110" s="12">
        <v>1</v>
      </c>
      <c r="AB110" s="12">
        <v>2</v>
      </c>
      <c r="AC110" s="12">
        <v>0</v>
      </c>
      <c r="AD110" s="12">
        <v>1</v>
      </c>
    </row>
    <row r="111" spans="1:30" x14ac:dyDescent="0.3">
      <c r="A111" s="12" t="s">
        <v>1879</v>
      </c>
      <c r="B111" s="12">
        <v>39</v>
      </c>
      <c r="C111" s="12">
        <v>7</v>
      </c>
      <c r="D111" s="12">
        <v>23</v>
      </c>
      <c r="E111" s="12">
        <v>8</v>
      </c>
      <c r="F111" s="12">
        <v>1</v>
      </c>
      <c r="G111" s="12">
        <v>4</v>
      </c>
      <c r="H111" s="12">
        <v>0</v>
      </c>
      <c r="I111" s="12">
        <v>0</v>
      </c>
      <c r="J111" s="12">
        <v>0</v>
      </c>
      <c r="K111" s="12">
        <v>1</v>
      </c>
      <c r="L111" s="12">
        <v>0</v>
      </c>
      <c r="M111" s="12">
        <v>0</v>
      </c>
      <c r="N111" s="12">
        <v>0</v>
      </c>
      <c r="O111" s="12">
        <v>1</v>
      </c>
      <c r="P111" s="12">
        <v>1</v>
      </c>
      <c r="Q111" s="12">
        <v>0</v>
      </c>
      <c r="R111" s="12">
        <v>4</v>
      </c>
      <c r="S111" s="12">
        <v>2</v>
      </c>
      <c r="T111" s="12">
        <v>1</v>
      </c>
      <c r="U111" s="12">
        <v>0</v>
      </c>
      <c r="V111" s="12">
        <v>1</v>
      </c>
      <c r="W111" s="12">
        <v>0</v>
      </c>
      <c r="X111" s="12">
        <v>1</v>
      </c>
      <c r="Y111" s="12">
        <v>0</v>
      </c>
      <c r="Z111" s="12">
        <v>0</v>
      </c>
      <c r="AA111" s="12">
        <v>1</v>
      </c>
      <c r="AB111" s="12">
        <v>1</v>
      </c>
      <c r="AC111" s="12">
        <v>0</v>
      </c>
      <c r="AD111" s="12">
        <v>0</v>
      </c>
    </row>
    <row r="112" spans="1:30" x14ac:dyDescent="0.3">
      <c r="A112" s="12" t="s">
        <v>1880</v>
      </c>
      <c r="B112" s="12">
        <v>40</v>
      </c>
      <c r="C112" s="12">
        <v>8</v>
      </c>
      <c r="D112" s="12">
        <v>24</v>
      </c>
      <c r="E112" s="12">
        <v>8</v>
      </c>
      <c r="F112" s="12">
        <v>1</v>
      </c>
      <c r="G112" s="12">
        <v>4</v>
      </c>
      <c r="H112" s="12">
        <v>0</v>
      </c>
      <c r="I112" s="12">
        <v>0</v>
      </c>
      <c r="J112" s="12">
        <v>0</v>
      </c>
      <c r="K112" s="12">
        <v>1</v>
      </c>
      <c r="L112" s="12">
        <v>0</v>
      </c>
      <c r="M112" s="12">
        <v>0</v>
      </c>
      <c r="N112" s="12">
        <v>0</v>
      </c>
      <c r="O112" s="12">
        <v>1</v>
      </c>
      <c r="P112" s="12">
        <v>1</v>
      </c>
      <c r="Q112" s="12">
        <v>0</v>
      </c>
      <c r="R112" s="12">
        <v>4</v>
      </c>
      <c r="S112" s="12">
        <v>3</v>
      </c>
      <c r="T112" s="12">
        <v>1</v>
      </c>
      <c r="U112" s="12">
        <v>0</v>
      </c>
      <c r="V112" s="12">
        <v>1</v>
      </c>
      <c r="W112" s="12">
        <v>0</v>
      </c>
      <c r="X112" s="12">
        <v>1</v>
      </c>
      <c r="Y112" s="12">
        <v>0</v>
      </c>
      <c r="Z112" s="12">
        <v>1</v>
      </c>
      <c r="AA112" s="12">
        <v>1</v>
      </c>
      <c r="AB112" s="12">
        <v>1</v>
      </c>
      <c r="AC112" s="12">
        <v>0</v>
      </c>
      <c r="AD112" s="12">
        <v>0</v>
      </c>
    </row>
    <row r="113" spans="1:30" x14ac:dyDescent="0.3">
      <c r="A113" s="12" t="s">
        <v>1881</v>
      </c>
      <c r="B113" s="12">
        <v>46</v>
      </c>
      <c r="C113" s="12">
        <v>9</v>
      </c>
      <c r="D113" s="12">
        <v>27</v>
      </c>
      <c r="E113" s="12">
        <v>9</v>
      </c>
      <c r="F113" s="12">
        <v>1</v>
      </c>
      <c r="G113" s="12">
        <v>5</v>
      </c>
      <c r="H113" s="12">
        <v>0</v>
      </c>
      <c r="I113" s="12">
        <v>0</v>
      </c>
      <c r="J113" s="12">
        <v>0</v>
      </c>
      <c r="K113" s="12">
        <v>1</v>
      </c>
      <c r="L113" s="12">
        <v>0</v>
      </c>
      <c r="M113" s="12">
        <v>0</v>
      </c>
      <c r="N113" s="12">
        <v>0</v>
      </c>
      <c r="O113" s="12">
        <v>1</v>
      </c>
      <c r="P113" s="12">
        <v>1</v>
      </c>
      <c r="Q113" s="12">
        <v>0</v>
      </c>
      <c r="R113" s="12">
        <v>5</v>
      </c>
      <c r="S113" s="12">
        <v>3</v>
      </c>
      <c r="T113" s="12">
        <v>1</v>
      </c>
      <c r="U113" s="12">
        <v>0</v>
      </c>
      <c r="V113" s="12">
        <v>1</v>
      </c>
      <c r="W113" s="12">
        <v>0</v>
      </c>
      <c r="X113" s="12">
        <v>1</v>
      </c>
      <c r="Y113" s="12">
        <v>0</v>
      </c>
      <c r="Z113" s="12">
        <v>1</v>
      </c>
      <c r="AA113" s="12">
        <v>1</v>
      </c>
      <c r="AB113" s="12">
        <v>2</v>
      </c>
      <c r="AC113" s="12">
        <v>0</v>
      </c>
      <c r="AD113" s="12">
        <v>0</v>
      </c>
    </row>
    <row r="114" spans="1:30" x14ac:dyDescent="0.3">
      <c r="A114" s="12" t="s">
        <v>1882</v>
      </c>
      <c r="B114" s="12">
        <v>46</v>
      </c>
      <c r="C114" s="12">
        <v>9</v>
      </c>
      <c r="D114" s="12">
        <v>27</v>
      </c>
      <c r="E114" s="12">
        <v>9</v>
      </c>
      <c r="F114" s="12">
        <v>1</v>
      </c>
      <c r="G114" s="12">
        <v>5</v>
      </c>
      <c r="H114" s="12">
        <v>0</v>
      </c>
      <c r="I114" s="12">
        <v>0</v>
      </c>
      <c r="J114" s="12">
        <v>0</v>
      </c>
      <c r="K114" s="12">
        <v>1</v>
      </c>
      <c r="L114" s="12">
        <v>0</v>
      </c>
      <c r="M114" s="12">
        <v>0</v>
      </c>
      <c r="N114" s="12">
        <v>0</v>
      </c>
      <c r="O114" s="12">
        <v>1</v>
      </c>
      <c r="P114" s="12">
        <v>1</v>
      </c>
      <c r="Q114" s="12">
        <v>0</v>
      </c>
      <c r="R114" s="12">
        <v>5</v>
      </c>
      <c r="S114" s="12">
        <v>3</v>
      </c>
      <c r="T114" s="12">
        <v>1</v>
      </c>
      <c r="U114" s="12">
        <v>0</v>
      </c>
      <c r="V114" s="12">
        <v>1</v>
      </c>
      <c r="W114" s="12">
        <v>0</v>
      </c>
      <c r="X114" s="12">
        <v>1</v>
      </c>
      <c r="Y114" s="12">
        <v>0</v>
      </c>
      <c r="Z114" s="12">
        <v>1</v>
      </c>
      <c r="AA114" s="12">
        <v>1</v>
      </c>
      <c r="AB114" s="12">
        <v>2</v>
      </c>
      <c r="AC114" s="12">
        <v>0</v>
      </c>
      <c r="AD114" s="12">
        <v>0</v>
      </c>
    </row>
    <row r="115" spans="1:30" x14ac:dyDescent="0.3">
      <c r="A115" s="12" t="s">
        <v>1883</v>
      </c>
      <c r="B115" s="12">
        <v>63</v>
      </c>
      <c r="C115" s="12">
        <v>12</v>
      </c>
      <c r="D115" s="12">
        <v>37</v>
      </c>
      <c r="E115" s="12">
        <v>12</v>
      </c>
      <c r="F115" s="12">
        <v>1</v>
      </c>
      <c r="G115" s="12">
        <v>6</v>
      </c>
      <c r="H115" s="12">
        <v>0</v>
      </c>
      <c r="I115" s="12">
        <v>0</v>
      </c>
      <c r="J115" s="12">
        <v>0</v>
      </c>
      <c r="K115" s="12">
        <v>2</v>
      </c>
      <c r="L115" s="12">
        <v>0</v>
      </c>
      <c r="M115" s="12">
        <v>0</v>
      </c>
      <c r="N115" s="12">
        <v>0</v>
      </c>
      <c r="O115" s="12">
        <v>1</v>
      </c>
      <c r="P115" s="12">
        <v>1</v>
      </c>
      <c r="Q115" s="12">
        <v>0</v>
      </c>
      <c r="R115" s="12">
        <v>7</v>
      </c>
      <c r="S115" s="12">
        <v>4</v>
      </c>
      <c r="T115" s="12">
        <v>2</v>
      </c>
      <c r="U115" s="12">
        <v>0</v>
      </c>
      <c r="V115" s="12">
        <v>1</v>
      </c>
      <c r="W115" s="12">
        <v>0</v>
      </c>
      <c r="X115" s="12">
        <v>1</v>
      </c>
      <c r="Y115" s="12">
        <v>0</v>
      </c>
      <c r="Z115" s="12">
        <v>1</v>
      </c>
      <c r="AA115" s="12">
        <v>1</v>
      </c>
      <c r="AB115" s="12">
        <v>2</v>
      </c>
      <c r="AC115" s="12">
        <v>0</v>
      </c>
      <c r="AD115" s="12">
        <v>1</v>
      </c>
    </row>
    <row r="116" spans="1:30" x14ac:dyDescent="0.3">
      <c r="A116" s="12" t="s">
        <v>1884</v>
      </c>
      <c r="B116" s="12">
        <v>62</v>
      </c>
      <c r="C116" s="12">
        <v>12</v>
      </c>
      <c r="D116" s="12">
        <v>36</v>
      </c>
      <c r="E116" s="12">
        <v>12</v>
      </c>
      <c r="F116" s="12">
        <v>1</v>
      </c>
      <c r="G116" s="12">
        <v>6</v>
      </c>
      <c r="H116" s="12">
        <v>0</v>
      </c>
      <c r="I116" s="12">
        <v>0</v>
      </c>
      <c r="J116" s="12">
        <v>0</v>
      </c>
      <c r="K116" s="12">
        <v>2</v>
      </c>
      <c r="L116" s="12">
        <v>0</v>
      </c>
      <c r="M116" s="12">
        <v>0</v>
      </c>
      <c r="N116" s="12">
        <v>0</v>
      </c>
      <c r="O116" s="12">
        <v>1</v>
      </c>
      <c r="P116" s="12">
        <v>1</v>
      </c>
      <c r="Q116" s="12">
        <v>0</v>
      </c>
      <c r="R116" s="12">
        <v>7</v>
      </c>
      <c r="S116" s="12">
        <v>4</v>
      </c>
      <c r="T116" s="12">
        <v>2</v>
      </c>
      <c r="U116" s="12">
        <v>0</v>
      </c>
      <c r="V116" s="12">
        <v>1</v>
      </c>
      <c r="W116" s="12">
        <v>0</v>
      </c>
      <c r="X116" s="12">
        <v>1</v>
      </c>
      <c r="Y116" s="12">
        <v>0</v>
      </c>
      <c r="Z116" s="12">
        <v>1</v>
      </c>
      <c r="AA116" s="12">
        <v>1</v>
      </c>
      <c r="AB116" s="12">
        <v>2</v>
      </c>
      <c r="AC116" s="12">
        <v>0</v>
      </c>
      <c r="AD116" s="12">
        <v>1</v>
      </c>
    </row>
    <row r="117" spans="1:30" x14ac:dyDescent="0.3">
      <c r="A117" s="12" t="s">
        <v>1885</v>
      </c>
      <c r="B117" s="12">
        <v>57</v>
      </c>
      <c r="C117" s="12">
        <v>11</v>
      </c>
      <c r="D117" s="12">
        <v>34</v>
      </c>
      <c r="E117" s="12">
        <v>11</v>
      </c>
      <c r="F117" s="12">
        <v>1</v>
      </c>
      <c r="G117" s="12">
        <v>6</v>
      </c>
      <c r="H117" s="12">
        <v>0</v>
      </c>
      <c r="I117" s="12">
        <v>0</v>
      </c>
      <c r="J117" s="12">
        <v>0</v>
      </c>
      <c r="K117" s="12">
        <v>1</v>
      </c>
      <c r="L117" s="12">
        <v>0</v>
      </c>
      <c r="M117" s="12">
        <v>0</v>
      </c>
      <c r="N117" s="12">
        <v>0</v>
      </c>
      <c r="O117" s="12">
        <v>1</v>
      </c>
      <c r="P117" s="12">
        <v>1</v>
      </c>
      <c r="Q117" s="12">
        <v>0</v>
      </c>
      <c r="R117" s="12">
        <v>6</v>
      </c>
      <c r="S117" s="12">
        <v>4</v>
      </c>
      <c r="T117" s="12">
        <v>1</v>
      </c>
      <c r="U117" s="12">
        <v>0</v>
      </c>
      <c r="V117" s="12">
        <v>1</v>
      </c>
      <c r="W117" s="12">
        <v>0</v>
      </c>
      <c r="X117" s="12">
        <v>1</v>
      </c>
      <c r="Y117" s="12">
        <v>0</v>
      </c>
      <c r="Z117" s="12">
        <v>1</v>
      </c>
      <c r="AA117" s="12">
        <v>1</v>
      </c>
      <c r="AB117" s="12">
        <v>2</v>
      </c>
      <c r="AC117" s="12">
        <v>0</v>
      </c>
      <c r="AD117" s="12">
        <v>0</v>
      </c>
    </row>
    <row r="118" spans="1:30" x14ac:dyDescent="0.3">
      <c r="A118" s="12" t="s">
        <v>1886</v>
      </c>
      <c r="B118" s="12">
        <v>107</v>
      </c>
      <c r="C118" s="12">
        <v>20</v>
      </c>
      <c r="D118" s="12">
        <v>63</v>
      </c>
      <c r="E118" s="12">
        <v>21</v>
      </c>
      <c r="F118" s="12">
        <v>2</v>
      </c>
      <c r="G118" s="12">
        <v>11</v>
      </c>
      <c r="H118" s="12">
        <v>0</v>
      </c>
      <c r="I118" s="12">
        <v>0</v>
      </c>
      <c r="J118" s="12">
        <v>0</v>
      </c>
      <c r="K118" s="12">
        <v>3</v>
      </c>
      <c r="L118" s="12">
        <v>1</v>
      </c>
      <c r="M118" s="12">
        <v>1</v>
      </c>
      <c r="N118" s="12">
        <v>0</v>
      </c>
      <c r="O118" s="12">
        <v>2</v>
      </c>
      <c r="P118" s="12">
        <v>2</v>
      </c>
      <c r="Q118" s="12">
        <v>0</v>
      </c>
      <c r="R118" s="12">
        <v>11</v>
      </c>
      <c r="S118" s="12">
        <v>7</v>
      </c>
      <c r="T118" s="12">
        <v>3</v>
      </c>
      <c r="U118" s="12">
        <v>1</v>
      </c>
      <c r="V118" s="12">
        <v>2</v>
      </c>
      <c r="W118" s="12">
        <v>0</v>
      </c>
      <c r="X118" s="12">
        <v>2</v>
      </c>
      <c r="Y118" s="12">
        <v>0</v>
      </c>
      <c r="Z118" s="12">
        <v>1</v>
      </c>
      <c r="AA118" s="12">
        <v>2</v>
      </c>
      <c r="AB118" s="12">
        <v>4</v>
      </c>
      <c r="AC118" s="12">
        <v>0</v>
      </c>
      <c r="AD118" s="12">
        <v>1</v>
      </c>
    </row>
    <row r="119" spans="1:30" x14ac:dyDescent="0.3">
      <c r="A119" s="12" t="s">
        <v>1887</v>
      </c>
      <c r="B119" s="12">
        <v>79</v>
      </c>
      <c r="C119" s="12">
        <v>15</v>
      </c>
      <c r="D119" s="12">
        <v>47</v>
      </c>
      <c r="E119" s="12">
        <v>16</v>
      </c>
      <c r="F119" s="12">
        <v>2</v>
      </c>
      <c r="G119" s="12">
        <v>8</v>
      </c>
      <c r="H119" s="12">
        <v>0</v>
      </c>
      <c r="I119" s="12">
        <v>0</v>
      </c>
      <c r="J119" s="12">
        <v>0</v>
      </c>
      <c r="K119" s="12">
        <v>2</v>
      </c>
      <c r="L119" s="12">
        <v>0</v>
      </c>
      <c r="M119" s="12">
        <v>0</v>
      </c>
      <c r="N119" s="12">
        <v>0</v>
      </c>
      <c r="O119" s="12">
        <v>1</v>
      </c>
      <c r="P119" s="12">
        <v>1</v>
      </c>
      <c r="Q119" s="12">
        <v>0</v>
      </c>
      <c r="R119" s="12">
        <v>8</v>
      </c>
      <c r="S119" s="12">
        <v>5</v>
      </c>
      <c r="T119" s="12">
        <v>2</v>
      </c>
      <c r="U119" s="12">
        <v>1</v>
      </c>
      <c r="V119" s="12">
        <v>1</v>
      </c>
      <c r="W119" s="12">
        <v>0</v>
      </c>
      <c r="X119" s="12">
        <v>2</v>
      </c>
      <c r="Y119" s="12">
        <v>0</v>
      </c>
      <c r="Z119" s="12">
        <v>1</v>
      </c>
      <c r="AA119" s="12">
        <v>2</v>
      </c>
      <c r="AB119" s="12">
        <v>3</v>
      </c>
      <c r="AC119" s="12">
        <v>0</v>
      </c>
      <c r="AD119" s="12">
        <v>1</v>
      </c>
    </row>
    <row r="120" spans="1:30" x14ac:dyDescent="0.3">
      <c r="A120" s="12" t="s">
        <v>1888</v>
      </c>
      <c r="B120" s="12">
        <v>48</v>
      </c>
      <c r="C120" s="12">
        <v>9</v>
      </c>
      <c r="D120" s="12">
        <v>29</v>
      </c>
      <c r="E120" s="12">
        <v>9</v>
      </c>
      <c r="F120" s="12">
        <v>1</v>
      </c>
      <c r="G120" s="12">
        <v>5</v>
      </c>
      <c r="H120" s="12">
        <v>0</v>
      </c>
      <c r="I120" s="12">
        <v>0</v>
      </c>
      <c r="J120" s="12">
        <v>0</v>
      </c>
      <c r="K120" s="12">
        <v>1</v>
      </c>
      <c r="L120" s="12">
        <v>0</v>
      </c>
      <c r="M120" s="12">
        <v>0</v>
      </c>
      <c r="N120" s="12">
        <v>0</v>
      </c>
      <c r="O120" s="12">
        <v>1</v>
      </c>
      <c r="P120" s="12">
        <v>1</v>
      </c>
      <c r="Q120" s="12">
        <v>0</v>
      </c>
      <c r="R120" s="12">
        <v>5</v>
      </c>
      <c r="S120" s="12">
        <v>3</v>
      </c>
      <c r="T120" s="12">
        <v>1</v>
      </c>
      <c r="U120" s="12">
        <v>0</v>
      </c>
      <c r="V120" s="12">
        <v>1</v>
      </c>
      <c r="W120" s="12">
        <v>0</v>
      </c>
      <c r="X120" s="12">
        <v>1</v>
      </c>
      <c r="Y120" s="12">
        <v>0</v>
      </c>
      <c r="Z120" s="12">
        <v>1</v>
      </c>
      <c r="AA120" s="12">
        <v>1</v>
      </c>
      <c r="AB120" s="12">
        <v>2</v>
      </c>
      <c r="AC120" s="12">
        <v>0</v>
      </c>
      <c r="AD120" s="12">
        <v>0</v>
      </c>
    </row>
    <row r="121" spans="1:30" x14ac:dyDescent="0.3">
      <c r="A121" s="12" t="s">
        <v>1889</v>
      </c>
      <c r="B121" s="12">
        <v>49</v>
      </c>
      <c r="C121" s="12">
        <v>9</v>
      </c>
      <c r="D121" s="12">
        <v>29</v>
      </c>
      <c r="E121" s="12">
        <v>10</v>
      </c>
      <c r="F121" s="12">
        <v>1</v>
      </c>
      <c r="G121" s="12">
        <v>5</v>
      </c>
      <c r="H121" s="12">
        <v>0</v>
      </c>
      <c r="I121" s="12">
        <v>0</v>
      </c>
      <c r="J121" s="12">
        <v>0</v>
      </c>
      <c r="K121" s="12">
        <v>1</v>
      </c>
      <c r="L121" s="12">
        <v>0</v>
      </c>
      <c r="M121" s="12">
        <v>0</v>
      </c>
      <c r="N121" s="12">
        <v>0</v>
      </c>
      <c r="O121" s="12">
        <v>1</v>
      </c>
      <c r="P121" s="12">
        <v>1</v>
      </c>
      <c r="Q121" s="12">
        <v>0</v>
      </c>
      <c r="R121" s="12">
        <v>5</v>
      </c>
      <c r="S121" s="12">
        <v>3</v>
      </c>
      <c r="T121" s="12">
        <v>1</v>
      </c>
      <c r="U121" s="12">
        <v>0</v>
      </c>
      <c r="V121" s="12">
        <v>1</v>
      </c>
      <c r="W121" s="12">
        <v>0</v>
      </c>
      <c r="X121" s="12">
        <v>1</v>
      </c>
      <c r="Y121" s="12">
        <v>0</v>
      </c>
      <c r="Z121" s="12">
        <v>1</v>
      </c>
      <c r="AA121" s="12">
        <v>1</v>
      </c>
      <c r="AB121" s="12">
        <v>2</v>
      </c>
      <c r="AC121" s="12">
        <v>0</v>
      </c>
      <c r="AD121" s="12">
        <v>0</v>
      </c>
    </row>
    <row r="122" spans="1:30" x14ac:dyDescent="0.3">
      <c r="A122" s="12" t="s">
        <v>1890</v>
      </c>
      <c r="B122" s="12">
        <v>74</v>
      </c>
      <c r="C122" s="12">
        <v>14</v>
      </c>
      <c r="D122" s="12">
        <v>44</v>
      </c>
      <c r="E122" s="12">
        <v>15</v>
      </c>
      <c r="F122" s="12">
        <v>1</v>
      </c>
      <c r="G122" s="12">
        <v>7</v>
      </c>
      <c r="H122" s="12">
        <v>0</v>
      </c>
      <c r="I122" s="12">
        <v>0</v>
      </c>
      <c r="J122" s="12">
        <v>0</v>
      </c>
      <c r="K122" s="12">
        <v>2</v>
      </c>
      <c r="L122" s="12">
        <v>0</v>
      </c>
      <c r="M122" s="12">
        <v>0</v>
      </c>
      <c r="N122" s="12">
        <v>0</v>
      </c>
      <c r="O122" s="12">
        <v>1</v>
      </c>
      <c r="P122" s="12">
        <v>1</v>
      </c>
      <c r="Q122" s="12">
        <v>0</v>
      </c>
      <c r="R122" s="12">
        <v>8</v>
      </c>
      <c r="S122" s="12">
        <v>5</v>
      </c>
      <c r="T122" s="12">
        <v>2</v>
      </c>
      <c r="U122" s="12">
        <v>1</v>
      </c>
      <c r="V122" s="12">
        <v>1</v>
      </c>
      <c r="W122" s="12">
        <v>0</v>
      </c>
      <c r="X122" s="12">
        <v>1</v>
      </c>
      <c r="Y122" s="12">
        <v>0</v>
      </c>
      <c r="Z122" s="12">
        <v>1</v>
      </c>
      <c r="AA122" s="12">
        <v>2</v>
      </c>
      <c r="AB122" s="12">
        <v>3</v>
      </c>
      <c r="AC122" s="12">
        <v>0</v>
      </c>
      <c r="AD122" s="12">
        <v>1</v>
      </c>
    </row>
    <row r="123" spans="1:30" x14ac:dyDescent="0.3">
      <c r="A123" s="12" t="s">
        <v>24</v>
      </c>
      <c r="B123" s="12">
        <v>88</v>
      </c>
      <c r="C123" s="12">
        <v>17</v>
      </c>
      <c r="D123" s="12">
        <v>52</v>
      </c>
      <c r="E123" s="12">
        <v>17</v>
      </c>
      <c r="F123" s="12">
        <v>2</v>
      </c>
      <c r="G123" s="12">
        <v>9</v>
      </c>
      <c r="H123" s="12">
        <v>0</v>
      </c>
      <c r="I123" s="12">
        <v>0</v>
      </c>
      <c r="J123" s="12">
        <v>0</v>
      </c>
      <c r="K123" s="12">
        <v>2</v>
      </c>
      <c r="L123" s="12">
        <v>0</v>
      </c>
      <c r="M123" s="12">
        <v>0</v>
      </c>
      <c r="N123" s="12">
        <v>0</v>
      </c>
      <c r="O123" s="12">
        <v>1</v>
      </c>
      <c r="P123" s="12">
        <v>2</v>
      </c>
      <c r="Q123" s="12">
        <v>0</v>
      </c>
      <c r="R123" s="12">
        <v>9</v>
      </c>
      <c r="S123" s="12">
        <v>5</v>
      </c>
      <c r="T123" s="12">
        <v>2</v>
      </c>
      <c r="U123" s="12">
        <v>1</v>
      </c>
      <c r="V123" s="12">
        <v>1</v>
      </c>
      <c r="W123" s="12">
        <v>0</v>
      </c>
      <c r="X123" s="12">
        <v>2</v>
      </c>
      <c r="Y123" s="12">
        <v>0</v>
      </c>
      <c r="Z123" s="12">
        <v>1</v>
      </c>
      <c r="AA123" s="12">
        <v>2</v>
      </c>
      <c r="AB123" s="12">
        <v>3</v>
      </c>
      <c r="AC123" s="12">
        <v>0</v>
      </c>
      <c r="AD123" s="12">
        <v>1</v>
      </c>
    </row>
    <row r="124" spans="1:30" ht="52.2" x14ac:dyDescent="0.3">
      <c r="A124" s="19" t="s">
        <v>1892</v>
      </c>
      <c r="B124" s="12">
        <f t="shared" ref="B124" si="49">SUM(B108:B123)</f>
        <v>962</v>
      </c>
      <c r="C124" s="12">
        <f t="shared" ref="C124" si="50">SUM(C108:C123)</f>
        <v>182</v>
      </c>
      <c r="D124" s="12">
        <f t="shared" ref="D124" si="51">SUM(D108:D123)</f>
        <v>569</v>
      </c>
      <c r="E124" s="12">
        <f t="shared" ref="E124" si="52">SUM(E108:E123)</f>
        <v>190</v>
      </c>
      <c r="F124" s="12">
        <f t="shared" ref="F124" si="53">SUM(F108:F123)</f>
        <v>19</v>
      </c>
      <c r="G124" s="12">
        <f t="shared" ref="G124" si="54">SUM(G108:G123)</f>
        <v>96</v>
      </c>
      <c r="H124" s="12">
        <f t="shared" ref="H124" si="55">SUM(H108:H123)</f>
        <v>0</v>
      </c>
      <c r="I124" s="12">
        <f t="shared" ref="I124" si="56">SUM(I108:I123)</f>
        <v>0</v>
      </c>
      <c r="J124" s="12">
        <f t="shared" ref="J124" si="57">SUM(J108:J123)</f>
        <v>0</v>
      </c>
      <c r="K124" s="12">
        <f t="shared" ref="K124" si="58">SUM(K108:K123)</f>
        <v>24</v>
      </c>
      <c r="L124" s="12">
        <f t="shared" ref="L124" si="59">SUM(L108:L123)</f>
        <v>1</v>
      </c>
      <c r="M124" s="12">
        <f t="shared" ref="M124" si="60">SUM(M108:M123)</f>
        <v>1</v>
      </c>
      <c r="N124" s="12">
        <f t="shared" ref="N124" si="61">SUM(N108:N123)</f>
        <v>0</v>
      </c>
      <c r="O124" s="12">
        <f t="shared" ref="O124" si="62">SUM(O108:O123)</f>
        <v>17</v>
      </c>
      <c r="P124" s="12">
        <f t="shared" ref="P124" si="63">SUM(P108:P123)</f>
        <v>18</v>
      </c>
      <c r="Q124" s="12">
        <f t="shared" ref="Q124" si="64">SUM(Q108:Q123)</f>
        <v>0</v>
      </c>
      <c r="R124" s="12">
        <f t="shared" ref="R124" si="65">SUM(R108:R123)</f>
        <v>102</v>
      </c>
      <c r="S124" s="12">
        <f t="shared" ref="S124" si="66">SUM(S108:S123)</f>
        <v>61</v>
      </c>
      <c r="T124" s="12">
        <f t="shared" ref="T124" si="67">SUM(T108:T123)</f>
        <v>24</v>
      </c>
      <c r="U124" s="12">
        <f t="shared" ref="U124" si="68">SUM(U108:U123)</f>
        <v>4</v>
      </c>
      <c r="V124" s="12">
        <f t="shared" ref="V124" si="69">SUM(V108:V123)</f>
        <v>17</v>
      </c>
      <c r="W124" s="12">
        <f t="shared" ref="W124" si="70">SUM(W108:W123)</f>
        <v>0</v>
      </c>
      <c r="X124" s="12">
        <f t="shared" ref="X124" si="71">SUM(X108:X123)</f>
        <v>19</v>
      </c>
      <c r="Y124" s="12">
        <f t="shared" ref="Y124" si="72">SUM(Y108:Y123)</f>
        <v>0</v>
      </c>
      <c r="Z124" s="12">
        <f t="shared" ref="Z124" si="73">SUM(Z108:Z123)</f>
        <v>15</v>
      </c>
      <c r="AA124" s="12">
        <f t="shared" ref="AA124" si="74">SUM(AA108:AA123)</f>
        <v>20</v>
      </c>
      <c r="AB124" s="12">
        <f t="shared" ref="AB124" si="75">SUM(AB108:AB123)</f>
        <v>35</v>
      </c>
      <c r="AC124" s="12">
        <f t="shared" ref="AC124" si="76">SUM(AC108:AC123)</f>
        <v>0</v>
      </c>
      <c r="AD124" s="12">
        <f t="shared" ref="AD124" si="77">SUM(AD108:AD123)</f>
        <v>7</v>
      </c>
    </row>
  </sheetData>
  <mergeCells count="3">
    <mergeCell ref="A1:P1"/>
    <mergeCell ref="A63:P63"/>
    <mergeCell ref="A84:P8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3009-E428-4839-BE11-2C4FD26AD11D}">
  <dimension ref="A1:XFD110"/>
  <sheetViews>
    <sheetView topLeftCell="A91" zoomScale="60" zoomScaleNormal="60" workbookViewId="0">
      <selection activeCell="H78" sqref="H78"/>
    </sheetView>
  </sheetViews>
  <sheetFormatPr defaultColWidth="11.5546875" defaultRowHeight="20.399999999999999" x14ac:dyDescent="0.35"/>
  <cols>
    <col min="1" max="16384" width="11.5546875" style="15"/>
  </cols>
  <sheetData>
    <row r="1" spans="1:16384" s="52" customFormat="1" ht="55.2" customHeight="1" x14ac:dyDescent="0.35">
      <c r="A1" s="53" t="s">
        <v>1924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1"/>
      <c r="GD1" s="51"/>
      <c r="GE1" s="51"/>
      <c r="GF1" s="51"/>
      <c r="GG1" s="51"/>
      <c r="GH1" s="51"/>
      <c r="GI1" s="51"/>
      <c r="GJ1" s="51"/>
      <c r="GK1" s="51"/>
      <c r="GL1" s="51"/>
      <c r="GM1" s="51"/>
      <c r="GN1" s="51"/>
      <c r="GO1" s="51"/>
      <c r="GP1" s="51"/>
      <c r="GQ1" s="51"/>
      <c r="GR1" s="51"/>
      <c r="GS1" s="51"/>
      <c r="GT1" s="51"/>
      <c r="GU1" s="51"/>
      <c r="GV1" s="51"/>
      <c r="GW1" s="51"/>
      <c r="GX1" s="51"/>
      <c r="GY1" s="51"/>
      <c r="GZ1" s="51"/>
      <c r="HA1" s="51"/>
      <c r="HB1" s="51"/>
      <c r="HC1" s="51"/>
      <c r="HD1" s="51"/>
      <c r="HE1" s="51"/>
      <c r="HF1" s="51"/>
      <c r="HG1" s="51"/>
      <c r="HH1" s="51"/>
      <c r="HI1" s="51"/>
      <c r="HJ1" s="51"/>
      <c r="HK1" s="51"/>
      <c r="HL1" s="51"/>
      <c r="HM1" s="51"/>
      <c r="HN1" s="51"/>
      <c r="HO1" s="51"/>
      <c r="HP1" s="51"/>
      <c r="HQ1" s="51"/>
      <c r="HR1" s="51"/>
      <c r="HS1" s="51"/>
      <c r="HT1" s="51"/>
      <c r="HU1" s="51"/>
      <c r="HV1" s="51"/>
      <c r="HW1" s="51"/>
      <c r="HX1" s="51"/>
      <c r="HY1" s="51"/>
      <c r="HZ1" s="51"/>
      <c r="IA1" s="51"/>
      <c r="IB1" s="51"/>
      <c r="IC1" s="51"/>
      <c r="ID1" s="51"/>
      <c r="IE1" s="51"/>
      <c r="IF1" s="51"/>
      <c r="IG1" s="51"/>
      <c r="IH1" s="51"/>
      <c r="II1" s="51"/>
      <c r="IJ1" s="51"/>
      <c r="IK1" s="51"/>
      <c r="IL1" s="51"/>
      <c r="IM1" s="51"/>
      <c r="IN1" s="51"/>
      <c r="IO1" s="51"/>
      <c r="IP1" s="51"/>
      <c r="IQ1" s="51"/>
      <c r="IR1" s="51"/>
      <c r="IS1" s="51"/>
      <c r="IT1" s="51"/>
      <c r="IU1" s="51"/>
      <c r="IV1" s="51"/>
      <c r="IW1" s="51"/>
      <c r="IX1" s="51"/>
      <c r="IY1" s="51"/>
      <c r="IZ1" s="51"/>
      <c r="JA1" s="51"/>
      <c r="JB1" s="51"/>
      <c r="JC1" s="51"/>
      <c r="JD1" s="51"/>
      <c r="JE1" s="51"/>
      <c r="JF1" s="51"/>
      <c r="JG1" s="51"/>
      <c r="JH1" s="51"/>
      <c r="JI1" s="51"/>
      <c r="JJ1" s="51"/>
      <c r="JK1" s="51"/>
      <c r="JL1" s="51"/>
      <c r="JM1" s="51"/>
      <c r="JN1" s="51"/>
      <c r="JO1" s="51"/>
      <c r="JP1" s="51"/>
      <c r="JQ1" s="51"/>
      <c r="JR1" s="51"/>
      <c r="JS1" s="51"/>
      <c r="JT1" s="51"/>
      <c r="JU1" s="51"/>
      <c r="JV1" s="51"/>
      <c r="JW1" s="51"/>
      <c r="JX1" s="51"/>
      <c r="JY1" s="51"/>
      <c r="JZ1" s="51"/>
      <c r="KA1" s="51"/>
      <c r="KB1" s="51"/>
      <c r="KC1" s="51"/>
      <c r="KD1" s="51"/>
      <c r="KE1" s="51"/>
      <c r="KF1" s="51"/>
      <c r="KG1" s="51"/>
      <c r="KH1" s="51"/>
      <c r="KI1" s="51"/>
      <c r="KJ1" s="51"/>
      <c r="KK1" s="51"/>
      <c r="KL1" s="51"/>
      <c r="KM1" s="51"/>
      <c r="KN1" s="51"/>
      <c r="KO1" s="51"/>
      <c r="KP1" s="51"/>
      <c r="KQ1" s="51"/>
      <c r="KR1" s="51"/>
      <c r="KS1" s="51"/>
      <c r="KT1" s="51"/>
      <c r="KU1" s="51"/>
      <c r="KV1" s="51"/>
      <c r="KW1" s="51"/>
      <c r="KX1" s="51"/>
      <c r="KY1" s="51"/>
      <c r="KZ1" s="51"/>
      <c r="LA1" s="51"/>
      <c r="LB1" s="51"/>
      <c r="LC1" s="51"/>
      <c r="LD1" s="51"/>
      <c r="LE1" s="51"/>
      <c r="LF1" s="51"/>
      <c r="LG1" s="51"/>
      <c r="LH1" s="51"/>
      <c r="LI1" s="51"/>
      <c r="LJ1" s="51"/>
      <c r="LK1" s="51"/>
      <c r="LL1" s="51"/>
      <c r="LM1" s="51"/>
      <c r="LN1" s="51"/>
      <c r="LO1" s="51"/>
      <c r="LP1" s="51"/>
      <c r="LQ1" s="51"/>
      <c r="LR1" s="51"/>
      <c r="LS1" s="51"/>
      <c r="LT1" s="51"/>
      <c r="LU1" s="51"/>
      <c r="LV1" s="51"/>
      <c r="LW1" s="51"/>
      <c r="LX1" s="51"/>
      <c r="LY1" s="51"/>
      <c r="LZ1" s="51"/>
      <c r="MA1" s="51"/>
      <c r="MB1" s="51"/>
      <c r="MC1" s="51"/>
      <c r="MD1" s="51"/>
      <c r="ME1" s="51"/>
      <c r="MF1" s="51"/>
      <c r="MG1" s="51"/>
      <c r="MH1" s="51"/>
      <c r="MI1" s="51"/>
      <c r="MJ1" s="51"/>
      <c r="MK1" s="51"/>
      <c r="ML1" s="51"/>
      <c r="MM1" s="51"/>
      <c r="MN1" s="51"/>
      <c r="MO1" s="51"/>
      <c r="MP1" s="51"/>
      <c r="MQ1" s="51"/>
      <c r="MR1" s="51"/>
      <c r="MS1" s="51"/>
      <c r="MT1" s="51"/>
      <c r="MU1" s="51"/>
      <c r="MV1" s="51"/>
      <c r="MW1" s="51"/>
      <c r="MX1" s="51"/>
      <c r="MY1" s="51"/>
      <c r="MZ1" s="51"/>
      <c r="NA1" s="51"/>
      <c r="NB1" s="51"/>
      <c r="NC1" s="51"/>
      <c r="ND1" s="51"/>
      <c r="NE1" s="51"/>
      <c r="NF1" s="51"/>
      <c r="NG1" s="51"/>
      <c r="NH1" s="51"/>
      <c r="NI1" s="51"/>
      <c r="NJ1" s="51"/>
      <c r="NK1" s="51"/>
      <c r="NL1" s="51"/>
      <c r="NM1" s="51"/>
      <c r="NN1" s="51"/>
      <c r="NO1" s="51"/>
      <c r="NP1" s="51"/>
      <c r="NQ1" s="51"/>
      <c r="NR1" s="51"/>
      <c r="NS1" s="51"/>
      <c r="NT1" s="51"/>
      <c r="NU1" s="51"/>
      <c r="NV1" s="51"/>
      <c r="NW1" s="51"/>
      <c r="NX1" s="51"/>
      <c r="NY1" s="51"/>
      <c r="NZ1" s="51"/>
      <c r="OA1" s="51"/>
      <c r="OB1" s="51"/>
      <c r="OC1" s="51"/>
      <c r="OD1" s="51"/>
      <c r="OE1" s="51"/>
      <c r="OF1" s="51"/>
      <c r="OG1" s="51"/>
      <c r="OH1" s="51"/>
      <c r="OI1" s="51"/>
      <c r="OJ1" s="51"/>
      <c r="OK1" s="51"/>
      <c r="OL1" s="51"/>
      <c r="OM1" s="51"/>
      <c r="ON1" s="51"/>
      <c r="OO1" s="51"/>
      <c r="OP1" s="51"/>
      <c r="OQ1" s="51"/>
      <c r="OR1" s="51"/>
      <c r="OS1" s="51"/>
      <c r="OT1" s="51"/>
      <c r="OU1" s="51"/>
      <c r="OV1" s="51"/>
      <c r="OW1" s="51"/>
      <c r="OX1" s="51"/>
      <c r="OY1" s="51"/>
      <c r="OZ1" s="51"/>
      <c r="PA1" s="51"/>
      <c r="PB1" s="51"/>
      <c r="PC1" s="51"/>
      <c r="PD1" s="51"/>
      <c r="PE1" s="51"/>
      <c r="PF1" s="51"/>
      <c r="PG1" s="51"/>
      <c r="PH1" s="51"/>
      <c r="PI1" s="51"/>
      <c r="PJ1" s="51"/>
      <c r="PK1" s="51"/>
      <c r="PL1" s="51"/>
      <c r="PM1" s="51"/>
      <c r="PN1" s="51"/>
      <c r="PO1" s="51"/>
      <c r="PP1" s="51"/>
      <c r="PQ1" s="51"/>
      <c r="PR1" s="51"/>
      <c r="PS1" s="51"/>
      <c r="PT1" s="51"/>
      <c r="PU1" s="51"/>
      <c r="PV1" s="51"/>
      <c r="PW1" s="51"/>
      <c r="PX1" s="51"/>
      <c r="PY1" s="51"/>
      <c r="PZ1" s="51"/>
      <c r="QA1" s="51"/>
      <c r="QB1" s="51"/>
      <c r="QC1" s="51"/>
      <c r="QD1" s="51"/>
      <c r="QE1" s="51"/>
      <c r="QF1" s="51"/>
      <c r="QG1" s="51"/>
      <c r="QH1" s="51"/>
      <c r="QI1" s="51"/>
      <c r="QJ1" s="51"/>
      <c r="QK1" s="51"/>
      <c r="QL1" s="51"/>
      <c r="QM1" s="51"/>
      <c r="QN1" s="51"/>
      <c r="QO1" s="51"/>
      <c r="QP1" s="51"/>
      <c r="QQ1" s="51"/>
      <c r="QR1" s="51"/>
      <c r="QS1" s="51"/>
      <c r="QT1" s="51"/>
      <c r="QU1" s="51"/>
      <c r="QV1" s="51"/>
      <c r="QW1" s="51"/>
      <c r="QX1" s="51"/>
      <c r="QY1" s="51"/>
      <c r="QZ1" s="51"/>
      <c r="RA1" s="51"/>
      <c r="RB1" s="51"/>
      <c r="RC1" s="51"/>
      <c r="RD1" s="51"/>
      <c r="RE1" s="51"/>
      <c r="RF1" s="51"/>
      <c r="RG1" s="51"/>
      <c r="RH1" s="51"/>
      <c r="RI1" s="51"/>
      <c r="RJ1" s="51"/>
      <c r="RK1" s="51"/>
      <c r="RL1" s="51"/>
      <c r="RM1" s="51"/>
      <c r="RN1" s="51"/>
      <c r="RO1" s="51"/>
      <c r="RP1" s="51"/>
      <c r="RQ1" s="51"/>
      <c r="RR1" s="51"/>
      <c r="RS1" s="51"/>
      <c r="RT1" s="51"/>
      <c r="RU1" s="51"/>
      <c r="RV1" s="51"/>
      <c r="RW1" s="51"/>
      <c r="RX1" s="51"/>
      <c r="RY1" s="51"/>
      <c r="RZ1" s="51"/>
      <c r="SA1" s="51"/>
      <c r="SB1" s="51"/>
      <c r="SC1" s="51"/>
      <c r="SD1" s="51"/>
      <c r="SE1" s="51"/>
      <c r="SF1" s="51"/>
      <c r="SG1" s="51"/>
      <c r="SH1" s="51"/>
      <c r="SI1" s="51"/>
      <c r="SJ1" s="51"/>
      <c r="SK1" s="51"/>
      <c r="SL1" s="51"/>
      <c r="SM1" s="51"/>
      <c r="SN1" s="51"/>
      <c r="SO1" s="51"/>
      <c r="SP1" s="51"/>
      <c r="SQ1" s="51"/>
      <c r="SR1" s="51"/>
      <c r="SS1" s="51"/>
      <c r="ST1" s="51"/>
      <c r="SU1" s="51"/>
      <c r="SV1" s="51"/>
      <c r="SW1" s="51"/>
      <c r="SX1" s="51"/>
      <c r="SY1" s="51"/>
      <c r="SZ1" s="51"/>
      <c r="TA1" s="51"/>
      <c r="TB1" s="51"/>
      <c r="TC1" s="51"/>
      <c r="TD1" s="51"/>
      <c r="TE1" s="51"/>
      <c r="TF1" s="51"/>
      <c r="TG1" s="51"/>
      <c r="TH1" s="51"/>
      <c r="TI1" s="51"/>
      <c r="TJ1" s="51"/>
      <c r="TK1" s="51"/>
      <c r="TL1" s="51"/>
      <c r="TM1" s="51"/>
      <c r="TN1" s="51"/>
      <c r="TO1" s="51"/>
      <c r="TP1" s="51"/>
      <c r="TQ1" s="51"/>
      <c r="TR1" s="51"/>
      <c r="TS1" s="51"/>
      <c r="TT1" s="51"/>
      <c r="TU1" s="51"/>
      <c r="TV1" s="51"/>
      <c r="TW1" s="51"/>
      <c r="TX1" s="51"/>
      <c r="TY1" s="51"/>
      <c r="TZ1" s="51"/>
      <c r="UA1" s="51"/>
      <c r="UB1" s="51"/>
      <c r="UC1" s="51"/>
      <c r="UD1" s="51"/>
      <c r="UE1" s="51"/>
      <c r="UF1" s="51"/>
      <c r="UG1" s="51"/>
      <c r="UH1" s="51"/>
      <c r="UI1" s="51"/>
      <c r="UJ1" s="51"/>
      <c r="UK1" s="51"/>
      <c r="UL1" s="51"/>
      <c r="UM1" s="51"/>
      <c r="UN1" s="51"/>
      <c r="UO1" s="51"/>
      <c r="UP1" s="51"/>
      <c r="UQ1" s="51"/>
      <c r="UR1" s="51"/>
      <c r="US1" s="51"/>
      <c r="UT1" s="51"/>
      <c r="UU1" s="51"/>
      <c r="UV1" s="51"/>
      <c r="UW1" s="51"/>
      <c r="UX1" s="51"/>
      <c r="UY1" s="51"/>
      <c r="UZ1" s="51"/>
      <c r="VA1" s="51"/>
      <c r="VB1" s="51"/>
      <c r="VC1" s="51"/>
      <c r="VD1" s="51"/>
      <c r="VE1" s="51"/>
      <c r="VF1" s="51"/>
      <c r="VG1" s="51"/>
      <c r="VH1" s="51"/>
      <c r="VI1" s="51"/>
      <c r="VJ1" s="51"/>
      <c r="VK1" s="51"/>
      <c r="VL1" s="51"/>
      <c r="VM1" s="51"/>
      <c r="VN1" s="51"/>
      <c r="VO1" s="51"/>
      <c r="VP1" s="51"/>
      <c r="VQ1" s="51"/>
      <c r="VR1" s="51"/>
      <c r="VS1" s="51"/>
      <c r="VT1" s="51"/>
      <c r="VU1" s="51"/>
      <c r="VV1" s="51"/>
      <c r="VW1" s="51"/>
      <c r="VX1" s="51"/>
      <c r="VY1" s="51"/>
      <c r="VZ1" s="51"/>
      <c r="WA1" s="51"/>
      <c r="WB1" s="51"/>
      <c r="WC1" s="51"/>
      <c r="WD1" s="51"/>
      <c r="WE1" s="51"/>
      <c r="WF1" s="51"/>
      <c r="WG1" s="51"/>
      <c r="WH1" s="51"/>
      <c r="WI1" s="51"/>
      <c r="WJ1" s="51"/>
      <c r="WK1" s="51"/>
      <c r="WL1" s="51"/>
      <c r="WM1" s="51"/>
      <c r="WN1" s="51"/>
      <c r="WO1" s="51"/>
      <c r="WP1" s="51"/>
      <c r="WQ1" s="51"/>
      <c r="WR1" s="51"/>
      <c r="WS1" s="51"/>
      <c r="WT1" s="51"/>
      <c r="WU1" s="51"/>
      <c r="WV1" s="51"/>
      <c r="WW1" s="51"/>
      <c r="WX1" s="51"/>
      <c r="WY1" s="51"/>
      <c r="WZ1" s="51"/>
      <c r="XA1" s="51"/>
      <c r="XB1" s="51"/>
      <c r="XC1" s="51"/>
      <c r="XD1" s="51"/>
      <c r="XE1" s="51"/>
      <c r="XF1" s="51"/>
      <c r="XG1" s="51"/>
      <c r="XH1" s="51"/>
      <c r="XI1" s="51"/>
      <c r="XJ1" s="51"/>
      <c r="XK1" s="51"/>
      <c r="XL1" s="51"/>
      <c r="XM1" s="51"/>
      <c r="XN1" s="51"/>
      <c r="XO1" s="51"/>
      <c r="XP1" s="51"/>
      <c r="XQ1" s="51"/>
      <c r="XR1" s="51"/>
      <c r="XS1" s="51"/>
      <c r="XT1" s="51"/>
      <c r="XU1" s="51"/>
      <c r="XV1" s="51"/>
      <c r="XW1" s="51"/>
      <c r="XX1" s="51"/>
      <c r="XY1" s="51"/>
      <c r="XZ1" s="51"/>
      <c r="YA1" s="51"/>
      <c r="YB1" s="51"/>
      <c r="YC1" s="51"/>
      <c r="YD1" s="51"/>
      <c r="YE1" s="51"/>
      <c r="YF1" s="51"/>
      <c r="YG1" s="51"/>
      <c r="YH1" s="51"/>
      <c r="YI1" s="51"/>
      <c r="YJ1" s="51"/>
      <c r="YK1" s="51"/>
      <c r="YL1" s="51"/>
      <c r="YM1" s="51"/>
      <c r="YN1" s="51"/>
      <c r="YO1" s="51"/>
      <c r="YP1" s="51"/>
      <c r="YQ1" s="51"/>
      <c r="YR1" s="51"/>
      <c r="YS1" s="51"/>
      <c r="YT1" s="51"/>
      <c r="YU1" s="51"/>
      <c r="YV1" s="51"/>
      <c r="YW1" s="51"/>
      <c r="YX1" s="51"/>
      <c r="YY1" s="51"/>
      <c r="YZ1" s="51"/>
      <c r="ZA1" s="51"/>
      <c r="ZB1" s="51"/>
      <c r="ZC1" s="51"/>
      <c r="ZD1" s="51"/>
      <c r="ZE1" s="51"/>
      <c r="ZF1" s="51"/>
      <c r="ZG1" s="51"/>
      <c r="ZH1" s="51"/>
      <c r="ZI1" s="51"/>
      <c r="ZJ1" s="51"/>
      <c r="ZK1" s="51"/>
      <c r="ZL1" s="51"/>
      <c r="ZM1" s="51"/>
      <c r="ZN1" s="51"/>
      <c r="ZO1" s="51"/>
      <c r="ZP1" s="51"/>
      <c r="ZQ1" s="51"/>
      <c r="ZR1" s="51"/>
      <c r="ZS1" s="51"/>
      <c r="ZT1" s="51"/>
      <c r="ZU1" s="51"/>
      <c r="ZV1" s="51"/>
      <c r="ZW1" s="51"/>
      <c r="ZX1" s="51"/>
      <c r="ZY1" s="51"/>
      <c r="ZZ1" s="51"/>
      <c r="AAA1" s="51"/>
      <c r="AAB1" s="51"/>
      <c r="AAC1" s="51"/>
      <c r="AAD1" s="51"/>
      <c r="AAE1" s="51"/>
      <c r="AAF1" s="51"/>
      <c r="AAG1" s="51"/>
      <c r="AAH1" s="51"/>
      <c r="AAI1" s="51"/>
      <c r="AAJ1" s="51"/>
      <c r="AAK1" s="51"/>
      <c r="AAL1" s="51"/>
      <c r="AAM1" s="51"/>
      <c r="AAN1" s="51"/>
      <c r="AAO1" s="51"/>
      <c r="AAP1" s="51"/>
      <c r="AAQ1" s="51"/>
      <c r="AAR1" s="51"/>
      <c r="AAS1" s="51"/>
      <c r="AAT1" s="51"/>
      <c r="AAU1" s="51"/>
      <c r="AAV1" s="51"/>
      <c r="AAW1" s="51"/>
      <c r="AAX1" s="51"/>
      <c r="AAY1" s="51"/>
      <c r="AAZ1" s="51"/>
      <c r="ABA1" s="51"/>
      <c r="ABB1" s="51"/>
      <c r="ABC1" s="51"/>
      <c r="ABD1" s="51"/>
      <c r="ABE1" s="51"/>
      <c r="ABF1" s="51"/>
      <c r="ABG1" s="51"/>
      <c r="ABH1" s="51"/>
      <c r="ABI1" s="51"/>
      <c r="ABJ1" s="51"/>
      <c r="ABK1" s="51"/>
      <c r="ABL1" s="51"/>
      <c r="ABM1" s="51"/>
      <c r="ABN1" s="51"/>
      <c r="ABO1" s="51"/>
      <c r="ABP1" s="51"/>
      <c r="ABQ1" s="51"/>
      <c r="ABR1" s="51"/>
      <c r="ABS1" s="51"/>
      <c r="ABT1" s="51"/>
      <c r="ABU1" s="51"/>
      <c r="ABV1" s="51"/>
      <c r="ABW1" s="51"/>
      <c r="ABX1" s="51"/>
      <c r="ABY1" s="51"/>
      <c r="ABZ1" s="51"/>
      <c r="ACA1" s="51"/>
      <c r="ACB1" s="51"/>
      <c r="ACC1" s="51"/>
      <c r="ACD1" s="51"/>
      <c r="ACE1" s="51"/>
      <c r="ACF1" s="51"/>
      <c r="ACG1" s="51"/>
      <c r="ACH1" s="51"/>
      <c r="ACI1" s="51"/>
      <c r="ACJ1" s="51"/>
      <c r="ACK1" s="51"/>
      <c r="ACL1" s="51"/>
      <c r="ACM1" s="51"/>
      <c r="ACN1" s="51"/>
      <c r="ACO1" s="51"/>
      <c r="ACP1" s="51"/>
      <c r="ACQ1" s="51"/>
      <c r="ACR1" s="51"/>
      <c r="ACS1" s="51"/>
      <c r="ACT1" s="51"/>
      <c r="ACU1" s="51"/>
      <c r="ACV1" s="51"/>
      <c r="ACW1" s="51"/>
      <c r="ACX1" s="51"/>
      <c r="ACY1" s="51"/>
      <c r="ACZ1" s="51"/>
      <c r="ADA1" s="51"/>
      <c r="ADB1" s="51"/>
      <c r="ADC1" s="51"/>
      <c r="ADD1" s="51"/>
      <c r="ADE1" s="51"/>
      <c r="ADF1" s="51"/>
      <c r="ADG1" s="51"/>
      <c r="ADH1" s="51"/>
      <c r="ADI1" s="51"/>
      <c r="ADJ1" s="51"/>
      <c r="ADK1" s="51"/>
      <c r="ADL1" s="51"/>
      <c r="ADM1" s="51"/>
      <c r="ADN1" s="51"/>
      <c r="ADO1" s="51"/>
      <c r="ADP1" s="51"/>
      <c r="ADQ1" s="51"/>
      <c r="ADR1" s="51"/>
      <c r="ADS1" s="51"/>
      <c r="ADT1" s="51"/>
      <c r="ADU1" s="51"/>
      <c r="ADV1" s="51"/>
      <c r="ADW1" s="51"/>
      <c r="ADX1" s="51"/>
      <c r="ADY1" s="51"/>
      <c r="ADZ1" s="51"/>
      <c r="AEA1" s="51"/>
      <c r="AEB1" s="51"/>
      <c r="AEC1" s="51"/>
      <c r="AED1" s="51"/>
      <c r="AEE1" s="51"/>
      <c r="AEF1" s="51"/>
      <c r="AEG1" s="51"/>
      <c r="AEH1" s="51"/>
      <c r="AEI1" s="51"/>
      <c r="AEJ1" s="51"/>
      <c r="AEK1" s="51"/>
      <c r="AEL1" s="51"/>
      <c r="AEM1" s="51"/>
      <c r="AEN1" s="51"/>
      <c r="AEO1" s="51"/>
      <c r="AEP1" s="51"/>
      <c r="AEQ1" s="51"/>
      <c r="AER1" s="51"/>
      <c r="AES1" s="51"/>
      <c r="AET1" s="51"/>
      <c r="AEU1" s="51"/>
      <c r="AEV1" s="51"/>
      <c r="AEW1" s="51"/>
      <c r="AEX1" s="51"/>
      <c r="AEY1" s="51"/>
      <c r="AEZ1" s="51"/>
      <c r="AFA1" s="51"/>
      <c r="AFB1" s="51"/>
      <c r="AFC1" s="51"/>
      <c r="AFD1" s="51"/>
      <c r="AFE1" s="51"/>
      <c r="AFF1" s="51"/>
      <c r="AFG1" s="51"/>
      <c r="AFH1" s="51"/>
      <c r="AFI1" s="51"/>
      <c r="AFJ1" s="51"/>
      <c r="AFK1" s="51"/>
      <c r="AFL1" s="51"/>
      <c r="AFM1" s="51"/>
      <c r="AFN1" s="51"/>
      <c r="AFO1" s="51"/>
      <c r="AFP1" s="51"/>
      <c r="AFQ1" s="51"/>
      <c r="AFR1" s="51"/>
      <c r="AFS1" s="51"/>
      <c r="AFT1" s="51"/>
      <c r="AFU1" s="51"/>
      <c r="AFV1" s="51"/>
      <c r="AFW1" s="51"/>
      <c r="AFX1" s="51"/>
      <c r="AFY1" s="51"/>
      <c r="AFZ1" s="51"/>
      <c r="AGA1" s="51"/>
      <c r="AGB1" s="51"/>
      <c r="AGC1" s="51"/>
      <c r="AGD1" s="51"/>
      <c r="AGE1" s="51"/>
      <c r="AGF1" s="51"/>
      <c r="AGG1" s="51"/>
      <c r="AGH1" s="51"/>
      <c r="AGI1" s="51"/>
      <c r="AGJ1" s="51"/>
      <c r="AGK1" s="51"/>
      <c r="AGL1" s="51"/>
      <c r="AGM1" s="51"/>
      <c r="AGN1" s="51"/>
      <c r="AGO1" s="51"/>
      <c r="AGP1" s="51"/>
      <c r="AGQ1" s="51"/>
      <c r="AGR1" s="51"/>
      <c r="AGS1" s="51"/>
      <c r="AGT1" s="51"/>
      <c r="AGU1" s="51"/>
      <c r="AGV1" s="51"/>
      <c r="AGW1" s="51"/>
      <c r="AGX1" s="51"/>
      <c r="AGY1" s="51"/>
      <c r="AGZ1" s="51"/>
      <c r="AHA1" s="51"/>
      <c r="AHB1" s="51"/>
      <c r="AHC1" s="51"/>
      <c r="AHD1" s="51"/>
      <c r="AHE1" s="51"/>
      <c r="AHF1" s="51"/>
      <c r="AHG1" s="51"/>
      <c r="AHH1" s="51"/>
      <c r="AHI1" s="51"/>
      <c r="AHJ1" s="51"/>
      <c r="AHK1" s="51"/>
      <c r="AHL1" s="51"/>
      <c r="AHM1" s="51"/>
      <c r="AHN1" s="51"/>
      <c r="AHO1" s="51"/>
      <c r="AHP1" s="51"/>
      <c r="AHQ1" s="51"/>
      <c r="AHR1" s="51"/>
      <c r="AHS1" s="51"/>
      <c r="AHT1" s="51"/>
      <c r="AHU1" s="51"/>
      <c r="AHV1" s="51"/>
      <c r="AHW1" s="51"/>
      <c r="AHX1" s="51"/>
      <c r="AHY1" s="51"/>
      <c r="AHZ1" s="51"/>
      <c r="AIA1" s="51"/>
      <c r="AIB1" s="51"/>
      <c r="AIC1" s="51"/>
      <c r="AID1" s="51"/>
      <c r="AIE1" s="51"/>
      <c r="AIF1" s="51"/>
      <c r="AIG1" s="51"/>
      <c r="AIH1" s="51"/>
      <c r="AII1" s="51"/>
      <c r="AIJ1" s="51"/>
      <c r="AIK1" s="51"/>
      <c r="AIL1" s="51"/>
      <c r="AIM1" s="51"/>
      <c r="AIN1" s="51"/>
      <c r="AIO1" s="51"/>
      <c r="AIP1" s="51"/>
      <c r="AIQ1" s="51"/>
      <c r="AIR1" s="51"/>
      <c r="AIS1" s="51"/>
      <c r="AIT1" s="51"/>
      <c r="AIU1" s="51"/>
      <c r="AIV1" s="51"/>
      <c r="AIW1" s="51"/>
      <c r="AIX1" s="51"/>
      <c r="AIY1" s="51"/>
      <c r="AIZ1" s="51"/>
      <c r="AJA1" s="51"/>
      <c r="AJB1" s="51"/>
      <c r="AJC1" s="51"/>
      <c r="AJD1" s="51"/>
      <c r="AJE1" s="51"/>
      <c r="AJF1" s="51"/>
      <c r="AJG1" s="51"/>
      <c r="AJH1" s="51"/>
      <c r="AJI1" s="51"/>
      <c r="AJJ1" s="51"/>
      <c r="AJK1" s="51"/>
      <c r="AJL1" s="51"/>
      <c r="AJM1" s="51"/>
      <c r="AJN1" s="51"/>
      <c r="AJO1" s="51"/>
      <c r="AJP1" s="51"/>
      <c r="AJQ1" s="51"/>
      <c r="AJR1" s="51"/>
      <c r="AJS1" s="51"/>
      <c r="AJT1" s="51"/>
      <c r="AJU1" s="51"/>
      <c r="AJV1" s="51"/>
      <c r="AJW1" s="51"/>
      <c r="AJX1" s="51"/>
      <c r="AJY1" s="51"/>
      <c r="AJZ1" s="51"/>
      <c r="AKA1" s="51"/>
      <c r="AKB1" s="51"/>
      <c r="AKC1" s="51"/>
      <c r="AKD1" s="51"/>
      <c r="AKE1" s="51"/>
      <c r="AKF1" s="51"/>
      <c r="AKG1" s="51"/>
      <c r="AKH1" s="51"/>
      <c r="AKI1" s="51"/>
      <c r="AKJ1" s="51"/>
      <c r="AKK1" s="51"/>
      <c r="AKL1" s="51"/>
      <c r="AKM1" s="51"/>
      <c r="AKN1" s="51"/>
      <c r="AKO1" s="51"/>
      <c r="AKP1" s="51"/>
      <c r="AKQ1" s="51"/>
      <c r="AKR1" s="51"/>
      <c r="AKS1" s="51"/>
      <c r="AKT1" s="51"/>
      <c r="AKU1" s="51"/>
      <c r="AKV1" s="51"/>
      <c r="AKW1" s="51"/>
      <c r="AKX1" s="51"/>
      <c r="AKY1" s="51"/>
      <c r="AKZ1" s="51"/>
      <c r="ALA1" s="51"/>
      <c r="ALB1" s="51"/>
      <c r="ALC1" s="51"/>
      <c r="ALD1" s="51"/>
      <c r="ALE1" s="51"/>
      <c r="ALF1" s="51"/>
      <c r="ALG1" s="51"/>
      <c r="ALH1" s="51"/>
      <c r="ALI1" s="51"/>
      <c r="ALJ1" s="51"/>
      <c r="ALK1" s="51"/>
      <c r="ALL1" s="51"/>
      <c r="ALM1" s="51"/>
      <c r="ALN1" s="51"/>
      <c r="ALO1" s="51"/>
      <c r="ALP1" s="51"/>
      <c r="ALQ1" s="51"/>
      <c r="ALR1" s="51"/>
      <c r="ALS1" s="51"/>
      <c r="ALT1" s="51"/>
      <c r="ALU1" s="51"/>
      <c r="ALV1" s="51"/>
      <c r="ALW1" s="51"/>
      <c r="ALX1" s="51"/>
      <c r="ALY1" s="51"/>
      <c r="ALZ1" s="51"/>
      <c r="AMA1" s="51"/>
      <c r="AMB1" s="51"/>
      <c r="AMC1" s="51"/>
      <c r="AMD1" s="51"/>
      <c r="AME1" s="51"/>
      <c r="AMF1" s="51"/>
      <c r="AMG1" s="51"/>
      <c r="AMH1" s="51"/>
      <c r="AMI1" s="51"/>
      <c r="AMJ1" s="51"/>
      <c r="AMK1" s="51"/>
      <c r="AML1" s="51"/>
      <c r="AMM1" s="51"/>
      <c r="AMN1" s="51"/>
      <c r="AMO1" s="51"/>
      <c r="AMP1" s="51"/>
      <c r="AMQ1" s="51"/>
      <c r="AMR1" s="51"/>
      <c r="AMS1" s="51"/>
      <c r="AMT1" s="51"/>
      <c r="AMU1" s="51"/>
      <c r="AMV1" s="51"/>
      <c r="AMW1" s="51"/>
      <c r="AMX1" s="51"/>
      <c r="AMY1" s="51"/>
      <c r="AMZ1" s="51"/>
      <c r="ANA1" s="51"/>
      <c r="ANB1" s="51"/>
      <c r="ANC1" s="51"/>
      <c r="AND1" s="51"/>
      <c r="ANE1" s="51"/>
      <c r="ANF1" s="51"/>
      <c r="ANG1" s="51"/>
      <c r="ANH1" s="51"/>
      <c r="ANI1" s="51"/>
      <c r="ANJ1" s="51"/>
      <c r="ANK1" s="51"/>
      <c r="ANL1" s="51"/>
      <c r="ANM1" s="51"/>
      <c r="ANN1" s="51"/>
      <c r="ANO1" s="51"/>
      <c r="ANP1" s="51"/>
      <c r="ANQ1" s="51"/>
      <c r="ANR1" s="51"/>
      <c r="ANS1" s="51"/>
      <c r="ANT1" s="51"/>
      <c r="ANU1" s="51"/>
      <c r="ANV1" s="51"/>
      <c r="ANW1" s="51"/>
      <c r="ANX1" s="51"/>
      <c r="ANY1" s="51"/>
      <c r="ANZ1" s="51"/>
      <c r="AOA1" s="51"/>
      <c r="AOB1" s="51"/>
      <c r="AOC1" s="51"/>
      <c r="AOD1" s="51"/>
      <c r="AOE1" s="51"/>
      <c r="AOF1" s="51"/>
      <c r="AOG1" s="51"/>
      <c r="AOH1" s="51"/>
      <c r="AOI1" s="51"/>
      <c r="AOJ1" s="51"/>
      <c r="AOK1" s="51"/>
      <c r="AOL1" s="51"/>
      <c r="AOM1" s="51"/>
      <c r="AON1" s="51"/>
      <c r="AOO1" s="51"/>
      <c r="AOP1" s="51"/>
      <c r="AOQ1" s="51"/>
      <c r="AOR1" s="51"/>
      <c r="AOS1" s="51"/>
      <c r="AOT1" s="51"/>
      <c r="AOU1" s="51"/>
      <c r="AOV1" s="51"/>
      <c r="AOW1" s="51"/>
      <c r="AOX1" s="51"/>
      <c r="AOY1" s="51"/>
      <c r="AOZ1" s="51"/>
      <c r="APA1" s="51"/>
      <c r="APB1" s="51"/>
      <c r="APC1" s="51"/>
      <c r="APD1" s="51"/>
      <c r="APE1" s="51"/>
      <c r="APF1" s="51"/>
      <c r="APG1" s="51"/>
      <c r="APH1" s="51"/>
      <c r="API1" s="51"/>
      <c r="APJ1" s="51"/>
      <c r="APK1" s="51"/>
      <c r="APL1" s="51"/>
      <c r="APM1" s="51"/>
      <c r="APN1" s="51"/>
      <c r="APO1" s="51"/>
      <c r="APP1" s="51"/>
      <c r="APQ1" s="51"/>
      <c r="APR1" s="51"/>
      <c r="APS1" s="51"/>
      <c r="APT1" s="51"/>
      <c r="APU1" s="51"/>
      <c r="APV1" s="51"/>
      <c r="APW1" s="51"/>
      <c r="APX1" s="51"/>
      <c r="APY1" s="51"/>
      <c r="APZ1" s="51"/>
      <c r="AQA1" s="51"/>
      <c r="AQB1" s="51"/>
      <c r="AQC1" s="51"/>
      <c r="AQD1" s="51"/>
      <c r="AQE1" s="51"/>
      <c r="AQF1" s="51"/>
      <c r="AQG1" s="51"/>
      <c r="AQH1" s="51"/>
      <c r="AQI1" s="51"/>
      <c r="AQJ1" s="51"/>
      <c r="AQK1" s="51"/>
      <c r="AQL1" s="51"/>
      <c r="AQM1" s="51"/>
      <c r="AQN1" s="51"/>
      <c r="AQO1" s="51"/>
      <c r="AQP1" s="51"/>
      <c r="AQQ1" s="51"/>
      <c r="AQR1" s="51"/>
      <c r="AQS1" s="51"/>
      <c r="AQT1" s="51"/>
      <c r="AQU1" s="51"/>
      <c r="AQV1" s="51"/>
      <c r="AQW1" s="51"/>
      <c r="AQX1" s="51"/>
      <c r="AQY1" s="51"/>
      <c r="AQZ1" s="51"/>
      <c r="ARA1" s="51"/>
      <c r="ARB1" s="51"/>
      <c r="ARC1" s="51"/>
      <c r="ARD1" s="51"/>
      <c r="ARE1" s="51"/>
      <c r="ARF1" s="51"/>
      <c r="ARG1" s="51"/>
      <c r="ARH1" s="51"/>
      <c r="ARI1" s="51"/>
      <c r="ARJ1" s="51"/>
      <c r="ARK1" s="51"/>
      <c r="ARL1" s="51"/>
      <c r="ARM1" s="51"/>
      <c r="ARN1" s="51"/>
      <c r="ARO1" s="51"/>
      <c r="ARP1" s="51"/>
      <c r="ARQ1" s="51"/>
      <c r="ARR1" s="51"/>
      <c r="ARS1" s="51"/>
      <c r="ART1" s="51"/>
      <c r="ARU1" s="51"/>
      <c r="ARV1" s="51"/>
      <c r="ARW1" s="51"/>
      <c r="ARX1" s="51"/>
      <c r="ARY1" s="51"/>
      <c r="ARZ1" s="51"/>
      <c r="ASA1" s="51"/>
      <c r="ASB1" s="51"/>
      <c r="ASC1" s="51"/>
      <c r="ASD1" s="51"/>
      <c r="ASE1" s="51"/>
      <c r="ASF1" s="51"/>
      <c r="ASG1" s="51"/>
      <c r="ASH1" s="51"/>
      <c r="ASI1" s="51"/>
      <c r="ASJ1" s="51"/>
      <c r="ASK1" s="51"/>
      <c r="ASL1" s="51"/>
      <c r="ASM1" s="51"/>
      <c r="ASN1" s="51"/>
      <c r="ASO1" s="51"/>
      <c r="ASP1" s="51"/>
      <c r="ASQ1" s="51"/>
      <c r="ASR1" s="51"/>
      <c r="ASS1" s="51"/>
      <c r="AST1" s="51"/>
      <c r="ASU1" s="51"/>
      <c r="ASV1" s="51"/>
      <c r="ASW1" s="51"/>
      <c r="ASX1" s="51"/>
      <c r="ASY1" s="51"/>
      <c r="ASZ1" s="51"/>
      <c r="ATA1" s="51"/>
      <c r="ATB1" s="51"/>
      <c r="ATC1" s="51"/>
      <c r="ATD1" s="51"/>
      <c r="ATE1" s="51"/>
      <c r="ATF1" s="51"/>
      <c r="ATG1" s="51"/>
      <c r="ATH1" s="51"/>
      <c r="ATI1" s="51"/>
      <c r="ATJ1" s="51"/>
      <c r="ATK1" s="51"/>
      <c r="ATL1" s="51"/>
      <c r="ATM1" s="51"/>
      <c r="ATN1" s="51"/>
      <c r="ATO1" s="51"/>
      <c r="ATP1" s="51"/>
      <c r="ATQ1" s="51"/>
      <c r="ATR1" s="51"/>
      <c r="ATS1" s="51"/>
      <c r="ATT1" s="51"/>
      <c r="ATU1" s="51"/>
      <c r="ATV1" s="51"/>
      <c r="ATW1" s="51"/>
      <c r="ATX1" s="51"/>
      <c r="ATY1" s="51"/>
      <c r="ATZ1" s="51"/>
      <c r="AUA1" s="51"/>
      <c r="AUB1" s="51"/>
      <c r="AUC1" s="51"/>
      <c r="AUD1" s="51"/>
      <c r="AUE1" s="51"/>
      <c r="AUF1" s="51"/>
      <c r="AUG1" s="51"/>
      <c r="AUH1" s="51"/>
      <c r="AUI1" s="51"/>
      <c r="AUJ1" s="51"/>
      <c r="AUK1" s="51"/>
      <c r="AUL1" s="51"/>
      <c r="AUM1" s="51"/>
      <c r="AUN1" s="51"/>
      <c r="AUO1" s="51"/>
      <c r="AUP1" s="51"/>
      <c r="AUQ1" s="51"/>
      <c r="AUR1" s="51"/>
      <c r="AUS1" s="51"/>
      <c r="AUT1" s="51"/>
      <c r="AUU1" s="51"/>
      <c r="AUV1" s="51"/>
      <c r="AUW1" s="51"/>
      <c r="AUX1" s="51"/>
      <c r="AUY1" s="51"/>
      <c r="AUZ1" s="51"/>
      <c r="AVA1" s="51"/>
      <c r="AVB1" s="51"/>
      <c r="AVC1" s="51"/>
      <c r="AVD1" s="51"/>
      <c r="AVE1" s="51"/>
      <c r="AVF1" s="51"/>
      <c r="AVG1" s="51"/>
      <c r="AVH1" s="51"/>
      <c r="AVI1" s="51"/>
      <c r="AVJ1" s="51"/>
      <c r="AVK1" s="51"/>
      <c r="AVL1" s="51"/>
      <c r="AVM1" s="51"/>
      <c r="AVN1" s="51"/>
      <c r="AVO1" s="51"/>
      <c r="AVP1" s="51"/>
      <c r="AVQ1" s="51"/>
      <c r="AVR1" s="51"/>
      <c r="AVS1" s="51"/>
      <c r="AVT1" s="51"/>
      <c r="AVU1" s="51"/>
      <c r="AVV1" s="51"/>
      <c r="AVW1" s="51"/>
      <c r="AVX1" s="51"/>
      <c r="AVY1" s="51"/>
      <c r="AVZ1" s="51"/>
      <c r="AWA1" s="51"/>
      <c r="AWB1" s="51"/>
      <c r="AWC1" s="51"/>
      <c r="AWD1" s="51"/>
      <c r="AWE1" s="51"/>
      <c r="AWF1" s="51"/>
      <c r="AWG1" s="51"/>
      <c r="AWH1" s="51"/>
      <c r="AWI1" s="51"/>
      <c r="AWJ1" s="51"/>
      <c r="AWK1" s="51"/>
      <c r="AWL1" s="51"/>
      <c r="AWM1" s="51"/>
      <c r="AWN1" s="51"/>
      <c r="AWO1" s="51"/>
      <c r="AWP1" s="51"/>
      <c r="AWQ1" s="51"/>
      <c r="AWR1" s="51"/>
      <c r="AWS1" s="51"/>
      <c r="AWT1" s="51"/>
      <c r="AWU1" s="51"/>
      <c r="AWV1" s="51"/>
      <c r="AWW1" s="51"/>
      <c r="AWX1" s="51"/>
      <c r="AWY1" s="51"/>
      <c r="AWZ1" s="51"/>
      <c r="AXA1" s="51"/>
      <c r="AXB1" s="51"/>
      <c r="AXC1" s="51"/>
      <c r="AXD1" s="51"/>
      <c r="AXE1" s="51"/>
      <c r="AXF1" s="51"/>
      <c r="AXG1" s="51"/>
      <c r="AXH1" s="51"/>
      <c r="AXI1" s="51"/>
      <c r="AXJ1" s="51"/>
      <c r="AXK1" s="51"/>
      <c r="AXL1" s="51"/>
      <c r="AXM1" s="51"/>
      <c r="AXN1" s="51"/>
      <c r="AXO1" s="51"/>
      <c r="AXP1" s="51"/>
      <c r="AXQ1" s="51"/>
      <c r="AXR1" s="51"/>
      <c r="AXS1" s="51"/>
      <c r="AXT1" s="51"/>
      <c r="AXU1" s="51"/>
      <c r="AXV1" s="51"/>
      <c r="AXW1" s="51"/>
      <c r="AXX1" s="51"/>
      <c r="AXY1" s="51"/>
      <c r="AXZ1" s="51"/>
      <c r="AYA1" s="51"/>
      <c r="AYB1" s="51"/>
      <c r="AYC1" s="51"/>
      <c r="AYD1" s="51"/>
      <c r="AYE1" s="51"/>
      <c r="AYF1" s="51"/>
      <c r="AYG1" s="51"/>
      <c r="AYH1" s="51"/>
      <c r="AYI1" s="51"/>
      <c r="AYJ1" s="51"/>
      <c r="AYK1" s="51"/>
      <c r="AYL1" s="51"/>
      <c r="AYM1" s="51"/>
      <c r="AYN1" s="51"/>
      <c r="AYO1" s="51"/>
      <c r="AYP1" s="51"/>
      <c r="AYQ1" s="51"/>
      <c r="AYR1" s="51"/>
      <c r="AYS1" s="51"/>
      <c r="AYT1" s="51"/>
      <c r="AYU1" s="51"/>
      <c r="AYV1" s="51"/>
      <c r="AYW1" s="51"/>
      <c r="AYX1" s="51"/>
      <c r="AYY1" s="51"/>
      <c r="AYZ1" s="51"/>
      <c r="AZA1" s="51"/>
      <c r="AZB1" s="51"/>
      <c r="AZC1" s="51"/>
      <c r="AZD1" s="51"/>
      <c r="AZE1" s="51"/>
      <c r="AZF1" s="51"/>
      <c r="AZG1" s="51"/>
      <c r="AZH1" s="51"/>
      <c r="AZI1" s="51"/>
      <c r="AZJ1" s="51"/>
      <c r="AZK1" s="51"/>
      <c r="AZL1" s="51"/>
      <c r="AZM1" s="51"/>
      <c r="AZN1" s="51"/>
      <c r="AZO1" s="51"/>
      <c r="AZP1" s="51"/>
      <c r="AZQ1" s="51"/>
      <c r="AZR1" s="51"/>
      <c r="AZS1" s="51"/>
      <c r="AZT1" s="51"/>
      <c r="AZU1" s="51"/>
      <c r="AZV1" s="51"/>
      <c r="AZW1" s="51"/>
      <c r="AZX1" s="51"/>
      <c r="AZY1" s="51"/>
      <c r="AZZ1" s="51"/>
      <c r="BAA1" s="51"/>
      <c r="BAB1" s="51"/>
      <c r="BAC1" s="51"/>
      <c r="BAD1" s="51"/>
      <c r="BAE1" s="51"/>
      <c r="BAF1" s="51"/>
      <c r="BAG1" s="51"/>
      <c r="BAH1" s="51"/>
      <c r="BAI1" s="51"/>
      <c r="BAJ1" s="51"/>
      <c r="BAK1" s="51"/>
      <c r="BAL1" s="51"/>
      <c r="BAM1" s="51"/>
      <c r="BAN1" s="51"/>
      <c r="BAO1" s="51"/>
      <c r="BAP1" s="51"/>
      <c r="BAQ1" s="51"/>
      <c r="BAR1" s="51"/>
      <c r="BAS1" s="51"/>
      <c r="BAT1" s="51"/>
      <c r="BAU1" s="51"/>
      <c r="BAV1" s="51"/>
      <c r="BAW1" s="51"/>
      <c r="BAX1" s="51"/>
      <c r="BAY1" s="51"/>
      <c r="BAZ1" s="51"/>
      <c r="BBA1" s="51"/>
      <c r="BBB1" s="51"/>
      <c r="BBC1" s="51"/>
      <c r="BBD1" s="51"/>
      <c r="BBE1" s="51"/>
      <c r="BBF1" s="51"/>
      <c r="BBG1" s="51"/>
      <c r="BBH1" s="51"/>
      <c r="BBI1" s="51"/>
      <c r="BBJ1" s="51"/>
      <c r="BBK1" s="51"/>
      <c r="BBL1" s="51"/>
      <c r="BBM1" s="51"/>
      <c r="BBN1" s="51"/>
      <c r="BBO1" s="51"/>
      <c r="BBP1" s="51"/>
      <c r="BBQ1" s="51"/>
      <c r="BBR1" s="51"/>
      <c r="BBS1" s="51"/>
      <c r="BBT1" s="51"/>
      <c r="BBU1" s="51"/>
      <c r="BBV1" s="51"/>
      <c r="BBW1" s="51"/>
      <c r="BBX1" s="51"/>
      <c r="BBY1" s="51"/>
      <c r="BBZ1" s="51"/>
      <c r="BCA1" s="51"/>
      <c r="BCB1" s="51"/>
      <c r="BCC1" s="51"/>
      <c r="BCD1" s="51"/>
      <c r="BCE1" s="51"/>
      <c r="BCF1" s="51"/>
      <c r="BCG1" s="51"/>
      <c r="BCH1" s="51"/>
      <c r="BCI1" s="51"/>
      <c r="BCJ1" s="51"/>
      <c r="BCK1" s="51"/>
      <c r="BCL1" s="51"/>
      <c r="BCM1" s="51"/>
      <c r="BCN1" s="51"/>
      <c r="BCO1" s="51"/>
      <c r="BCP1" s="51"/>
      <c r="BCQ1" s="51"/>
      <c r="BCR1" s="51"/>
      <c r="BCS1" s="51"/>
      <c r="BCT1" s="51"/>
      <c r="BCU1" s="51"/>
      <c r="BCV1" s="51"/>
      <c r="BCW1" s="51"/>
      <c r="BCX1" s="51"/>
      <c r="BCY1" s="51"/>
      <c r="BCZ1" s="51"/>
      <c r="BDA1" s="51"/>
      <c r="BDB1" s="51"/>
      <c r="BDC1" s="51"/>
      <c r="BDD1" s="51"/>
      <c r="BDE1" s="51"/>
      <c r="BDF1" s="51"/>
      <c r="BDG1" s="51"/>
      <c r="BDH1" s="51"/>
      <c r="BDI1" s="51"/>
      <c r="BDJ1" s="51"/>
      <c r="BDK1" s="51"/>
      <c r="BDL1" s="51"/>
      <c r="BDM1" s="51"/>
      <c r="BDN1" s="51"/>
      <c r="BDO1" s="51"/>
      <c r="BDP1" s="51"/>
      <c r="BDQ1" s="51"/>
      <c r="BDR1" s="51"/>
      <c r="BDS1" s="51"/>
      <c r="BDT1" s="51"/>
      <c r="BDU1" s="51"/>
      <c r="BDV1" s="51"/>
      <c r="BDW1" s="51"/>
      <c r="BDX1" s="51"/>
      <c r="BDY1" s="51"/>
      <c r="BDZ1" s="51"/>
      <c r="BEA1" s="51"/>
      <c r="BEB1" s="51"/>
      <c r="BEC1" s="51"/>
      <c r="BED1" s="51"/>
      <c r="BEE1" s="51"/>
      <c r="BEF1" s="51"/>
      <c r="BEG1" s="51"/>
      <c r="BEH1" s="51"/>
      <c r="BEI1" s="51"/>
      <c r="BEJ1" s="51"/>
      <c r="BEK1" s="51"/>
      <c r="BEL1" s="51"/>
      <c r="BEM1" s="51"/>
      <c r="BEN1" s="51"/>
      <c r="BEO1" s="51"/>
      <c r="BEP1" s="51"/>
      <c r="BEQ1" s="51"/>
      <c r="BER1" s="51"/>
      <c r="BES1" s="51"/>
      <c r="BET1" s="51"/>
      <c r="BEU1" s="51"/>
      <c r="BEV1" s="51"/>
      <c r="BEW1" s="51"/>
      <c r="BEX1" s="51"/>
      <c r="BEY1" s="51"/>
      <c r="BEZ1" s="51"/>
      <c r="BFA1" s="51"/>
      <c r="BFB1" s="51"/>
      <c r="BFC1" s="51"/>
      <c r="BFD1" s="51"/>
      <c r="BFE1" s="51"/>
      <c r="BFF1" s="51"/>
      <c r="BFG1" s="51"/>
      <c r="BFH1" s="51"/>
      <c r="BFI1" s="51"/>
      <c r="BFJ1" s="51"/>
      <c r="BFK1" s="51"/>
      <c r="BFL1" s="51"/>
      <c r="BFM1" s="51"/>
      <c r="BFN1" s="51"/>
      <c r="BFO1" s="51"/>
      <c r="BFP1" s="51"/>
      <c r="BFQ1" s="51"/>
      <c r="BFR1" s="51"/>
      <c r="BFS1" s="51"/>
      <c r="BFT1" s="51"/>
      <c r="BFU1" s="51"/>
      <c r="BFV1" s="51"/>
      <c r="BFW1" s="51"/>
      <c r="BFX1" s="51"/>
      <c r="BFY1" s="51"/>
      <c r="BFZ1" s="51"/>
      <c r="BGA1" s="51"/>
      <c r="BGB1" s="51"/>
      <c r="BGC1" s="51"/>
      <c r="BGD1" s="51"/>
      <c r="BGE1" s="51"/>
      <c r="BGF1" s="51"/>
      <c r="BGG1" s="51"/>
      <c r="BGH1" s="51"/>
      <c r="BGI1" s="51"/>
      <c r="BGJ1" s="51"/>
      <c r="BGK1" s="51"/>
      <c r="BGL1" s="51"/>
      <c r="BGM1" s="51"/>
      <c r="BGN1" s="51"/>
      <c r="BGO1" s="51"/>
      <c r="BGP1" s="51"/>
      <c r="BGQ1" s="51"/>
      <c r="BGR1" s="51"/>
      <c r="BGS1" s="51"/>
      <c r="BGT1" s="51"/>
      <c r="BGU1" s="51"/>
      <c r="BGV1" s="51"/>
      <c r="BGW1" s="51"/>
      <c r="BGX1" s="51"/>
      <c r="BGY1" s="51"/>
      <c r="BGZ1" s="51"/>
      <c r="BHA1" s="51"/>
      <c r="BHB1" s="51"/>
      <c r="BHC1" s="51"/>
      <c r="BHD1" s="51"/>
      <c r="BHE1" s="51"/>
      <c r="BHF1" s="51"/>
      <c r="BHG1" s="51"/>
      <c r="BHH1" s="51"/>
      <c r="BHI1" s="51"/>
      <c r="BHJ1" s="51"/>
      <c r="BHK1" s="51"/>
      <c r="BHL1" s="51"/>
      <c r="BHM1" s="51"/>
      <c r="BHN1" s="51"/>
      <c r="BHO1" s="51"/>
      <c r="BHP1" s="51"/>
      <c r="BHQ1" s="51"/>
      <c r="BHR1" s="51"/>
      <c r="BHS1" s="51"/>
      <c r="BHT1" s="51"/>
      <c r="BHU1" s="51"/>
      <c r="BHV1" s="51"/>
      <c r="BHW1" s="51"/>
      <c r="BHX1" s="51"/>
      <c r="BHY1" s="51"/>
      <c r="BHZ1" s="51"/>
      <c r="BIA1" s="51"/>
      <c r="BIB1" s="51"/>
      <c r="BIC1" s="51"/>
      <c r="BID1" s="51"/>
      <c r="BIE1" s="51"/>
      <c r="BIF1" s="51"/>
      <c r="BIG1" s="51"/>
      <c r="BIH1" s="51"/>
      <c r="BII1" s="51"/>
      <c r="BIJ1" s="51"/>
      <c r="BIK1" s="51"/>
      <c r="BIL1" s="51"/>
      <c r="BIM1" s="51"/>
      <c r="BIN1" s="51"/>
      <c r="BIO1" s="51"/>
      <c r="BIP1" s="51"/>
      <c r="BIQ1" s="51"/>
      <c r="BIR1" s="51"/>
      <c r="BIS1" s="51"/>
      <c r="BIT1" s="51"/>
      <c r="BIU1" s="51"/>
      <c r="BIV1" s="51"/>
      <c r="BIW1" s="51"/>
      <c r="BIX1" s="51"/>
      <c r="BIY1" s="51"/>
      <c r="BIZ1" s="51"/>
      <c r="BJA1" s="51"/>
      <c r="BJB1" s="51"/>
      <c r="BJC1" s="51"/>
      <c r="BJD1" s="51"/>
      <c r="BJE1" s="51"/>
      <c r="BJF1" s="51"/>
      <c r="BJG1" s="51"/>
      <c r="BJH1" s="51"/>
      <c r="BJI1" s="51"/>
      <c r="BJJ1" s="51"/>
      <c r="BJK1" s="51"/>
      <c r="BJL1" s="51"/>
      <c r="BJM1" s="51"/>
      <c r="BJN1" s="51"/>
      <c r="BJO1" s="51"/>
      <c r="BJP1" s="51"/>
      <c r="BJQ1" s="51"/>
      <c r="BJR1" s="51"/>
      <c r="BJS1" s="51"/>
      <c r="BJT1" s="51"/>
      <c r="BJU1" s="51"/>
      <c r="BJV1" s="51"/>
      <c r="BJW1" s="51"/>
      <c r="BJX1" s="51"/>
      <c r="BJY1" s="51"/>
      <c r="BJZ1" s="51"/>
      <c r="BKA1" s="51"/>
      <c r="BKB1" s="51"/>
      <c r="BKC1" s="51"/>
      <c r="BKD1" s="51"/>
      <c r="BKE1" s="51"/>
      <c r="BKF1" s="51"/>
      <c r="BKG1" s="51"/>
      <c r="BKH1" s="51"/>
      <c r="BKI1" s="51"/>
      <c r="BKJ1" s="51"/>
      <c r="BKK1" s="51"/>
      <c r="BKL1" s="51"/>
      <c r="BKM1" s="51"/>
      <c r="BKN1" s="51"/>
      <c r="BKO1" s="51"/>
      <c r="BKP1" s="51"/>
      <c r="BKQ1" s="51"/>
      <c r="BKR1" s="51"/>
      <c r="BKS1" s="51"/>
      <c r="BKT1" s="51"/>
      <c r="BKU1" s="51"/>
      <c r="BKV1" s="51"/>
      <c r="BKW1" s="51"/>
      <c r="BKX1" s="51"/>
      <c r="BKY1" s="51"/>
      <c r="BKZ1" s="51"/>
      <c r="BLA1" s="51"/>
      <c r="BLB1" s="51"/>
      <c r="BLC1" s="51"/>
      <c r="BLD1" s="51"/>
      <c r="BLE1" s="51"/>
      <c r="BLF1" s="51"/>
      <c r="BLG1" s="51"/>
      <c r="BLH1" s="51"/>
      <c r="BLI1" s="51"/>
      <c r="BLJ1" s="51"/>
      <c r="BLK1" s="51"/>
      <c r="BLL1" s="51"/>
      <c r="BLM1" s="51"/>
      <c r="BLN1" s="51"/>
      <c r="BLO1" s="51"/>
      <c r="BLP1" s="51"/>
      <c r="BLQ1" s="51"/>
      <c r="BLR1" s="51"/>
      <c r="BLS1" s="51"/>
      <c r="BLT1" s="51"/>
      <c r="BLU1" s="51"/>
      <c r="BLV1" s="51"/>
      <c r="BLW1" s="51"/>
      <c r="BLX1" s="51"/>
      <c r="BLY1" s="51"/>
      <c r="BLZ1" s="51"/>
      <c r="BMA1" s="51"/>
      <c r="BMB1" s="51"/>
      <c r="BMC1" s="51"/>
      <c r="BMD1" s="51"/>
      <c r="BME1" s="51"/>
      <c r="BMF1" s="51"/>
      <c r="BMG1" s="51"/>
      <c r="BMH1" s="51"/>
      <c r="BMI1" s="51"/>
      <c r="BMJ1" s="51"/>
      <c r="BMK1" s="51"/>
      <c r="BML1" s="51"/>
      <c r="BMM1" s="51"/>
      <c r="BMN1" s="51"/>
      <c r="BMO1" s="51"/>
      <c r="BMP1" s="51"/>
      <c r="BMQ1" s="51"/>
      <c r="BMR1" s="51"/>
      <c r="BMS1" s="51"/>
      <c r="BMT1" s="51"/>
      <c r="BMU1" s="51"/>
      <c r="BMV1" s="51"/>
      <c r="BMW1" s="51"/>
      <c r="BMX1" s="51"/>
      <c r="BMY1" s="51"/>
      <c r="BMZ1" s="51"/>
      <c r="BNA1" s="51"/>
      <c r="BNB1" s="51"/>
      <c r="BNC1" s="51"/>
      <c r="BND1" s="51"/>
      <c r="BNE1" s="51"/>
      <c r="BNF1" s="51"/>
      <c r="BNG1" s="51"/>
      <c r="BNH1" s="51"/>
      <c r="BNI1" s="51"/>
      <c r="BNJ1" s="51"/>
      <c r="BNK1" s="51"/>
      <c r="BNL1" s="51"/>
      <c r="BNM1" s="51"/>
      <c r="BNN1" s="51"/>
      <c r="BNO1" s="51"/>
      <c r="BNP1" s="51"/>
      <c r="BNQ1" s="51"/>
      <c r="BNR1" s="51"/>
      <c r="BNS1" s="51"/>
      <c r="BNT1" s="51"/>
      <c r="BNU1" s="51"/>
      <c r="BNV1" s="51"/>
      <c r="BNW1" s="51"/>
      <c r="BNX1" s="51"/>
      <c r="BNY1" s="51"/>
      <c r="BNZ1" s="51"/>
      <c r="BOA1" s="51"/>
      <c r="BOB1" s="51"/>
      <c r="BOC1" s="51"/>
      <c r="BOD1" s="51"/>
      <c r="BOE1" s="51"/>
      <c r="BOF1" s="51"/>
      <c r="BOG1" s="51"/>
      <c r="BOH1" s="51"/>
      <c r="BOI1" s="51"/>
      <c r="BOJ1" s="51"/>
      <c r="BOK1" s="51"/>
      <c r="BOL1" s="51"/>
      <c r="BOM1" s="51"/>
      <c r="BON1" s="51"/>
      <c r="BOO1" s="51"/>
      <c r="BOP1" s="51"/>
      <c r="BOQ1" s="51"/>
      <c r="BOR1" s="51"/>
      <c r="BOS1" s="51"/>
      <c r="BOT1" s="51"/>
      <c r="BOU1" s="51"/>
      <c r="BOV1" s="51"/>
      <c r="BOW1" s="51"/>
      <c r="BOX1" s="51"/>
      <c r="BOY1" s="51"/>
      <c r="BOZ1" s="51"/>
      <c r="BPA1" s="51"/>
      <c r="BPB1" s="51"/>
      <c r="BPC1" s="51"/>
      <c r="BPD1" s="51"/>
      <c r="BPE1" s="51"/>
      <c r="BPF1" s="51"/>
      <c r="BPG1" s="51"/>
      <c r="BPH1" s="51"/>
      <c r="BPI1" s="51"/>
      <c r="BPJ1" s="51"/>
      <c r="BPK1" s="51"/>
      <c r="BPL1" s="51"/>
      <c r="BPM1" s="51"/>
      <c r="BPN1" s="51"/>
      <c r="BPO1" s="51"/>
      <c r="BPP1" s="51"/>
      <c r="BPQ1" s="51"/>
      <c r="BPR1" s="51"/>
      <c r="BPS1" s="51"/>
      <c r="BPT1" s="51"/>
      <c r="BPU1" s="51"/>
      <c r="BPV1" s="51"/>
      <c r="BPW1" s="51"/>
      <c r="BPX1" s="51"/>
      <c r="BPY1" s="51"/>
      <c r="BPZ1" s="51"/>
      <c r="BQA1" s="51"/>
      <c r="BQB1" s="51"/>
      <c r="BQC1" s="51"/>
      <c r="BQD1" s="51"/>
      <c r="BQE1" s="51"/>
      <c r="BQF1" s="51"/>
      <c r="BQG1" s="51"/>
      <c r="BQH1" s="51"/>
      <c r="BQI1" s="51"/>
      <c r="BQJ1" s="51"/>
      <c r="BQK1" s="51"/>
      <c r="BQL1" s="51"/>
      <c r="BQM1" s="51"/>
      <c r="BQN1" s="51"/>
      <c r="BQO1" s="51"/>
      <c r="BQP1" s="51"/>
      <c r="BQQ1" s="51"/>
      <c r="BQR1" s="51"/>
      <c r="BQS1" s="51"/>
      <c r="BQT1" s="51"/>
      <c r="BQU1" s="51"/>
      <c r="BQV1" s="51"/>
      <c r="BQW1" s="51"/>
      <c r="BQX1" s="51"/>
      <c r="BQY1" s="51"/>
      <c r="BQZ1" s="51"/>
      <c r="BRA1" s="51"/>
      <c r="BRB1" s="51"/>
      <c r="BRC1" s="51"/>
      <c r="BRD1" s="51"/>
      <c r="BRE1" s="51"/>
      <c r="BRF1" s="51"/>
      <c r="BRG1" s="51"/>
      <c r="BRH1" s="51"/>
      <c r="BRI1" s="51"/>
      <c r="BRJ1" s="51"/>
      <c r="BRK1" s="51"/>
      <c r="BRL1" s="51"/>
      <c r="BRM1" s="51"/>
      <c r="BRN1" s="51"/>
      <c r="BRO1" s="51"/>
      <c r="BRP1" s="51"/>
      <c r="BRQ1" s="51"/>
      <c r="BRR1" s="51"/>
      <c r="BRS1" s="51"/>
      <c r="BRT1" s="51"/>
      <c r="BRU1" s="51"/>
      <c r="BRV1" s="51"/>
      <c r="BRW1" s="51"/>
      <c r="BRX1" s="51"/>
      <c r="BRY1" s="51"/>
      <c r="BRZ1" s="51"/>
      <c r="BSA1" s="51"/>
      <c r="BSB1" s="51"/>
      <c r="BSC1" s="51"/>
      <c r="BSD1" s="51"/>
      <c r="BSE1" s="51"/>
      <c r="BSF1" s="51"/>
      <c r="BSG1" s="51"/>
      <c r="BSH1" s="51"/>
      <c r="BSI1" s="51"/>
      <c r="BSJ1" s="51"/>
      <c r="BSK1" s="51"/>
      <c r="BSL1" s="51"/>
      <c r="BSM1" s="51"/>
      <c r="BSN1" s="51"/>
      <c r="BSO1" s="51"/>
      <c r="BSP1" s="51"/>
      <c r="BSQ1" s="51"/>
      <c r="BSR1" s="51"/>
      <c r="BSS1" s="51"/>
      <c r="BST1" s="51"/>
      <c r="BSU1" s="51"/>
      <c r="BSV1" s="51"/>
      <c r="BSW1" s="51"/>
      <c r="BSX1" s="51"/>
      <c r="BSY1" s="51"/>
      <c r="BSZ1" s="51"/>
      <c r="BTA1" s="51"/>
      <c r="BTB1" s="51"/>
      <c r="BTC1" s="51"/>
      <c r="BTD1" s="51"/>
      <c r="BTE1" s="51"/>
      <c r="BTF1" s="51"/>
      <c r="BTG1" s="51"/>
      <c r="BTH1" s="51"/>
      <c r="BTI1" s="51"/>
      <c r="BTJ1" s="51"/>
      <c r="BTK1" s="51"/>
      <c r="BTL1" s="51"/>
      <c r="BTM1" s="51"/>
      <c r="BTN1" s="51"/>
      <c r="BTO1" s="51"/>
      <c r="BTP1" s="51"/>
      <c r="BTQ1" s="51"/>
      <c r="BTR1" s="51"/>
      <c r="BTS1" s="51"/>
      <c r="BTT1" s="51"/>
      <c r="BTU1" s="51"/>
      <c r="BTV1" s="51"/>
      <c r="BTW1" s="51"/>
      <c r="BTX1" s="51"/>
      <c r="BTY1" s="51"/>
      <c r="BTZ1" s="51"/>
      <c r="BUA1" s="51"/>
      <c r="BUB1" s="51"/>
      <c r="BUC1" s="51"/>
      <c r="BUD1" s="51"/>
      <c r="BUE1" s="51"/>
      <c r="BUF1" s="51"/>
      <c r="BUG1" s="51"/>
      <c r="BUH1" s="51"/>
      <c r="BUI1" s="51"/>
      <c r="BUJ1" s="51"/>
      <c r="BUK1" s="51"/>
      <c r="BUL1" s="51"/>
      <c r="BUM1" s="51"/>
      <c r="BUN1" s="51"/>
      <c r="BUO1" s="51"/>
      <c r="BUP1" s="51"/>
      <c r="BUQ1" s="51"/>
      <c r="BUR1" s="51"/>
      <c r="BUS1" s="51"/>
      <c r="BUT1" s="51"/>
      <c r="BUU1" s="51"/>
      <c r="BUV1" s="51"/>
      <c r="BUW1" s="51"/>
      <c r="BUX1" s="51"/>
      <c r="BUY1" s="51"/>
      <c r="BUZ1" s="51"/>
      <c r="BVA1" s="51"/>
      <c r="BVB1" s="51"/>
      <c r="BVC1" s="51"/>
      <c r="BVD1" s="51"/>
      <c r="BVE1" s="51"/>
      <c r="BVF1" s="51"/>
      <c r="BVG1" s="51"/>
      <c r="BVH1" s="51"/>
      <c r="BVI1" s="51"/>
      <c r="BVJ1" s="51"/>
      <c r="BVK1" s="51"/>
      <c r="BVL1" s="51"/>
      <c r="BVM1" s="51"/>
      <c r="BVN1" s="51"/>
      <c r="BVO1" s="51"/>
      <c r="BVP1" s="51"/>
      <c r="BVQ1" s="51"/>
      <c r="BVR1" s="51"/>
      <c r="BVS1" s="51"/>
      <c r="BVT1" s="51"/>
      <c r="BVU1" s="51"/>
      <c r="BVV1" s="51"/>
      <c r="BVW1" s="51"/>
      <c r="BVX1" s="51"/>
      <c r="BVY1" s="51"/>
      <c r="BVZ1" s="51"/>
      <c r="BWA1" s="51"/>
      <c r="BWB1" s="51"/>
      <c r="BWC1" s="51"/>
      <c r="BWD1" s="51"/>
      <c r="BWE1" s="51"/>
      <c r="BWF1" s="51"/>
      <c r="BWG1" s="51"/>
      <c r="BWH1" s="51"/>
      <c r="BWI1" s="51"/>
      <c r="BWJ1" s="51"/>
      <c r="BWK1" s="51"/>
      <c r="BWL1" s="51"/>
      <c r="BWM1" s="51"/>
      <c r="BWN1" s="51"/>
      <c r="BWO1" s="51"/>
      <c r="BWP1" s="51"/>
      <c r="BWQ1" s="51"/>
      <c r="BWR1" s="51"/>
      <c r="BWS1" s="51"/>
      <c r="BWT1" s="51"/>
      <c r="BWU1" s="51"/>
      <c r="BWV1" s="51"/>
      <c r="BWW1" s="51"/>
      <c r="BWX1" s="51"/>
      <c r="BWY1" s="51"/>
      <c r="BWZ1" s="51"/>
      <c r="BXA1" s="51"/>
      <c r="BXB1" s="51"/>
      <c r="BXC1" s="51"/>
      <c r="BXD1" s="51"/>
      <c r="BXE1" s="51"/>
      <c r="BXF1" s="51"/>
      <c r="BXG1" s="51"/>
      <c r="BXH1" s="51"/>
      <c r="BXI1" s="51"/>
      <c r="BXJ1" s="51"/>
      <c r="BXK1" s="51"/>
      <c r="BXL1" s="51"/>
      <c r="BXM1" s="51"/>
      <c r="BXN1" s="51"/>
      <c r="BXO1" s="51"/>
      <c r="BXP1" s="51"/>
      <c r="BXQ1" s="51"/>
      <c r="BXR1" s="51"/>
      <c r="BXS1" s="51"/>
      <c r="BXT1" s="51"/>
      <c r="BXU1" s="51"/>
      <c r="BXV1" s="51"/>
      <c r="BXW1" s="51"/>
      <c r="BXX1" s="51"/>
      <c r="BXY1" s="51"/>
      <c r="BXZ1" s="51"/>
      <c r="BYA1" s="51"/>
      <c r="BYB1" s="51"/>
      <c r="BYC1" s="51"/>
      <c r="BYD1" s="51"/>
      <c r="BYE1" s="51"/>
      <c r="BYF1" s="51"/>
      <c r="BYG1" s="51"/>
      <c r="BYH1" s="51"/>
      <c r="BYI1" s="51"/>
      <c r="BYJ1" s="51"/>
      <c r="BYK1" s="51"/>
      <c r="BYL1" s="51"/>
      <c r="BYM1" s="51"/>
      <c r="BYN1" s="51"/>
      <c r="BYO1" s="51"/>
      <c r="BYP1" s="51"/>
      <c r="BYQ1" s="51"/>
      <c r="BYR1" s="51"/>
      <c r="BYS1" s="51"/>
      <c r="BYT1" s="51"/>
      <c r="BYU1" s="51"/>
      <c r="BYV1" s="51"/>
      <c r="BYW1" s="51"/>
      <c r="BYX1" s="51"/>
      <c r="BYY1" s="51"/>
      <c r="BYZ1" s="51"/>
      <c r="BZA1" s="51"/>
      <c r="BZB1" s="51"/>
      <c r="BZC1" s="51"/>
      <c r="BZD1" s="51"/>
      <c r="BZE1" s="51"/>
      <c r="BZF1" s="51"/>
      <c r="BZG1" s="51"/>
      <c r="BZH1" s="51"/>
      <c r="BZI1" s="51"/>
      <c r="BZJ1" s="51"/>
      <c r="BZK1" s="51"/>
      <c r="BZL1" s="51"/>
      <c r="BZM1" s="51"/>
      <c r="BZN1" s="51"/>
      <c r="BZO1" s="51"/>
      <c r="BZP1" s="51"/>
      <c r="BZQ1" s="51"/>
      <c r="BZR1" s="51"/>
      <c r="BZS1" s="51"/>
      <c r="BZT1" s="51"/>
      <c r="BZU1" s="51"/>
      <c r="BZV1" s="51"/>
      <c r="BZW1" s="51"/>
      <c r="BZX1" s="51"/>
      <c r="BZY1" s="51"/>
      <c r="BZZ1" s="51"/>
      <c r="CAA1" s="51"/>
      <c r="CAB1" s="51"/>
      <c r="CAC1" s="51"/>
      <c r="CAD1" s="51"/>
      <c r="CAE1" s="51"/>
      <c r="CAF1" s="51"/>
      <c r="CAG1" s="51"/>
      <c r="CAH1" s="51"/>
      <c r="CAI1" s="51"/>
      <c r="CAJ1" s="51"/>
      <c r="CAK1" s="51"/>
      <c r="CAL1" s="51"/>
      <c r="CAM1" s="51"/>
      <c r="CAN1" s="51"/>
      <c r="CAO1" s="51"/>
      <c r="CAP1" s="51"/>
      <c r="CAQ1" s="51"/>
      <c r="CAR1" s="51"/>
      <c r="CAS1" s="51"/>
      <c r="CAT1" s="51"/>
      <c r="CAU1" s="51"/>
      <c r="CAV1" s="51"/>
      <c r="CAW1" s="51"/>
      <c r="CAX1" s="51"/>
      <c r="CAY1" s="51"/>
      <c r="CAZ1" s="51"/>
      <c r="CBA1" s="51"/>
      <c r="CBB1" s="51"/>
      <c r="CBC1" s="51"/>
      <c r="CBD1" s="51"/>
      <c r="CBE1" s="51"/>
      <c r="CBF1" s="51"/>
      <c r="CBG1" s="51"/>
      <c r="CBH1" s="51"/>
      <c r="CBI1" s="51"/>
      <c r="CBJ1" s="51"/>
      <c r="CBK1" s="51"/>
      <c r="CBL1" s="51"/>
      <c r="CBM1" s="51"/>
      <c r="CBN1" s="51"/>
      <c r="CBO1" s="51"/>
      <c r="CBP1" s="51"/>
      <c r="CBQ1" s="51"/>
      <c r="CBR1" s="51"/>
      <c r="CBS1" s="51"/>
      <c r="CBT1" s="51"/>
      <c r="CBU1" s="51"/>
      <c r="CBV1" s="51"/>
      <c r="CBW1" s="51"/>
      <c r="CBX1" s="51"/>
      <c r="CBY1" s="51"/>
      <c r="CBZ1" s="51"/>
      <c r="CCA1" s="51"/>
      <c r="CCB1" s="51"/>
      <c r="CCC1" s="51"/>
      <c r="CCD1" s="51"/>
      <c r="CCE1" s="51"/>
      <c r="CCF1" s="51"/>
      <c r="CCG1" s="51"/>
      <c r="CCH1" s="51"/>
      <c r="CCI1" s="51"/>
      <c r="CCJ1" s="51"/>
      <c r="CCK1" s="51"/>
      <c r="CCL1" s="51"/>
      <c r="CCM1" s="51"/>
      <c r="CCN1" s="51"/>
      <c r="CCO1" s="51"/>
      <c r="CCP1" s="51"/>
      <c r="CCQ1" s="51"/>
      <c r="CCR1" s="51"/>
      <c r="CCS1" s="51"/>
      <c r="CCT1" s="51"/>
      <c r="CCU1" s="51"/>
      <c r="CCV1" s="51"/>
      <c r="CCW1" s="51"/>
      <c r="CCX1" s="51"/>
      <c r="CCY1" s="51"/>
      <c r="CCZ1" s="51"/>
      <c r="CDA1" s="51"/>
      <c r="CDB1" s="51"/>
      <c r="CDC1" s="51"/>
      <c r="CDD1" s="51"/>
      <c r="CDE1" s="51"/>
      <c r="CDF1" s="51"/>
      <c r="CDG1" s="51"/>
      <c r="CDH1" s="51"/>
      <c r="CDI1" s="51"/>
      <c r="CDJ1" s="51"/>
      <c r="CDK1" s="51"/>
      <c r="CDL1" s="51"/>
      <c r="CDM1" s="51"/>
      <c r="CDN1" s="51"/>
      <c r="CDO1" s="51"/>
      <c r="CDP1" s="51"/>
      <c r="CDQ1" s="51"/>
      <c r="CDR1" s="51"/>
      <c r="CDS1" s="51"/>
      <c r="CDT1" s="51"/>
      <c r="CDU1" s="51"/>
      <c r="CDV1" s="51"/>
      <c r="CDW1" s="51"/>
      <c r="CDX1" s="51"/>
      <c r="CDY1" s="51"/>
      <c r="CDZ1" s="51"/>
      <c r="CEA1" s="51"/>
      <c r="CEB1" s="51"/>
      <c r="CEC1" s="51"/>
      <c r="CED1" s="51"/>
      <c r="CEE1" s="51"/>
      <c r="CEF1" s="51"/>
      <c r="CEG1" s="51"/>
      <c r="CEH1" s="51"/>
      <c r="CEI1" s="51"/>
      <c r="CEJ1" s="51"/>
      <c r="CEK1" s="51"/>
      <c r="CEL1" s="51"/>
      <c r="CEM1" s="51"/>
      <c r="CEN1" s="51"/>
      <c r="CEO1" s="51"/>
      <c r="CEP1" s="51"/>
      <c r="CEQ1" s="51"/>
      <c r="CER1" s="51"/>
      <c r="CES1" s="51"/>
      <c r="CET1" s="51"/>
      <c r="CEU1" s="51"/>
      <c r="CEV1" s="51"/>
      <c r="CEW1" s="51"/>
      <c r="CEX1" s="51"/>
      <c r="CEY1" s="51"/>
      <c r="CEZ1" s="51"/>
      <c r="CFA1" s="51"/>
      <c r="CFB1" s="51"/>
      <c r="CFC1" s="51"/>
      <c r="CFD1" s="51"/>
      <c r="CFE1" s="51"/>
      <c r="CFF1" s="51"/>
      <c r="CFG1" s="51"/>
      <c r="CFH1" s="51"/>
      <c r="CFI1" s="51"/>
      <c r="CFJ1" s="51"/>
      <c r="CFK1" s="51"/>
      <c r="CFL1" s="51"/>
      <c r="CFM1" s="51"/>
      <c r="CFN1" s="51"/>
      <c r="CFO1" s="51"/>
      <c r="CFP1" s="51"/>
      <c r="CFQ1" s="51"/>
      <c r="CFR1" s="51"/>
      <c r="CFS1" s="51"/>
      <c r="CFT1" s="51"/>
      <c r="CFU1" s="51"/>
      <c r="CFV1" s="51"/>
      <c r="CFW1" s="51"/>
      <c r="CFX1" s="51"/>
      <c r="CFY1" s="51"/>
      <c r="CFZ1" s="51"/>
      <c r="CGA1" s="51"/>
      <c r="CGB1" s="51"/>
      <c r="CGC1" s="51"/>
      <c r="CGD1" s="51"/>
      <c r="CGE1" s="51"/>
      <c r="CGF1" s="51"/>
      <c r="CGG1" s="51"/>
      <c r="CGH1" s="51"/>
      <c r="CGI1" s="51"/>
      <c r="CGJ1" s="51"/>
      <c r="CGK1" s="51"/>
      <c r="CGL1" s="51"/>
      <c r="CGM1" s="51"/>
      <c r="CGN1" s="51"/>
      <c r="CGO1" s="51"/>
      <c r="CGP1" s="51"/>
      <c r="CGQ1" s="51"/>
      <c r="CGR1" s="51"/>
      <c r="CGS1" s="51"/>
      <c r="CGT1" s="51"/>
      <c r="CGU1" s="51"/>
      <c r="CGV1" s="51"/>
      <c r="CGW1" s="51"/>
      <c r="CGX1" s="51"/>
      <c r="CGY1" s="51"/>
      <c r="CGZ1" s="51"/>
      <c r="CHA1" s="51"/>
      <c r="CHB1" s="51"/>
      <c r="CHC1" s="51"/>
      <c r="CHD1" s="51"/>
      <c r="CHE1" s="51"/>
      <c r="CHF1" s="51"/>
      <c r="CHG1" s="51"/>
      <c r="CHH1" s="51"/>
      <c r="CHI1" s="51"/>
      <c r="CHJ1" s="51"/>
      <c r="CHK1" s="51"/>
      <c r="CHL1" s="51"/>
      <c r="CHM1" s="51"/>
      <c r="CHN1" s="51"/>
      <c r="CHO1" s="51"/>
      <c r="CHP1" s="51"/>
      <c r="CHQ1" s="51"/>
      <c r="CHR1" s="51"/>
      <c r="CHS1" s="51"/>
      <c r="CHT1" s="51"/>
      <c r="CHU1" s="51"/>
      <c r="CHV1" s="51"/>
      <c r="CHW1" s="51"/>
      <c r="CHX1" s="51"/>
      <c r="CHY1" s="51"/>
      <c r="CHZ1" s="51"/>
      <c r="CIA1" s="51"/>
      <c r="CIB1" s="51"/>
      <c r="CIC1" s="51"/>
      <c r="CID1" s="51"/>
      <c r="CIE1" s="51"/>
      <c r="CIF1" s="51"/>
      <c r="CIG1" s="51"/>
      <c r="CIH1" s="51"/>
      <c r="CII1" s="51"/>
      <c r="CIJ1" s="51"/>
      <c r="CIK1" s="51"/>
      <c r="CIL1" s="51"/>
      <c r="CIM1" s="51"/>
      <c r="CIN1" s="51"/>
      <c r="CIO1" s="51"/>
      <c r="CIP1" s="51"/>
      <c r="CIQ1" s="51"/>
      <c r="CIR1" s="51"/>
      <c r="CIS1" s="51"/>
      <c r="CIT1" s="51"/>
      <c r="CIU1" s="51"/>
      <c r="CIV1" s="51"/>
      <c r="CIW1" s="51"/>
      <c r="CIX1" s="51"/>
      <c r="CIY1" s="51"/>
      <c r="CIZ1" s="51"/>
      <c r="CJA1" s="51"/>
      <c r="CJB1" s="51"/>
      <c r="CJC1" s="51"/>
      <c r="CJD1" s="51"/>
      <c r="CJE1" s="51"/>
      <c r="CJF1" s="51"/>
      <c r="CJG1" s="51"/>
      <c r="CJH1" s="51"/>
      <c r="CJI1" s="51"/>
      <c r="CJJ1" s="51"/>
      <c r="CJK1" s="51"/>
      <c r="CJL1" s="51"/>
      <c r="CJM1" s="51"/>
      <c r="CJN1" s="51"/>
      <c r="CJO1" s="51"/>
      <c r="CJP1" s="51"/>
      <c r="CJQ1" s="51"/>
      <c r="CJR1" s="51"/>
      <c r="CJS1" s="51"/>
      <c r="CJT1" s="51"/>
      <c r="CJU1" s="51"/>
      <c r="CJV1" s="51"/>
      <c r="CJW1" s="51"/>
      <c r="CJX1" s="51"/>
      <c r="CJY1" s="51"/>
      <c r="CJZ1" s="51"/>
      <c r="CKA1" s="51"/>
      <c r="CKB1" s="51"/>
      <c r="CKC1" s="51"/>
      <c r="CKD1" s="51"/>
      <c r="CKE1" s="51"/>
      <c r="CKF1" s="51"/>
      <c r="CKG1" s="51"/>
      <c r="CKH1" s="51"/>
      <c r="CKI1" s="51"/>
      <c r="CKJ1" s="51"/>
      <c r="CKK1" s="51"/>
      <c r="CKL1" s="51"/>
      <c r="CKM1" s="51"/>
      <c r="CKN1" s="51"/>
      <c r="CKO1" s="51"/>
      <c r="CKP1" s="51"/>
      <c r="CKQ1" s="51"/>
      <c r="CKR1" s="51"/>
      <c r="CKS1" s="51"/>
      <c r="CKT1" s="51"/>
      <c r="CKU1" s="51"/>
      <c r="CKV1" s="51"/>
      <c r="CKW1" s="51"/>
      <c r="CKX1" s="51"/>
      <c r="CKY1" s="51"/>
      <c r="CKZ1" s="51"/>
      <c r="CLA1" s="51"/>
      <c r="CLB1" s="51"/>
      <c r="CLC1" s="51"/>
      <c r="CLD1" s="51"/>
      <c r="CLE1" s="51"/>
      <c r="CLF1" s="51"/>
      <c r="CLG1" s="51"/>
      <c r="CLH1" s="51"/>
      <c r="CLI1" s="51"/>
      <c r="CLJ1" s="51"/>
      <c r="CLK1" s="51"/>
      <c r="CLL1" s="51"/>
      <c r="CLM1" s="51"/>
      <c r="CLN1" s="51"/>
      <c r="CLO1" s="51"/>
      <c r="CLP1" s="51"/>
      <c r="CLQ1" s="51"/>
      <c r="CLR1" s="51"/>
      <c r="CLS1" s="51"/>
      <c r="CLT1" s="51"/>
      <c r="CLU1" s="51"/>
      <c r="CLV1" s="51"/>
      <c r="CLW1" s="51"/>
      <c r="CLX1" s="51"/>
      <c r="CLY1" s="51"/>
      <c r="CLZ1" s="51"/>
      <c r="CMA1" s="51"/>
      <c r="CMB1" s="51"/>
      <c r="CMC1" s="51"/>
      <c r="CMD1" s="51"/>
      <c r="CME1" s="51"/>
      <c r="CMF1" s="51"/>
      <c r="CMG1" s="51"/>
      <c r="CMH1" s="51"/>
      <c r="CMI1" s="51"/>
      <c r="CMJ1" s="51"/>
      <c r="CMK1" s="51"/>
      <c r="CML1" s="51"/>
      <c r="CMM1" s="51"/>
      <c r="CMN1" s="51"/>
      <c r="CMO1" s="51"/>
      <c r="CMP1" s="51"/>
      <c r="CMQ1" s="51"/>
      <c r="CMR1" s="51"/>
      <c r="CMS1" s="51"/>
      <c r="CMT1" s="51"/>
      <c r="CMU1" s="51"/>
      <c r="CMV1" s="51"/>
      <c r="CMW1" s="51"/>
      <c r="CMX1" s="51"/>
      <c r="CMY1" s="51"/>
      <c r="CMZ1" s="51"/>
      <c r="CNA1" s="51"/>
      <c r="CNB1" s="51"/>
      <c r="CNC1" s="51"/>
      <c r="CND1" s="51"/>
      <c r="CNE1" s="51"/>
      <c r="CNF1" s="51"/>
      <c r="CNG1" s="51"/>
      <c r="CNH1" s="51"/>
      <c r="CNI1" s="51"/>
      <c r="CNJ1" s="51"/>
      <c r="CNK1" s="51"/>
      <c r="CNL1" s="51"/>
      <c r="CNM1" s="51"/>
      <c r="CNN1" s="51"/>
      <c r="CNO1" s="51"/>
      <c r="CNP1" s="51"/>
      <c r="CNQ1" s="51"/>
      <c r="CNR1" s="51"/>
      <c r="CNS1" s="51"/>
      <c r="CNT1" s="51"/>
      <c r="CNU1" s="51"/>
      <c r="CNV1" s="51"/>
      <c r="CNW1" s="51"/>
      <c r="CNX1" s="51"/>
      <c r="CNY1" s="51"/>
      <c r="CNZ1" s="51"/>
      <c r="COA1" s="51"/>
      <c r="COB1" s="51"/>
      <c r="COC1" s="51"/>
      <c r="COD1" s="51"/>
      <c r="COE1" s="51"/>
      <c r="COF1" s="51"/>
      <c r="COG1" s="51"/>
      <c r="COH1" s="51"/>
      <c r="COI1" s="51"/>
      <c r="COJ1" s="51"/>
      <c r="COK1" s="51"/>
      <c r="COL1" s="51"/>
      <c r="COM1" s="51"/>
      <c r="CON1" s="51"/>
      <c r="COO1" s="51"/>
      <c r="COP1" s="51"/>
      <c r="COQ1" s="51"/>
      <c r="COR1" s="51"/>
      <c r="COS1" s="51"/>
      <c r="COT1" s="51"/>
      <c r="COU1" s="51"/>
      <c r="COV1" s="51"/>
      <c r="COW1" s="51"/>
      <c r="COX1" s="51"/>
      <c r="COY1" s="51"/>
      <c r="COZ1" s="51"/>
      <c r="CPA1" s="51"/>
      <c r="CPB1" s="51"/>
      <c r="CPC1" s="51"/>
      <c r="CPD1" s="51"/>
      <c r="CPE1" s="51"/>
      <c r="CPF1" s="51"/>
      <c r="CPG1" s="51"/>
      <c r="CPH1" s="51"/>
      <c r="CPI1" s="51"/>
      <c r="CPJ1" s="51"/>
      <c r="CPK1" s="51"/>
      <c r="CPL1" s="51"/>
      <c r="CPM1" s="51"/>
      <c r="CPN1" s="51"/>
      <c r="CPO1" s="51"/>
      <c r="CPP1" s="51"/>
      <c r="CPQ1" s="51"/>
      <c r="CPR1" s="51"/>
      <c r="CPS1" s="51"/>
      <c r="CPT1" s="51"/>
      <c r="CPU1" s="51"/>
      <c r="CPV1" s="51"/>
      <c r="CPW1" s="51"/>
      <c r="CPX1" s="51"/>
      <c r="CPY1" s="51"/>
      <c r="CPZ1" s="51"/>
      <c r="CQA1" s="51"/>
      <c r="CQB1" s="51"/>
      <c r="CQC1" s="51"/>
      <c r="CQD1" s="51"/>
      <c r="CQE1" s="51"/>
      <c r="CQF1" s="51"/>
      <c r="CQG1" s="51"/>
      <c r="CQH1" s="51"/>
      <c r="CQI1" s="51"/>
      <c r="CQJ1" s="51"/>
      <c r="CQK1" s="51"/>
      <c r="CQL1" s="51"/>
      <c r="CQM1" s="51"/>
      <c r="CQN1" s="51"/>
      <c r="CQO1" s="51"/>
      <c r="CQP1" s="51"/>
      <c r="CQQ1" s="51"/>
      <c r="CQR1" s="51"/>
      <c r="CQS1" s="51"/>
      <c r="CQT1" s="51"/>
      <c r="CQU1" s="51"/>
      <c r="CQV1" s="51"/>
      <c r="CQW1" s="51"/>
      <c r="CQX1" s="51"/>
      <c r="CQY1" s="51"/>
      <c r="CQZ1" s="51"/>
      <c r="CRA1" s="51"/>
      <c r="CRB1" s="51"/>
      <c r="CRC1" s="51"/>
      <c r="CRD1" s="51"/>
      <c r="CRE1" s="51"/>
      <c r="CRF1" s="51"/>
      <c r="CRG1" s="51"/>
      <c r="CRH1" s="51"/>
      <c r="CRI1" s="51"/>
      <c r="CRJ1" s="51"/>
      <c r="CRK1" s="51"/>
      <c r="CRL1" s="51"/>
      <c r="CRM1" s="51"/>
      <c r="CRN1" s="51"/>
      <c r="CRO1" s="51"/>
      <c r="CRP1" s="51"/>
      <c r="CRQ1" s="51"/>
      <c r="CRR1" s="51"/>
      <c r="CRS1" s="51"/>
      <c r="CRT1" s="51"/>
      <c r="CRU1" s="51"/>
      <c r="CRV1" s="51"/>
      <c r="CRW1" s="51"/>
      <c r="CRX1" s="51"/>
      <c r="CRY1" s="51"/>
      <c r="CRZ1" s="51"/>
      <c r="CSA1" s="51"/>
      <c r="CSB1" s="51"/>
      <c r="CSC1" s="51"/>
      <c r="CSD1" s="51"/>
      <c r="CSE1" s="51"/>
      <c r="CSF1" s="51"/>
      <c r="CSG1" s="51"/>
      <c r="CSH1" s="51"/>
      <c r="CSI1" s="51"/>
      <c r="CSJ1" s="51"/>
      <c r="CSK1" s="51"/>
      <c r="CSL1" s="51"/>
      <c r="CSM1" s="51"/>
      <c r="CSN1" s="51"/>
      <c r="CSO1" s="51"/>
      <c r="CSP1" s="51"/>
      <c r="CSQ1" s="51"/>
      <c r="CSR1" s="51"/>
      <c r="CSS1" s="51"/>
      <c r="CST1" s="51"/>
      <c r="CSU1" s="51"/>
      <c r="CSV1" s="51"/>
      <c r="CSW1" s="51"/>
      <c r="CSX1" s="51"/>
      <c r="CSY1" s="51"/>
      <c r="CSZ1" s="51"/>
      <c r="CTA1" s="51"/>
      <c r="CTB1" s="51"/>
      <c r="CTC1" s="51"/>
      <c r="CTD1" s="51"/>
      <c r="CTE1" s="51"/>
      <c r="CTF1" s="51"/>
      <c r="CTG1" s="51"/>
      <c r="CTH1" s="51"/>
      <c r="CTI1" s="51"/>
      <c r="CTJ1" s="51"/>
      <c r="CTK1" s="51"/>
      <c r="CTL1" s="51"/>
      <c r="CTM1" s="51"/>
      <c r="CTN1" s="51"/>
      <c r="CTO1" s="51"/>
      <c r="CTP1" s="51"/>
      <c r="CTQ1" s="51"/>
      <c r="CTR1" s="51"/>
      <c r="CTS1" s="51"/>
      <c r="CTT1" s="51"/>
      <c r="CTU1" s="51"/>
      <c r="CTV1" s="51"/>
      <c r="CTW1" s="51"/>
      <c r="CTX1" s="51"/>
      <c r="CTY1" s="51"/>
      <c r="CTZ1" s="51"/>
      <c r="CUA1" s="51"/>
      <c r="CUB1" s="51"/>
      <c r="CUC1" s="51"/>
      <c r="CUD1" s="51"/>
      <c r="CUE1" s="51"/>
      <c r="CUF1" s="51"/>
      <c r="CUG1" s="51"/>
      <c r="CUH1" s="51"/>
      <c r="CUI1" s="51"/>
      <c r="CUJ1" s="51"/>
      <c r="CUK1" s="51"/>
      <c r="CUL1" s="51"/>
      <c r="CUM1" s="51"/>
      <c r="CUN1" s="51"/>
      <c r="CUO1" s="51"/>
      <c r="CUP1" s="51"/>
      <c r="CUQ1" s="51"/>
      <c r="CUR1" s="51"/>
      <c r="CUS1" s="51"/>
      <c r="CUT1" s="51"/>
      <c r="CUU1" s="51"/>
      <c r="CUV1" s="51"/>
      <c r="CUW1" s="51"/>
      <c r="CUX1" s="51"/>
      <c r="CUY1" s="51"/>
      <c r="CUZ1" s="51"/>
      <c r="CVA1" s="51"/>
      <c r="CVB1" s="51"/>
      <c r="CVC1" s="51"/>
      <c r="CVD1" s="51"/>
      <c r="CVE1" s="51"/>
      <c r="CVF1" s="51"/>
      <c r="CVG1" s="51"/>
      <c r="CVH1" s="51"/>
      <c r="CVI1" s="51"/>
      <c r="CVJ1" s="51"/>
      <c r="CVK1" s="51"/>
      <c r="CVL1" s="51"/>
      <c r="CVM1" s="51"/>
      <c r="CVN1" s="51"/>
      <c r="CVO1" s="51"/>
      <c r="CVP1" s="51"/>
      <c r="CVQ1" s="51"/>
      <c r="CVR1" s="51"/>
      <c r="CVS1" s="51"/>
      <c r="CVT1" s="51"/>
      <c r="CVU1" s="51"/>
      <c r="CVV1" s="51"/>
      <c r="CVW1" s="51"/>
      <c r="CVX1" s="51"/>
      <c r="CVY1" s="51"/>
      <c r="CVZ1" s="51"/>
      <c r="CWA1" s="51"/>
      <c r="CWB1" s="51"/>
      <c r="CWC1" s="51"/>
      <c r="CWD1" s="51"/>
      <c r="CWE1" s="51"/>
      <c r="CWF1" s="51"/>
      <c r="CWG1" s="51"/>
      <c r="CWH1" s="51"/>
      <c r="CWI1" s="51"/>
      <c r="CWJ1" s="51"/>
      <c r="CWK1" s="51"/>
      <c r="CWL1" s="51"/>
      <c r="CWM1" s="51"/>
      <c r="CWN1" s="51"/>
      <c r="CWO1" s="51"/>
      <c r="CWP1" s="51"/>
      <c r="CWQ1" s="51"/>
      <c r="CWR1" s="51"/>
      <c r="CWS1" s="51"/>
      <c r="CWT1" s="51"/>
      <c r="CWU1" s="51"/>
      <c r="CWV1" s="51"/>
      <c r="CWW1" s="51"/>
      <c r="CWX1" s="51"/>
      <c r="CWY1" s="51"/>
      <c r="CWZ1" s="51"/>
      <c r="CXA1" s="51"/>
      <c r="CXB1" s="51"/>
      <c r="CXC1" s="51"/>
      <c r="CXD1" s="51"/>
      <c r="CXE1" s="51"/>
      <c r="CXF1" s="51"/>
      <c r="CXG1" s="51"/>
      <c r="CXH1" s="51"/>
      <c r="CXI1" s="51"/>
      <c r="CXJ1" s="51"/>
      <c r="CXK1" s="51"/>
      <c r="CXL1" s="51"/>
      <c r="CXM1" s="51"/>
      <c r="CXN1" s="51"/>
      <c r="CXO1" s="51"/>
      <c r="CXP1" s="51"/>
      <c r="CXQ1" s="51"/>
      <c r="CXR1" s="51"/>
      <c r="CXS1" s="51"/>
      <c r="CXT1" s="51"/>
      <c r="CXU1" s="51"/>
      <c r="CXV1" s="51"/>
      <c r="CXW1" s="51"/>
      <c r="CXX1" s="51"/>
      <c r="CXY1" s="51"/>
      <c r="CXZ1" s="51"/>
      <c r="CYA1" s="51"/>
      <c r="CYB1" s="51"/>
      <c r="CYC1" s="51"/>
      <c r="CYD1" s="51"/>
      <c r="CYE1" s="51"/>
      <c r="CYF1" s="51"/>
      <c r="CYG1" s="51"/>
      <c r="CYH1" s="51"/>
      <c r="CYI1" s="51"/>
      <c r="CYJ1" s="51"/>
      <c r="CYK1" s="51"/>
      <c r="CYL1" s="51"/>
      <c r="CYM1" s="51"/>
      <c r="CYN1" s="51"/>
      <c r="CYO1" s="51"/>
      <c r="CYP1" s="51"/>
      <c r="CYQ1" s="51"/>
      <c r="CYR1" s="51"/>
      <c r="CYS1" s="51"/>
      <c r="CYT1" s="51"/>
      <c r="CYU1" s="51"/>
      <c r="CYV1" s="51"/>
      <c r="CYW1" s="51"/>
      <c r="CYX1" s="51"/>
      <c r="CYY1" s="51"/>
      <c r="CYZ1" s="51"/>
      <c r="CZA1" s="51"/>
      <c r="CZB1" s="51"/>
      <c r="CZC1" s="51"/>
      <c r="CZD1" s="51"/>
      <c r="CZE1" s="51"/>
      <c r="CZF1" s="51"/>
      <c r="CZG1" s="51"/>
      <c r="CZH1" s="51"/>
      <c r="CZI1" s="51"/>
      <c r="CZJ1" s="51"/>
      <c r="CZK1" s="51"/>
      <c r="CZL1" s="51"/>
      <c r="CZM1" s="51"/>
      <c r="CZN1" s="51"/>
      <c r="CZO1" s="51"/>
      <c r="CZP1" s="51"/>
      <c r="CZQ1" s="51"/>
      <c r="CZR1" s="51"/>
      <c r="CZS1" s="51"/>
      <c r="CZT1" s="51"/>
      <c r="CZU1" s="51"/>
      <c r="CZV1" s="51"/>
      <c r="CZW1" s="51"/>
      <c r="CZX1" s="51"/>
      <c r="CZY1" s="51"/>
      <c r="CZZ1" s="51"/>
      <c r="DAA1" s="51"/>
      <c r="DAB1" s="51"/>
      <c r="DAC1" s="51"/>
      <c r="DAD1" s="51"/>
      <c r="DAE1" s="51"/>
      <c r="DAF1" s="51"/>
      <c r="DAG1" s="51"/>
      <c r="DAH1" s="51"/>
      <c r="DAI1" s="51"/>
      <c r="DAJ1" s="51"/>
      <c r="DAK1" s="51"/>
      <c r="DAL1" s="51"/>
      <c r="DAM1" s="51"/>
      <c r="DAN1" s="51"/>
      <c r="DAO1" s="51"/>
      <c r="DAP1" s="51"/>
      <c r="DAQ1" s="51"/>
      <c r="DAR1" s="51"/>
      <c r="DAS1" s="51"/>
      <c r="DAT1" s="51"/>
      <c r="DAU1" s="51"/>
      <c r="DAV1" s="51"/>
      <c r="DAW1" s="51"/>
      <c r="DAX1" s="51"/>
      <c r="DAY1" s="51"/>
      <c r="DAZ1" s="51"/>
      <c r="DBA1" s="51"/>
      <c r="DBB1" s="51"/>
      <c r="DBC1" s="51"/>
      <c r="DBD1" s="51"/>
      <c r="DBE1" s="51"/>
      <c r="DBF1" s="51"/>
      <c r="DBG1" s="51"/>
      <c r="DBH1" s="51"/>
      <c r="DBI1" s="51"/>
      <c r="DBJ1" s="51"/>
      <c r="DBK1" s="51"/>
      <c r="DBL1" s="51"/>
      <c r="DBM1" s="51"/>
      <c r="DBN1" s="51"/>
      <c r="DBO1" s="51"/>
      <c r="DBP1" s="51"/>
      <c r="DBQ1" s="51"/>
      <c r="DBR1" s="51"/>
      <c r="DBS1" s="51"/>
      <c r="DBT1" s="51"/>
      <c r="DBU1" s="51"/>
      <c r="DBV1" s="51"/>
      <c r="DBW1" s="51"/>
      <c r="DBX1" s="51"/>
      <c r="DBY1" s="51"/>
      <c r="DBZ1" s="51"/>
      <c r="DCA1" s="51"/>
      <c r="DCB1" s="51"/>
      <c r="DCC1" s="51"/>
      <c r="DCD1" s="51"/>
      <c r="DCE1" s="51"/>
      <c r="DCF1" s="51"/>
      <c r="DCG1" s="51"/>
      <c r="DCH1" s="51"/>
      <c r="DCI1" s="51"/>
      <c r="DCJ1" s="51"/>
      <c r="DCK1" s="51"/>
      <c r="DCL1" s="51"/>
      <c r="DCM1" s="51"/>
      <c r="DCN1" s="51"/>
      <c r="DCO1" s="51"/>
      <c r="DCP1" s="51"/>
      <c r="DCQ1" s="51"/>
      <c r="DCR1" s="51"/>
      <c r="DCS1" s="51"/>
      <c r="DCT1" s="51"/>
      <c r="DCU1" s="51"/>
      <c r="DCV1" s="51"/>
      <c r="DCW1" s="51"/>
      <c r="DCX1" s="51"/>
      <c r="DCY1" s="51"/>
      <c r="DCZ1" s="51"/>
      <c r="DDA1" s="51"/>
      <c r="DDB1" s="51"/>
      <c r="DDC1" s="51"/>
      <c r="DDD1" s="51"/>
      <c r="DDE1" s="51"/>
      <c r="DDF1" s="51"/>
      <c r="DDG1" s="51"/>
      <c r="DDH1" s="51"/>
      <c r="DDI1" s="51"/>
      <c r="DDJ1" s="51"/>
      <c r="DDK1" s="51"/>
      <c r="DDL1" s="51"/>
      <c r="DDM1" s="51"/>
      <c r="DDN1" s="51"/>
      <c r="DDO1" s="51"/>
      <c r="DDP1" s="51"/>
      <c r="DDQ1" s="51"/>
      <c r="DDR1" s="51"/>
      <c r="DDS1" s="51"/>
      <c r="DDT1" s="51"/>
      <c r="DDU1" s="51"/>
      <c r="DDV1" s="51"/>
      <c r="DDW1" s="51"/>
      <c r="DDX1" s="51"/>
      <c r="DDY1" s="51"/>
      <c r="DDZ1" s="51"/>
      <c r="DEA1" s="51"/>
      <c r="DEB1" s="51"/>
      <c r="DEC1" s="51"/>
      <c r="DED1" s="51"/>
      <c r="DEE1" s="51"/>
      <c r="DEF1" s="51"/>
      <c r="DEG1" s="51"/>
      <c r="DEH1" s="51"/>
      <c r="DEI1" s="51"/>
      <c r="DEJ1" s="51"/>
      <c r="DEK1" s="51"/>
      <c r="DEL1" s="51"/>
      <c r="DEM1" s="51"/>
      <c r="DEN1" s="51"/>
      <c r="DEO1" s="51"/>
      <c r="DEP1" s="51"/>
      <c r="DEQ1" s="51"/>
      <c r="DER1" s="51"/>
      <c r="DES1" s="51"/>
      <c r="DET1" s="51"/>
      <c r="DEU1" s="51"/>
      <c r="DEV1" s="51"/>
      <c r="DEW1" s="51"/>
      <c r="DEX1" s="51"/>
      <c r="DEY1" s="51"/>
      <c r="DEZ1" s="51"/>
      <c r="DFA1" s="51"/>
      <c r="DFB1" s="51"/>
      <c r="DFC1" s="51"/>
      <c r="DFD1" s="51"/>
      <c r="DFE1" s="51"/>
      <c r="DFF1" s="51"/>
      <c r="DFG1" s="51"/>
      <c r="DFH1" s="51"/>
      <c r="DFI1" s="51"/>
      <c r="DFJ1" s="51"/>
      <c r="DFK1" s="51"/>
      <c r="DFL1" s="51"/>
      <c r="DFM1" s="51"/>
      <c r="DFN1" s="51"/>
      <c r="DFO1" s="51"/>
      <c r="DFP1" s="51"/>
      <c r="DFQ1" s="51"/>
      <c r="DFR1" s="51"/>
      <c r="DFS1" s="51"/>
      <c r="DFT1" s="51"/>
      <c r="DFU1" s="51"/>
      <c r="DFV1" s="51"/>
      <c r="DFW1" s="51"/>
      <c r="DFX1" s="51"/>
      <c r="DFY1" s="51"/>
      <c r="DFZ1" s="51"/>
      <c r="DGA1" s="51"/>
      <c r="DGB1" s="51"/>
      <c r="DGC1" s="51"/>
      <c r="DGD1" s="51"/>
      <c r="DGE1" s="51"/>
      <c r="DGF1" s="51"/>
      <c r="DGG1" s="51"/>
      <c r="DGH1" s="51"/>
      <c r="DGI1" s="51"/>
      <c r="DGJ1" s="51"/>
      <c r="DGK1" s="51"/>
      <c r="DGL1" s="51"/>
      <c r="DGM1" s="51"/>
      <c r="DGN1" s="51"/>
      <c r="DGO1" s="51"/>
      <c r="DGP1" s="51"/>
      <c r="DGQ1" s="51"/>
      <c r="DGR1" s="51"/>
      <c r="DGS1" s="51"/>
      <c r="DGT1" s="51"/>
      <c r="DGU1" s="51"/>
      <c r="DGV1" s="51"/>
      <c r="DGW1" s="51"/>
      <c r="DGX1" s="51"/>
      <c r="DGY1" s="51"/>
      <c r="DGZ1" s="51"/>
      <c r="DHA1" s="51"/>
      <c r="DHB1" s="51"/>
      <c r="DHC1" s="51"/>
      <c r="DHD1" s="51"/>
      <c r="DHE1" s="51"/>
      <c r="DHF1" s="51"/>
      <c r="DHG1" s="51"/>
      <c r="DHH1" s="51"/>
      <c r="DHI1" s="51"/>
      <c r="DHJ1" s="51"/>
      <c r="DHK1" s="51"/>
      <c r="DHL1" s="51"/>
      <c r="DHM1" s="51"/>
      <c r="DHN1" s="51"/>
      <c r="DHO1" s="51"/>
      <c r="DHP1" s="51"/>
      <c r="DHQ1" s="51"/>
      <c r="DHR1" s="51"/>
      <c r="DHS1" s="51"/>
      <c r="DHT1" s="51"/>
      <c r="DHU1" s="51"/>
      <c r="DHV1" s="51"/>
      <c r="DHW1" s="51"/>
      <c r="DHX1" s="51"/>
      <c r="DHY1" s="51"/>
      <c r="DHZ1" s="51"/>
      <c r="DIA1" s="51"/>
      <c r="DIB1" s="51"/>
      <c r="DIC1" s="51"/>
      <c r="DID1" s="51"/>
      <c r="DIE1" s="51"/>
      <c r="DIF1" s="51"/>
      <c r="DIG1" s="51"/>
      <c r="DIH1" s="51"/>
      <c r="DII1" s="51"/>
      <c r="DIJ1" s="51"/>
      <c r="DIK1" s="51"/>
      <c r="DIL1" s="51"/>
      <c r="DIM1" s="51"/>
      <c r="DIN1" s="51"/>
      <c r="DIO1" s="51"/>
      <c r="DIP1" s="51"/>
      <c r="DIQ1" s="51"/>
      <c r="DIR1" s="51"/>
      <c r="DIS1" s="51"/>
      <c r="DIT1" s="51"/>
      <c r="DIU1" s="51"/>
      <c r="DIV1" s="51"/>
      <c r="DIW1" s="51"/>
      <c r="DIX1" s="51"/>
      <c r="DIY1" s="51"/>
      <c r="DIZ1" s="51"/>
      <c r="DJA1" s="51"/>
      <c r="DJB1" s="51"/>
      <c r="DJC1" s="51"/>
      <c r="DJD1" s="51"/>
      <c r="DJE1" s="51"/>
      <c r="DJF1" s="51"/>
      <c r="DJG1" s="51"/>
      <c r="DJH1" s="51"/>
      <c r="DJI1" s="51"/>
      <c r="DJJ1" s="51"/>
      <c r="DJK1" s="51"/>
      <c r="DJL1" s="51"/>
      <c r="DJM1" s="51"/>
      <c r="DJN1" s="51"/>
      <c r="DJO1" s="51"/>
      <c r="DJP1" s="51"/>
      <c r="DJQ1" s="51"/>
      <c r="DJR1" s="51"/>
      <c r="DJS1" s="51"/>
      <c r="DJT1" s="51"/>
      <c r="DJU1" s="51"/>
      <c r="DJV1" s="51"/>
      <c r="DJW1" s="51"/>
      <c r="DJX1" s="51"/>
      <c r="DJY1" s="51"/>
      <c r="DJZ1" s="51"/>
      <c r="DKA1" s="51"/>
      <c r="DKB1" s="51"/>
      <c r="DKC1" s="51"/>
      <c r="DKD1" s="51"/>
      <c r="DKE1" s="51"/>
      <c r="DKF1" s="51"/>
      <c r="DKG1" s="51"/>
      <c r="DKH1" s="51"/>
      <c r="DKI1" s="51"/>
      <c r="DKJ1" s="51"/>
      <c r="DKK1" s="51"/>
      <c r="DKL1" s="51"/>
      <c r="DKM1" s="51"/>
      <c r="DKN1" s="51"/>
      <c r="DKO1" s="51"/>
      <c r="DKP1" s="51"/>
      <c r="DKQ1" s="51"/>
      <c r="DKR1" s="51"/>
      <c r="DKS1" s="51"/>
      <c r="DKT1" s="51"/>
      <c r="DKU1" s="51"/>
      <c r="DKV1" s="51"/>
      <c r="DKW1" s="51"/>
      <c r="DKX1" s="51"/>
      <c r="DKY1" s="51"/>
      <c r="DKZ1" s="51"/>
      <c r="DLA1" s="51"/>
      <c r="DLB1" s="51"/>
      <c r="DLC1" s="51"/>
      <c r="DLD1" s="51"/>
      <c r="DLE1" s="51"/>
      <c r="DLF1" s="51"/>
      <c r="DLG1" s="51"/>
      <c r="DLH1" s="51"/>
      <c r="DLI1" s="51"/>
      <c r="DLJ1" s="51"/>
      <c r="DLK1" s="51"/>
      <c r="DLL1" s="51"/>
      <c r="DLM1" s="51"/>
      <c r="DLN1" s="51"/>
      <c r="DLO1" s="51"/>
      <c r="DLP1" s="51"/>
      <c r="DLQ1" s="51"/>
      <c r="DLR1" s="51"/>
      <c r="DLS1" s="51"/>
      <c r="DLT1" s="51"/>
      <c r="DLU1" s="51"/>
      <c r="DLV1" s="51"/>
      <c r="DLW1" s="51"/>
      <c r="DLX1" s="51"/>
      <c r="DLY1" s="51"/>
      <c r="DLZ1" s="51"/>
      <c r="DMA1" s="51"/>
      <c r="DMB1" s="51"/>
      <c r="DMC1" s="51"/>
      <c r="DMD1" s="51"/>
      <c r="DME1" s="51"/>
      <c r="DMF1" s="51"/>
      <c r="DMG1" s="51"/>
      <c r="DMH1" s="51"/>
      <c r="DMI1" s="51"/>
      <c r="DMJ1" s="51"/>
      <c r="DMK1" s="51"/>
      <c r="DML1" s="51"/>
      <c r="DMM1" s="51"/>
      <c r="DMN1" s="51"/>
      <c r="DMO1" s="51"/>
      <c r="DMP1" s="51"/>
      <c r="DMQ1" s="51"/>
      <c r="DMR1" s="51"/>
      <c r="DMS1" s="51"/>
      <c r="DMT1" s="51"/>
      <c r="DMU1" s="51"/>
      <c r="DMV1" s="51"/>
      <c r="DMW1" s="51"/>
      <c r="DMX1" s="51"/>
      <c r="DMY1" s="51"/>
      <c r="DMZ1" s="51"/>
      <c r="DNA1" s="51"/>
      <c r="DNB1" s="51"/>
      <c r="DNC1" s="51"/>
      <c r="DND1" s="51"/>
      <c r="DNE1" s="51"/>
      <c r="DNF1" s="51"/>
      <c r="DNG1" s="51"/>
      <c r="DNH1" s="51"/>
      <c r="DNI1" s="51"/>
      <c r="DNJ1" s="51"/>
      <c r="DNK1" s="51"/>
      <c r="DNL1" s="51"/>
      <c r="DNM1" s="51"/>
      <c r="DNN1" s="51"/>
      <c r="DNO1" s="51"/>
      <c r="DNP1" s="51"/>
      <c r="DNQ1" s="51"/>
      <c r="DNR1" s="51"/>
      <c r="DNS1" s="51"/>
      <c r="DNT1" s="51"/>
      <c r="DNU1" s="51"/>
      <c r="DNV1" s="51"/>
      <c r="DNW1" s="51"/>
      <c r="DNX1" s="51"/>
      <c r="DNY1" s="51"/>
      <c r="DNZ1" s="51"/>
      <c r="DOA1" s="51"/>
      <c r="DOB1" s="51"/>
      <c r="DOC1" s="51"/>
      <c r="DOD1" s="51"/>
      <c r="DOE1" s="51"/>
      <c r="DOF1" s="51"/>
      <c r="DOG1" s="51"/>
      <c r="DOH1" s="51"/>
      <c r="DOI1" s="51"/>
      <c r="DOJ1" s="51"/>
      <c r="DOK1" s="51"/>
      <c r="DOL1" s="51"/>
      <c r="DOM1" s="51"/>
      <c r="DON1" s="51"/>
      <c r="DOO1" s="51"/>
      <c r="DOP1" s="51"/>
      <c r="DOQ1" s="51"/>
      <c r="DOR1" s="51"/>
      <c r="DOS1" s="51"/>
      <c r="DOT1" s="51"/>
      <c r="DOU1" s="51"/>
      <c r="DOV1" s="51"/>
      <c r="DOW1" s="51"/>
      <c r="DOX1" s="51"/>
      <c r="DOY1" s="51"/>
      <c r="DOZ1" s="51"/>
      <c r="DPA1" s="51"/>
      <c r="DPB1" s="51"/>
      <c r="DPC1" s="51"/>
      <c r="DPD1" s="51"/>
      <c r="DPE1" s="51"/>
      <c r="DPF1" s="51"/>
      <c r="DPG1" s="51"/>
      <c r="DPH1" s="51"/>
      <c r="DPI1" s="51"/>
      <c r="DPJ1" s="51"/>
      <c r="DPK1" s="51"/>
      <c r="DPL1" s="51"/>
      <c r="DPM1" s="51"/>
      <c r="DPN1" s="51"/>
      <c r="DPO1" s="51"/>
      <c r="DPP1" s="51"/>
      <c r="DPQ1" s="51"/>
      <c r="DPR1" s="51"/>
      <c r="DPS1" s="51"/>
      <c r="DPT1" s="51"/>
      <c r="DPU1" s="51"/>
      <c r="DPV1" s="51"/>
      <c r="DPW1" s="51"/>
      <c r="DPX1" s="51"/>
      <c r="DPY1" s="51"/>
      <c r="DPZ1" s="51"/>
      <c r="DQA1" s="51"/>
      <c r="DQB1" s="51"/>
      <c r="DQC1" s="51"/>
      <c r="DQD1" s="51"/>
      <c r="DQE1" s="51"/>
      <c r="DQF1" s="51"/>
      <c r="DQG1" s="51"/>
      <c r="DQH1" s="51"/>
      <c r="DQI1" s="51"/>
      <c r="DQJ1" s="51"/>
      <c r="DQK1" s="51"/>
      <c r="DQL1" s="51"/>
      <c r="DQM1" s="51"/>
      <c r="DQN1" s="51"/>
      <c r="DQO1" s="51"/>
      <c r="DQP1" s="51"/>
      <c r="DQQ1" s="51"/>
      <c r="DQR1" s="51"/>
      <c r="DQS1" s="51"/>
      <c r="DQT1" s="51"/>
      <c r="DQU1" s="51"/>
      <c r="DQV1" s="51"/>
      <c r="DQW1" s="51"/>
      <c r="DQX1" s="51"/>
      <c r="DQY1" s="51"/>
      <c r="DQZ1" s="51"/>
      <c r="DRA1" s="51"/>
      <c r="DRB1" s="51"/>
      <c r="DRC1" s="51"/>
      <c r="DRD1" s="51"/>
      <c r="DRE1" s="51"/>
      <c r="DRF1" s="51"/>
      <c r="DRG1" s="51"/>
      <c r="DRH1" s="51"/>
      <c r="DRI1" s="51"/>
      <c r="DRJ1" s="51"/>
      <c r="DRK1" s="51"/>
      <c r="DRL1" s="51"/>
      <c r="DRM1" s="51"/>
      <c r="DRN1" s="51"/>
      <c r="DRO1" s="51"/>
      <c r="DRP1" s="51"/>
      <c r="DRQ1" s="51"/>
      <c r="DRR1" s="51"/>
      <c r="DRS1" s="51"/>
      <c r="DRT1" s="51"/>
      <c r="DRU1" s="51"/>
      <c r="DRV1" s="51"/>
      <c r="DRW1" s="51"/>
      <c r="DRX1" s="51"/>
      <c r="DRY1" s="51"/>
      <c r="DRZ1" s="51"/>
      <c r="DSA1" s="51"/>
      <c r="DSB1" s="51"/>
      <c r="DSC1" s="51"/>
      <c r="DSD1" s="51"/>
      <c r="DSE1" s="51"/>
      <c r="DSF1" s="51"/>
      <c r="DSG1" s="51"/>
      <c r="DSH1" s="51"/>
      <c r="DSI1" s="51"/>
      <c r="DSJ1" s="51"/>
      <c r="DSK1" s="51"/>
      <c r="DSL1" s="51"/>
      <c r="DSM1" s="51"/>
      <c r="DSN1" s="51"/>
      <c r="DSO1" s="51"/>
      <c r="DSP1" s="51"/>
      <c r="DSQ1" s="51"/>
      <c r="DSR1" s="51"/>
      <c r="DSS1" s="51"/>
      <c r="DST1" s="51"/>
      <c r="DSU1" s="51"/>
      <c r="DSV1" s="51"/>
      <c r="DSW1" s="51"/>
      <c r="DSX1" s="51"/>
      <c r="DSY1" s="51"/>
      <c r="DSZ1" s="51"/>
      <c r="DTA1" s="51"/>
      <c r="DTB1" s="51"/>
      <c r="DTC1" s="51"/>
      <c r="DTD1" s="51"/>
      <c r="DTE1" s="51"/>
      <c r="DTF1" s="51"/>
      <c r="DTG1" s="51"/>
      <c r="DTH1" s="51"/>
      <c r="DTI1" s="51"/>
      <c r="DTJ1" s="51"/>
      <c r="DTK1" s="51"/>
      <c r="DTL1" s="51"/>
      <c r="DTM1" s="51"/>
      <c r="DTN1" s="51"/>
      <c r="DTO1" s="51"/>
      <c r="DTP1" s="51"/>
      <c r="DTQ1" s="51"/>
      <c r="DTR1" s="51"/>
      <c r="DTS1" s="51"/>
      <c r="DTT1" s="51"/>
      <c r="DTU1" s="51"/>
      <c r="DTV1" s="51"/>
      <c r="DTW1" s="51"/>
      <c r="DTX1" s="51"/>
      <c r="DTY1" s="51"/>
      <c r="DTZ1" s="51"/>
      <c r="DUA1" s="51"/>
      <c r="DUB1" s="51"/>
      <c r="DUC1" s="51"/>
      <c r="DUD1" s="51"/>
      <c r="DUE1" s="51"/>
      <c r="DUF1" s="51"/>
      <c r="DUG1" s="51"/>
      <c r="DUH1" s="51"/>
      <c r="DUI1" s="51"/>
      <c r="DUJ1" s="51"/>
      <c r="DUK1" s="51"/>
      <c r="DUL1" s="51"/>
      <c r="DUM1" s="51"/>
      <c r="DUN1" s="51"/>
      <c r="DUO1" s="51"/>
      <c r="DUP1" s="51"/>
      <c r="DUQ1" s="51"/>
      <c r="DUR1" s="51"/>
      <c r="DUS1" s="51"/>
      <c r="DUT1" s="51"/>
      <c r="DUU1" s="51"/>
      <c r="DUV1" s="51"/>
      <c r="DUW1" s="51"/>
      <c r="DUX1" s="51"/>
      <c r="DUY1" s="51"/>
      <c r="DUZ1" s="51"/>
      <c r="DVA1" s="51"/>
      <c r="DVB1" s="51"/>
      <c r="DVC1" s="51"/>
      <c r="DVD1" s="51"/>
      <c r="DVE1" s="51"/>
      <c r="DVF1" s="51"/>
      <c r="DVG1" s="51"/>
      <c r="DVH1" s="51"/>
      <c r="DVI1" s="51"/>
      <c r="DVJ1" s="51"/>
      <c r="DVK1" s="51"/>
      <c r="DVL1" s="51"/>
      <c r="DVM1" s="51"/>
      <c r="DVN1" s="51"/>
      <c r="DVO1" s="51"/>
      <c r="DVP1" s="51"/>
      <c r="DVQ1" s="51"/>
      <c r="DVR1" s="51"/>
      <c r="DVS1" s="51"/>
      <c r="DVT1" s="51"/>
      <c r="DVU1" s="51"/>
      <c r="DVV1" s="51"/>
      <c r="DVW1" s="51"/>
      <c r="DVX1" s="51"/>
      <c r="DVY1" s="51"/>
      <c r="DVZ1" s="51"/>
      <c r="DWA1" s="51"/>
      <c r="DWB1" s="51"/>
      <c r="DWC1" s="51"/>
      <c r="DWD1" s="51"/>
      <c r="DWE1" s="51"/>
      <c r="DWF1" s="51"/>
      <c r="DWG1" s="51"/>
      <c r="DWH1" s="51"/>
      <c r="DWI1" s="51"/>
      <c r="DWJ1" s="51"/>
      <c r="DWK1" s="51"/>
      <c r="DWL1" s="51"/>
      <c r="DWM1" s="51"/>
      <c r="DWN1" s="51"/>
      <c r="DWO1" s="51"/>
      <c r="DWP1" s="51"/>
      <c r="DWQ1" s="51"/>
      <c r="DWR1" s="51"/>
      <c r="DWS1" s="51"/>
      <c r="DWT1" s="51"/>
      <c r="DWU1" s="51"/>
      <c r="DWV1" s="51"/>
      <c r="DWW1" s="51"/>
      <c r="DWX1" s="51"/>
      <c r="DWY1" s="51"/>
      <c r="DWZ1" s="51"/>
      <c r="DXA1" s="51"/>
      <c r="DXB1" s="51"/>
      <c r="DXC1" s="51"/>
      <c r="DXD1" s="51"/>
      <c r="DXE1" s="51"/>
      <c r="DXF1" s="51"/>
      <c r="DXG1" s="51"/>
      <c r="DXH1" s="51"/>
      <c r="DXI1" s="51"/>
      <c r="DXJ1" s="51"/>
      <c r="DXK1" s="51"/>
      <c r="DXL1" s="51"/>
      <c r="DXM1" s="51"/>
      <c r="DXN1" s="51"/>
      <c r="DXO1" s="51"/>
      <c r="DXP1" s="51"/>
      <c r="DXQ1" s="51"/>
      <c r="DXR1" s="51"/>
      <c r="DXS1" s="51"/>
      <c r="DXT1" s="51"/>
      <c r="DXU1" s="51"/>
      <c r="DXV1" s="51"/>
      <c r="DXW1" s="51"/>
      <c r="DXX1" s="51"/>
      <c r="DXY1" s="51"/>
      <c r="DXZ1" s="51"/>
      <c r="DYA1" s="51"/>
      <c r="DYB1" s="51"/>
      <c r="DYC1" s="51"/>
      <c r="DYD1" s="51"/>
      <c r="DYE1" s="51"/>
      <c r="DYF1" s="51"/>
      <c r="DYG1" s="51"/>
      <c r="DYH1" s="51"/>
      <c r="DYI1" s="51"/>
      <c r="DYJ1" s="51"/>
      <c r="DYK1" s="51"/>
      <c r="DYL1" s="51"/>
      <c r="DYM1" s="51"/>
      <c r="DYN1" s="51"/>
      <c r="DYO1" s="51"/>
      <c r="DYP1" s="51"/>
      <c r="DYQ1" s="51"/>
      <c r="DYR1" s="51"/>
      <c r="DYS1" s="51"/>
      <c r="DYT1" s="51"/>
      <c r="DYU1" s="51"/>
      <c r="DYV1" s="51"/>
      <c r="DYW1" s="51"/>
      <c r="DYX1" s="51"/>
      <c r="DYY1" s="51"/>
      <c r="DYZ1" s="51"/>
      <c r="DZA1" s="51"/>
      <c r="DZB1" s="51"/>
      <c r="DZC1" s="51"/>
      <c r="DZD1" s="51"/>
      <c r="DZE1" s="51"/>
      <c r="DZF1" s="51"/>
      <c r="DZG1" s="51"/>
      <c r="DZH1" s="51"/>
      <c r="DZI1" s="51"/>
      <c r="DZJ1" s="51"/>
      <c r="DZK1" s="51"/>
      <c r="DZL1" s="51"/>
      <c r="DZM1" s="51"/>
      <c r="DZN1" s="51"/>
      <c r="DZO1" s="51"/>
      <c r="DZP1" s="51"/>
      <c r="DZQ1" s="51"/>
      <c r="DZR1" s="51"/>
      <c r="DZS1" s="51"/>
      <c r="DZT1" s="51"/>
      <c r="DZU1" s="51"/>
      <c r="DZV1" s="51"/>
      <c r="DZW1" s="51"/>
      <c r="DZX1" s="51"/>
      <c r="DZY1" s="51"/>
      <c r="DZZ1" s="51"/>
      <c r="EAA1" s="51"/>
      <c r="EAB1" s="51"/>
      <c r="EAC1" s="51"/>
      <c r="EAD1" s="51"/>
      <c r="EAE1" s="51"/>
      <c r="EAF1" s="51"/>
      <c r="EAG1" s="51"/>
      <c r="EAH1" s="51"/>
      <c r="EAI1" s="51"/>
      <c r="EAJ1" s="51"/>
      <c r="EAK1" s="51"/>
      <c r="EAL1" s="51"/>
      <c r="EAM1" s="51"/>
      <c r="EAN1" s="51"/>
      <c r="EAO1" s="51"/>
      <c r="EAP1" s="51"/>
      <c r="EAQ1" s="51"/>
      <c r="EAR1" s="51"/>
      <c r="EAS1" s="51"/>
      <c r="EAT1" s="51"/>
      <c r="EAU1" s="51"/>
      <c r="EAV1" s="51"/>
      <c r="EAW1" s="51"/>
      <c r="EAX1" s="51"/>
      <c r="EAY1" s="51"/>
      <c r="EAZ1" s="51"/>
      <c r="EBA1" s="51"/>
      <c r="EBB1" s="51"/>
      <c r="EBC1" s="51"/>
      <c r="EBD1" s="51"/>
      <c r="EBE1" s="51"/>
      <c r="EBF1" s="51"/>
      <c r="EBG1" s="51"/>
      <c r="EBH1" s="51"/>
      <c r="EBI1" s="51"/>
      <c r="EBJ1" s="51"/>
      <c r="EBK1" s="51"/>
      <c r="EBL1" s="51"/>
      <c r="EBM1" s="51"/>
      <c r="EBN1" s="51"/>
      <c r="EBO1" s="51"/>
      <c r="EBP1" s="51"/>
      <c r="EBQ1" s="51"/>
      <c r="EBR1" s="51"/>
      <c r="EBS1" s="51"/>
      <c r="EBT1" s="51"/>
      <c r="EBU1" s="51"/>
      <c r="EBV1" s="51"/>
      <c r="EBW1" s="51"/>
      <c r="EBX1" s="51"/>
      <c r="EBY1" s="51"/>
      <c r="EBZ1" s="51"/>
      <c r="ECA1" s="51"/>
      <c r="ECB1" s="51"/>
      <c r="ECC1" s="51"/>
      <c r="ECD1" s="51"/>
      <c r="ECE1" s="51"/>
      <c r="ECF1" s="51"/>
      <c r="ECG1" s="51"/>
      <c r="ECH1" s="51"/>
      <c r="ECI1" s="51"/>
      <c r="ECJ1" s="51"/>
      <c r="ECK1" s="51"/>
      <c r="ECL1" s="51"/>
      <c r="ECM1" s="51"/>
      <c r="ECN1" s="51"/>
      <c r="ECO1" s="51"/>
      <c r="ECP1" s="51"/>
      <c r="ECQ1" s="51"/>
      <c r="ECR1" s="51"/>
      <c r="ECS1" s="51"/>
      <c r="ECT1" s="51"/>
      <c r="ECU1" s="51"/>
      <c r="ECV1" s="51"/>
      <c r="ECW1" s="51"/>
      <c r="ECX1" s="51"/>
      <c r="ECY1" s="51"/>
      <c r="ECZ1" s="51"/>
      <c r="EDA1" s="51"/>
      <c r="EDB1" s="51"/>
      <c r="EDC1" s="51"/>
      <c r="EDD1" s="51"/>
      <c r="EDE1" s="51"/>
      <c r="EDF1" s="51"/>
      <c r="EDG1" s="51"/>
      <c r="EDH1" s="51"/>
      <c r="EDI1" s="51"/>
      <c r="EDJ1" s="51"/>
      <c r="EDK1" s="51"/>
      <c r="EDL1" s="51"/>
      <c r="EDM1" s="51"/>
      <c r="EDN1" s="51"/>
      <c r="EDO1" s="51"/>
      <c r="EDP1" s="51"/>
      <c r="EDQ1" s="51"/>
      <c r="EDR1" s="51"/>
      <c r="EDS1" s="51"/>
      <c r="EDT1" s="51"/>
      <c r="EDU1" s="51"/>
      <c r="EDV1" s="51"/>
      <c r="EDW1" s="51"/>
      <c r="EDX1" s="51"/>
      <c r="EDY1" s="51"/>
      <c r="EDZ1" s="51"/>
      <c r="EEA1" s="51"/>
      <c r="EEB1" s="51"/>
      <c r="EEC1" s="51"/>
      <c r="EED1" s="51"/>
      <c r="EEE1" s="51"/>
      <c r="EEF1" s="51"/>
      <c r="EEG1" s="51"/>
      <c r="EEH1" s="51"/>
      <c r="EEI1" s="51"/>
      <c r="EEJ1" s="51"/>
      <c r="EEK1" s="51"/>
      <c r="EEL1" s="51"/>
      <c r="EEM1" s="51"/>
      <c r="EEN1" s="51"/>
      <c r="EEO1" s="51"/>
      <c r="EEP1" s="51"/>
      <c r="EEQ1" s="51"/>
      <c r="EER1" s="51"/>
      <c r="EES1" s="51"/>
      <c r="EET1" s="51"/>
      <c r="EEU1" s="51"/>
      <c r="EEV1" s="51"/>
      <c r="EEW1" s="51"/>
      <c r="EEX1" s="51"/>
      <c r="EEY1" s="51"/>
      <c r="EEZ1" s="51"/>
      <c r="EFA1" s="51"/>
      <c r="EFB1" s="51"/>
      <c r="EFC1" s="51"/>
      <c r="EFD1" s="51"/>
      <c r="EFE1" s="51"/>
      <c r="EFF1" s="51"/>
      <c r="EFG1" s="51"/>
      <c r="EFH1" s="51"/>
      <c r="EFI1" s="51"/>
      <c r="EFJ1" s="51"/>
      <c r="EFK1" s="51"/>
      <c r="EFL1" s="51"/>
      <c r="EFM1" s="51"/>
      <c r="EFN1" s="51"/>
      <c r="EFO1" s="51"/>
      <c r="EFP1" s="51"/>
      <c r="EFQ1" s="51"/>
      <c r="EFR1" s="51"/>
      <c r="EFS1" s="51"/>
      <c r="EFT1" s="51"/>
      <c r="EFU1" s="51"/>
      <c r="EFV1" s="51"/>
      <c r="EFW1" s="51"/>
      <c r="EFX1" s="51"/>
      <c r="EFY1" s="51"/>
      <c r="EFZ1" s="51"/>
      <c r="EGA1" s="51"/>
      <c r="EGB1" s="51"/>
      <c r="EGC1" s="51"/>
      <c r="EGD1" s="51"/>
      <c r="EGE1" s="51"/>
      <c r="EGF1" s="51"/>
      <c r="EGG1" s="51"/>
      <c r="EGH1" s="51"/>
      <c r="EGI1" s="51"/>
      <c r="EGJ1" s="51"/>
      <c r="EGK1" s="51"/>
      <c r="EGL1" s="51"/>
      <c r="EGM1" s="51"/>
      <c r="EGN1" s="51"/>
      <c r="EGO1" s="51"/>
      <c r="EGP1" s="51"/>
      <c r="EGQ1" s="51"/>
      <c r="EGR1" s="51"/>
      <c r="EGS1" s="51"/>
      <c r="EGT1" s="51"/>
      <c r="EGU1" s="51"/>
      <c r="EGV1" s="51"/>
      <c r="EGW1" s="51"/>
      <c r="EGX1" s="51"/>
      <c r="EGY1" s="51"/>
      <c r="EGZ1" s="51"/>
      <c r="EHA1" s="51"/>
      <c r="EHB1" s="51"/>
      <c r="EHC1" s="51"/>
      <c r="EHD1" s="51"/>
      <c r="EHE1" s="51"/>
      <c r="EHF1" s="51"/>
      <c r="EHG1" s="51"/>
      <c r="EHH1" s="51"/>
      <c r="EHI1" s="51"/>
      <c r="EHJ1" s="51"/>
      <c r="EHK1" s="51"/>
      <c r="EHL1" s="51"/>
      <c r="EHM1" s="51"/>
      <c r="EHN1" s="51"/>
      <c r="EHO1" s="51"/>
      <c r="EHP1" s="51"/>
      <c r="EHQ1" s="51"/>
      <c r="EHR1" s="51"/>
      <c r="EHS1" s="51"/>
      <c r="EHT1" s="51"/>
      <c r="EHU1" s="51"/>
      <c r="EHV1" s="51"/>
      <c r="EHW1" s="51"/>
      <c r="EHX1" s="51"/>
      <c r="EHY1" s="51"/>
      <c r="EHZ1" s="51"/>
      <c r="EIA1" s="51"/>
      <c r="EIB1" s="51"/>
      <c r="EIC1" s="51"/>
      <c r="EID1" s="51"/>
      <c r="EIE1" s="51"/>
      <c r="EIF1" s="51"/>
      <c r="EIG1" s="51"/>
      <c r="EIH1" s="51"/>
      <c r="EII1" s="51"/>
      <c r="EIJ1" s="51"/>
      <c r="EIK1" s="51"/>
      <c r="EIL1" s="51"/>
      <c r="EIM1" s="51"/>
      <c r="EIN1" s="51"/>
      <c r="EIO1" s="51"/>
      <c r="EIP1" s="51"/>
      <c r="EIQ1" s="51"/>
      <c r="EIR1" s="51"/>
      <c r="EIS1" s="51"/>
      <c r="EIT1" s="51"/>
      <c r="EIU1" s="51"/>
      <c r="EIV1" s="51"/>
      <c r="EIW1" s="51"/>
      <c r="EIX1" s="51"/>
      <c r="EIY1" s="51"/>
      <c r="EIZ1" s="51"/>
      <c r="EJA1" s="51"/>
      <c r="EJB1" s="51"/>
      <c r="EJC1" s="51"/>
      <c r="EJD1" s="51"/>
      <c r="EJE1" s="51"/>
      <c r="EJF1" s="51"/>
      <c r="EJG1" s="51"/>
      <c r="EJH1" s="51"/>
      <c r="EJI1" s="51"/>
      <c r="EJJ1" s="51"/>
      <c r="EJK1" s="51"/>
      <c r="EJL1" s="51"/>
      <c r="EJM1" s="51"/>
      <c r="EJN1" s="51"/>
      <c r="EJO1" s="51"/>
      <c r="EJP1" s="51"/>
      <c r="EJQ1" s="51"/>
      <c r="EJR1" s="51"/>
      <c r="EJS1" s="51"/>
      <c r="EJT1" s="51"/>
      <c r="EJU1" s="51"/>
      <c r="EJV1" s="51"/>
      <c r="EJW1" s="51"/>
      <c r="EJX1" s="51"/>
      <c r="EJY1" s="51"/>
      <c r="EJZ1" s="51"/>
      <c r="EKA1" s="51"/>
      <c r="EKB1" s="51"/>
      <c r="EKC1" s="51"/>
      <c r="EKD1" s="51"/>
      <c r="EKE1" s="51"/>
      <c r="EKF1" s="51"/>
      <c r="EKG1" s="51"/>
      <c r="EKH1" s="51"/>
      <c r="EKI1" s="51"/>
      <c r="EKJ1" s="51"/>
      <c r="EKK1" s="51"/>
      <c r="EKL1" s="51"/>
      <c r="EKM1" s="51"/>
      <c r="EKN1" s="51"/>
      <c r="EKO1" s="51"/>
      <c r="EKP1" s="51"/>
      <c r="EKQ1" s="51"/>
      <c r="EKR1" s="51"/>
      <c r="EKS1" s="51"/>
      <c r="EKT1" s="51"/>
      <c r="EKU1" s="51"/>
      <c r="EKV1" s="51"/>
      <c r="EKW1" s="51"/>
      <c r="EKX1" s="51"/>
      <c r="EKY1" s="51"/>
      <c r="EKZ1" s="51"/>
      <c r="ELA1" s="51"/>
      <c r="ELB1" s="51"/>
      <c r="ELC1" s="51"/>
      <c r="ELD1" s="51"/>
      <c r="ELE1" s="51"/>
      <c r="ELF1" s="51"/>
      <c r="ELG1" s="51"/>
      <c r="ELH1" s="51"/>
      <c r="ELI1" s="51"/>
      <c r="ELJ1" s="51"/>
      <c r="ELK1" s="51"/>
      <c r="ELL1" s="51"/>
      <c r="ELM1" s="51"/>
      <c r="ELN1" s="51"/>
      <c r="ELO1" s="51"/>
      <c r="ELP1" s="51"/>
      <c r="ELQ1" s="51"/>
      <c r="ELR1" s="51"/>
      <c r="ELS1" s="51"/>
      <c r="ELT1" s="51"/>
      <c r="ELU1" s="51"/>
      <c r="ELV1" s="51"/>
      <c r="ELW1" s="51"/>
      <c r="ELX1" s="51"/>
      <c r="ELY1" s="51"/>
      <c r="ELZ1" s="51"/>
      <c r="EMA1" s="51"/>
      <c r="EMB1" s="51"/>
      <c r="EMC1" s="51"/>
      <c r="EMD1" s="51"/>
      <c r="EME1" s="51"/>
      <c r="EMF1" s="51"/>
      <c r="EMG1" s="51"/>
      <c r="EMH1" s="51"/>
      <c r="EMI1" s="51"/>
      <c r="EMJ1" s="51"/>
      <c r="EMK1" s="51"/>
      <c r="EML1" s="51"/>
      <c r="EMM1" s="51"/>
      <c r="EMN1" s="51"/>
      <c r="EMO1" s="51"/>
      <c r="EMP1" s="51"/>
      <c r="EMQ1" s="51"/>
      <c r="EMR1" s="51"/>
      <c r="EMS1" s="51"/>
      <c r="EMT1" s="51"/>
      <c r="EMU1" s="51"/>
      <c r="EMV1" s="51"/>
      <c r="EMW1" s="51"/>
      <c r="EMX1" s="51"/>
      <c r="EMY1" s="51"/>
      <c r="EMZ1" s="51"/>
      <c r="ENA1" s="51"/>
      <c r="ENB1" s="51"/>
      <c r="ENC1" s="51"/>
      <c r="END1" s="51"/>
      <c r="ENE1" s="51"/>
      <c r="ENF1" s="51"/>
      <c r="ENG1" s="51"/>
      <c r="ENH1" s="51"/>
      <c r="ENI1" s="51"/>
      <c r="ENJ1" s="51"/>
      <c r="ENK1" s="51"/>
      <c r="ENL1" s="51"/>
      <c r="ENM1" s="51"/>
      <c r="ENN1" s="51"/>
      <c r="ENO1" s="51"/>
      <c r="ENP1" s="51"/>
      <c r="ENQ1" s="51"/>
      <c r="ENR1" s="51"/>
      <c r="ENS1" s="51"/>
      <c r="ENT1" s="51"/>
      <c r="ENU1" s="51"/>
      <c r="ENV1" s="51"/>
      <c r="ENW1" s="51"/>
      <c r="ENX1" s="51"/>
      <c r="ENY1" s="51"/>
      <c r="ENZ1" s="51"/>
      <c r="EOA1" s="51"/>
      <c r="EOB1" s="51"/>
      <c r="EOC1" s="51"/>
      <c r="EOD1" s="51"/>
      <c r="EOE1" s="51"/>
      <c r="EOF1" s="51"/>
      <c r="EOG1" s="51"/>
      <c r="EOH1" s="51"/>
      <c r="EOI1" s="51"/>
      <c r="EOJ1" s="51"/>
      <c r="EOK1" s="51"/>
      <c r="EOL1" s="51"/>
      <c r="EOM1" s="51"/>
      <c r="EON1" s="51"/>
      <c r="EOO1" s="51"/>
      <c r="EOP1" s="51"/>
      <c r="EOQ1" s="51"/>
      <c r="EOR1" s="51"/>
      <c r="EOS1" s="51"/>
      <c r="EOT1" s="51"/>
      <c r="EOU1" s="51"/>
      <c r="EOV1" s="51"/>
      <c r="EOW1" s="51"/>
      <c r="EOX1" s="51"/>
      <c r="EOY1" s="51"/>
      <c r="EOZ1" s="51"/>
      <c r="EPA1" s="51"/>
      <c r="EPB1" s="51"/>
      <c r="EPC1" s="51"/>
      <c r="EPD1" s="51"/>
      <c r="EPE1" s="51"/>
      <c r="EPF1" s="51"/>
      <c r="EPG1" s="51"/>
      <c r="EPH1" s="51"/>
      <c r="EPI1" s="51"/>
      <c r="EPJ1" s="51"/>
      <c r="EPK1" s="51"/>
      <c r="EPL1" s="51"/>
      <c r="EPM1" s="51"/>
      <c r="EPN1" s="51"/>
      <c r="EPO1" s="51"/>
      <c r="EPP1" s="51"/>
      <c r="EPQ1" s="51"/>
      <c r="EPR1" s="51"/>
      <c r="EPS1" s="51"/>
      <c r="EPT1" s="51"/>
      <c r="EPU1" s="51"/>
      <c r="EPV1" s="51"/>
      <c r="EPW1" s="51"/>
      <c r="EPX1" s="51"/>
      <c r="EPY1" s="51"/>
      <c r="EPZ1" s="51"/>
      <c r="EQA1" s="51"/>
      <c r="EQB1" s="51"/>
      <c r="EQC1" s="51"/>
      <c r="EQD1" s="51"/>
      <c r="EQE1" s="51"/>
      <c r="EQF1" s="51"/>
      <c r="EQG1" s="51"/>
      <c r="EQH1" s="51"/>
      <c r="EQI1" s="51"/>
      <c r="EQJ1" s="51"/>
      <c r="EQK1" s="51"/>
      <c r="EQL1" s="51"/>
      <c r="EQM1" s="51"/>
      <c r="EQN1" s="51"/>
      <c r="EQO1" s="51"/>
      <c r="EQP1" s="51"/>
      <c r="EQQ1" s="51"/>
      <c r="EQR1" s="51"/>
      <c r="EQS1" s="51"/>
      <c r="EQT1" s="51"/>
      <c r="EQU1" s="51"/>
      <c r="EQV1" s="51"/>
      <c r="EQW1" s="51"/>
      <c r="EQX1" s="51"/>
      <c r="EQY1" s="51"/>
      <c r="EQZ1" s="51"/>
      <c r="ERA1" s="51"/>
      <c r="ERB1" s="51"/>
      <c r="ERC1" s="51"/>
      <c r="ERD1" s="51"/>
      <c r="ERE1" s="51"/>
      <c r="ERF1" s="51"/>
      <c r="ERG1" s="51"/>
      <c r="ERH1" s="51"/>
      <c r="ERI1" s="51"/>
      <c r="ERJ1" s="51"/>
      <c r="ERK1" s="51"/>
      <c r="ERL1" s="51"/>
      <c r="ERM1" s="51"/>
      <c r="ERN1" s="51"/>
      <c r="ERO1" s="51"/>
      <c r="ERP1" s="51"/>
      <c r="ERQ1" s="51"/>
      <c r="ERR1" s="51"/>
      <c r="ERS1" s="51"/>
      <c r="ERT1" s="51"/>
      <c r="ERU1" s="51"/>
      <c r="ERV1" s="51"/>
      <c r="ERW1" s="51"/>
      <c r="ERX1" s="51"/>
      <c r="ERY1" s="51"/>
      <c r="ERZ1" s="51"/>
      <c r="ESA1" s="51"/>
      <c r="ESB1" s="51"/>
      <c r="ESC1" s="51"/>
      <c r="ESD1" s="51"/>
      <c r="ESE1" s="51"/>
      <c r="ESF1" s="51"/>
      <c r="ESG1" s="51"/>
      <c r="ESH1" s="51"/>
      <c r="ESI1" s="51"/>
      <c r="ESJ1" s="51"/>
      <c r="ESK1" s="51"/>
      <c r="ESL1" s="51"/>
      <c r="ESM1" s="51"/>
      <c r="ESN1" s="51"/>
      <c r="ESO1" s="51"/>
      <c r="ESP1" s="51"/>
      <c r="ESQ1" s="51"/>
      <c r="ESR1" s="51"/>
      <c r="ESS1" s="51"/>
      <c r="EST1" s="51"/>
      <c r="ESU1" s="51"/>
      <c r="ESV1" s="51"/>
      <c r="ESW1" s="51"/>
      <c r="ESX1" s="51"/>
      <c r="ESY1" s="51"/>
      <c r="ESZ1" s="51"/>
      <c r="ETA1" s="51"/>
      <c r="ETB1" s="51"/>
      <c r="ETC1" s="51"/>
      <c r="ETD1" s="51"/>
      <c r="ETE1" s="51"/>
      <c r="ETF1" s="51"/>
      <c r="ETG1" s="51"/>
      <c r="ETH1" s="51"/>
      <c r="ETI1" s="51"/>
      <c r="ETJ1" s="51"/>
      <c r="ETK1" s="51"/>
      <c r="ETL1" s="51"/>
      <c r="ETM1" s="51"/>
      <c r="ETN1" s="51"/>
      <c r="ETO1" s="51"/>
      <c r="ETP1" s="51"/>
      <c r="ETQ1" s="51"/>
      <c r="ETR1" s="51"/>
      <c r="ETS1" s="51"/>
      <c r="ETT1" s="51"/>
      <c r="ETU1" s="51"/>
      <c r="ETV1" s="51"/>
      <c r="ETW1" s="51"/>
      <c r="ETX1" s="51"/>
      <c r="ETY1" s="51"/>
      <c r="ETZ1" s="51"/>
      <c r="EUA1" s="51"/>
      <c r="EUB1" s="51"/>
      <c r="EUC1" s="51"/>
      <c r="EUD1" s="51"/>
      <c r="EUE1" s="51"/>
      <c r="EUF1" s="51"/>
      <c r="EUG1" s="51"/>
      <c r="EUH1" s="51"/>
      <c r="EUI1" s="51"/>
      <c r="EUJ1" s="51"/>
      <c r="EUK1" s="51"/>
      <c r="EUL1" s="51"/>
      <c r="EUM1" s="51"/>
      <c r="EUN1" s="51"/>
      <c r="EUO1" s="51"/>
      <c r="EUP1" s="51"/>
      <c r="EUQ1" s="51"/>
      <c r="EUR1" s="51"/>
      <c r="EUS1" s="51"/>
      <c r="EUT1" s="51"/>
      <c r="EUU1" s="51"/>
      <c r="EUV1" s="51"/>
      <c r="EUW1" s="51"/>
      <c r="EUX1" s="51"/>
      <c r="EUY1" s="51"/>
      <c r="EUZ1" s="51"/>
      <c r="EVA1" s="51"/>
      <c r="EVB1" s="51"/>
      <c r="EVC1" s="51"/>
      <c r="EVD1" s="51"/>
      <c r="EVE1" s="51"/>
      <c r="EVF1" s="51"/>
      <c r="EVG1" s="51"/>
      <c r="EVH1" s="51"/>
      <c r="EVI1" s="51"/>
      <c r="EVJ1" s="51"/>
      <c r="EVK1" s="51"/>
      <c r="EVL1" s="51"/>
      <c r="EVM1" s="51"/>
      <c r="EVN1" s="51"/>
      <c r="EVO1" s="51"/>
      <c r="EVP1" s="51"/>
      <c r="EVQ1" s="51"/>
      <c r="EVR1" s="51"/>
      <c r="EVS1" s="51"/>
      <c r="EVT1" s="51"/>
      <c r="EVU1" s="51"/>
      <c r="EVV1" s="51"/>
      <c r="EVW1" s="51"/>
      <c r="EVX1" s="51"/>
      <c r="EVY1" s="51"/>
      <c r="EVZ1" s="51"/>
      <c r="EWA1" s="51"/>
      <c r="EWB1" s="51"/>
      <c r="EWC1" s="51"/>
      <c r="EWD1" s="51"/>
      <c r="EWE1" s="51"/>
      <c r="EWF1" s="51"/>
      <c r="EWG1" s="51"/>
      <c r="EWH1" s="51"/>
      <c r="EWI1" s="51"/>
      <c r="EWJ1" s="51"/>
      <c r="EWK1" s="51"/>
      <c r="EWL1" s="51"/>
      <c r="EWM1" s="51"/>
      <c r="EWN1" s="51"/>
      <c r="EWO1" s="51"/>
      <c r="EWP1" s="51"/>
      <c r="EWQ1" s="51"/>
      <c r="EWR1" s="51"/>
      <c r="EWS1" s="51"/>
      <c r="EWT1" s="51"/>
      <c r="EWU1" s="51"/>
      <c r="EWV1" s="51"/>
      <c r="EWW1" s="51"/>
      <c r="EWX1" s="51"/>
      <c r="EWY1" s="51"/>
      <c r="EWZ1" s="51"/>
      <c r="EXA1" s="51"/>
      <c r="EXB1" s="51"/>
      <c r="EXC1" s="51"/>
      <c r="EXD1" s="51"/>
      <c r="EXE1" s="51"/>
      <c r="EXF1" s="51"/>
      <c r="EXG1" s="51"/>
      <c r="EXH1" s="51"/>
      <c r="EXI1" s="51"/>
      <c r="EXJ1" s="51"/>
      <c r="EXK1" s="51"/>
      <c r="EXL1" s="51"/>
      <c r="EXM1" s="51"/>
      <c r="EXN1" s="51"/>
      <c r="EXO1" s="51"/>
      <c r="EXP1" s="51"/>
      <c r="EXQ1" s="51"/>
      <c r="EXR1" s="51"/>
      <c r="EXS1" s="51"/>
      <c r="EXT1" s="51"/>
      <c r="EXU1" s="51"/>
      <c r="EXV1" s="51"/>
      <c r="EXW1" s="51"/>
      <c r="EXX1" s="51"/>
      <c r="EXY1" s="51"/>
      <c r="EXZ1" s="51"/>
      <c r="EYA1" s="51"/>
      <c r="EYB1" s="51"/>
      <c r="EYC1" s="51"/>
      <c r="EYD1" s="51"/>
      <c r="EYE1" s="51"/>
      <c r="EYF1" s="51"/>
      <c r="EYG1" s="51"/>
      <c r="EYH1" s="51"/>
      <c r="EYI1" s="51"/>
      <c r="EYJ1" s="51"/>
      <c r="EYK1" s="51"/>
      <c r="EYL1" s="51"/>
      <c r="EYM1" s="51"/>
      <c r="EYN1" s="51"/>
      <c r="EYO1" s="51"/>
      <c r="EYP1" s="51"/>
      <c r="EYQ1" s="51"/>
      <c r="EYR1" s="51"/>
      <c r="EYS1" s="51"/>
      <c r="EYT1" s="51"/>
      <c r="EYU1" s="51"/>
      <c r="EYV1" s="51"/>
      <c r="EYW1" s="51"/>
      <c r="EYX1" s="51"/>
      <c r="EYY1" s="51"/>
      <c r="EYZ1" s="51"/>
      <c r="EZA1" s="51"/>
      <c r="EZB1" s="51"/>
      <c r="EZC1" s="51"/>
      <c r="EZD1" s="51"/>
      <c r="EZE1" s="51"/>
      <c r="EZF1" s="51"/>
      <c r="EZG1" s="51"/>
      <c r="EZH1" s="51"/>
      <c r="EZI1" s="51"/>
      <c r="EZJ1" s="51"/>
      <c r="EZK1" s="51"/>
      <c r="EZL1" s="51"/>
      <c r="EZM1" s="51"/>
      <c r="EZN1" s="51"/>
      <c r="EZO1" s="51"/>
      <c r="EZP1" s="51"/>
      <c r="EZQ1" s="51"/>
      <c r="EZR1" s="51"/>
      <c r="EZS1" s="51"/>
      <c r="EZT1" s="51"/>
      <c r="EZU1" s="51"/>
      <c r="EZV1" s="51"/>
      <c r="EZW1" s="51"/>
      <c r="EZX1" s="51"/>
      <c r="EZY1" s="51"/>
      <c r="EZZ1" s="51"/>
      <c r="FAA1" s="51"/>
      <c r="FAB1" s="51"/>
      <c r="FAC1" s="51"/>
      <c r="FAD1" s="51"/>
      <c r="FAE1" s="51"/>
      <c r="FAF1" s="51"/>
      <c r="FAG1" s="51"/>
      <c r="FAH1" s="51"/>
      <c r="FAI1" s="51"/>
      <c r="FAJ1" s="51"/>
      <c r="FAK1" s="51"/>
      <c r="FAL1" s="51"/>
      <c r="FAM1" s="51"/>
      <c r="FAN1" s="51"/>
      <c r="FAO1" s="51"/>
      <c r="FAP1" s="51"/>
      <c r="FAQ1" s="51"/>
      <c r="FAR1" s="51"/>
      <c r="FAS1" s="51"/>
      <c r="FAT1" s="51"/>
      <c r="FAU1" s="51"/>
      <c r="FAV1" s="51"/>
      <c r="FAW1" s="51"/>
      <c r="FAX1" s="51"/>
      <c r="FAY1" s="51"/>
      <c r="FAZ1" s="51"/>
      <c r="FBA1" s="51"/>
      <c r="FBB1" s="51"/>
      <c r="FBC1" s="51"/>
      <c r="FBD1" s="51"/>
      <c r="FBE1" s="51"/>
      <c r="FBF1" s="51"/>
      <c r="FBG1" s="51"/>
      <c r="FBH1" s="51"/>
      <c r="FBI1" s="51"/>
      <c r="FBJ1" s="51"/>
      <c r="FBK1" s="51"/>
      <c r="FBL1" s="51"/>
      <c r="FBM1" s="51"/>
      <c r="FBN1" s="51"/>
      <c r="FBO1" s="51"/>
      <c r="FBP1" s="51"/>
      <c r="FBQ1" s="51"/>
      <c r="FBR1" s="51"/>
      <c r="FBS1" s="51"/>
      <c r="FBT1" s="51"/>
      <c r="FBU1" s="51"/>
      <c r="FBV1" s="51"/>
      <c r="FBW1" s="51"/>
      <c r="FBX1" s="51"/>
      <c r="FBY1" s="51"/>
      <c r="FBZ1" s="51"/>
      <c r="FCA1" s="51"/>
      <c r="FCB1" s="51"/>
      <c r="FCC1" s="51"/>
      <c r="FCD1" s="51"/>
      <c r="FCE1" s="51"/>
      <c r="FCF1" s="51"/>
      <c r="FCG1" s="51"/>
      <c r="FCH1" s="51"/>
      <c r="FCI1" s="51"/>
      <c r="FCJ1" s="51"/>
      <c r="FCK1" s="51"/>
      <c r="FCL1" s="51"/>
      <c r="FCM1" s="51"/>
      <c r="FCN1" s="51"/>
      <c r="FCO1" s="51"/>
      <c r="FCP1" s="51"/>
      <c r="FCQ1" s="51"/>
      <c r="FCR1" s="51"/>
      <c r="FCS1" s="51"/>
      <c r="FCT1" s="51"/>
      <c r="FCU1" s="51"/>
      <c r="FCV1" s="51"/>
      <c r="FCW1" s="51"/>
      <c r="FCX1" s="51"/>
      <c r="FCY1" s="51"/>
      <c r="FCZ1" s="51"/>
      <c r="FDA1" s="51"/>
      <c r="FDB1" s="51"/>
      <c r="FDC1" s="51"/>
      <c r="FDD1" s="51"/>
      <c r="FDE1" s="51"/>
      <c r="FDF1" s="51"/>
      <c r="FDG1" s="51"/>
      <c r="FDH1" s="51"/>
      <c r="FDI1" s="51"/>
      <c r="FDJ1" s="51"/>
      <c r="FDK1" s="51"/>
      <c r="FDL1" s="51"/>
      <c r="FDM1" s="51"/>
      <c r="FDN1" s="51"/>
      <c r="FDO1" s="51"/>
      <c r="FDP1" s="51"/>
      <c r="FDQ1" s="51"/>
      <c r="FDR1" s="51"/>
      <c r="FDS1" s="51"/>
      <c r="FDT1" s="51"/>
      <c r="FDU1" s="51"/>
      <c r="FDV1" s="51"/>
      <c r="FDW1" s="51"/>
      <c r="FDX1" s="51"/>
      <c r="FDY1" s="51"/>
      <c r="FDZ1" s="51"/>
      <c r="FEA1" s="51"/>
      <c r="FEB1" s="51"/>
      <c r="FEC1" s="51"/>
      <c r="FED1" s="51"/>
      <c r="FEE1" s="51"/>
      <c r="FEF1" s="51"/>
      <c r="FEG1" s="51"/>
      <c r="FEH1" s="51"/>
      <c r="FEI1" s="51"/>
      <c r="FEJ1" s="51"/>
      <c r="FEK1" s="51"/>
      <c r="FEL1" s="51"/>
      <c r="FEM1" s="51"/>
      <c r="FEN1" s="51"/>
      <c r="FEO1" s="51"/>
      <c r="FEP1" s="51"/>
      <c r="FEQ1" s="51"/>
      <c r="FER1" s="51"/>
      <c r="FES1" s="51"/>
      <c r="FET1" s="51"/>
      <c r="FEU1" s="51"/>
      <c r="FEV1" s="51"/>
      <c r="FEW1" s="51"/>
      <c r="FEX1" s="51"/>
      <c r="FEY1" s="51"/>
      <c r="FEZ1" s="51"/>
      <c r="FFA1" s="51"/>
      <c r="FFB1" s="51"/>
      <c r="FFC1" s="51"/>
      <c r="FFD1" s="51"/>
      <c r="FFE1" s="51"/>
      <c r="FFF1" s="51"/>
      <c r="FFG1" s="51"/>
      <c r="FFH1" s="51"/>
      <c r="FFI1" s="51"/>
      <c r="FFJ1" s="51"/>
      <c r="FFK1" s="51"/>
      <c r="FFL1" s="51"/>
      <c r="FFM1" s="51"/>
      <c r="FFN1" s="51"/>
      <c r="FFO1" s="51"/>
      <c r="FFP1" s="51"/>
      <c r="FFQ1" s="51"/>
      <c r="FFR1" s="51"/>
      <c r="FFS1" s="51"/>
      <c r="FFT1" s="51"/>
      <c r="FFU1" s="51"/>
      <c r="FFV1" s="51"/>
      <c r="FFW1" s="51"/>
      <c r="FFX1" s="51"/>
      <c r="FFY1" s="51"/>
      <c r="FFZ1" s="51"/>
      <c r="FGA1" s="51"/>
      <c r="FGB1" s="51"/>
      <c r="FGC1" s="51"/>
      <c r="FGD1" s="51"/>
      <c r="FGE1" s="51"/>
      <c r="FGF1" s="51"/>
      <c r="FGG1" s="51"/>
      <c r="FGH1" s="51"/>
      <c r="FGI1" s="51"/>
      <c r="FGJ1" s="51"/>
      <c r="FGK1" s="51"/>
      <c r="FGL1" s="51"/>
      <c r="FGM1" s="51"/>
      <c r="FGN1" s="51"/>
      <c r="FGO1" s="51"/>
      <c r="FGP1" s="51"/>
      <c r="FGQ1" s="51"/>
      <c r="FGR1" s="51"/>
      <c r="FGS1" s="51"/>
      <c r="FGT1" s="51"/>
      <c r="FGU1" s="51"/>
      <c r="FGV1" s="51"/>
      <c r="FGW1" s="51"/>
      <c r="FGX1" s="51"/>
      <c r="FGY1" s="51"/>
      <c r="FGZ1" s="51"/>
      <c r="FHA1" s="51"/>
      <c r="FHB1" s="51"/>
      <c r="FHC1" s="51"/>
      <c r="FHD1" s="51"/>
      <c r="FHE1" s="51"/>
      <c r="FHF1" s="51"/>
      <c r="FHG1" s="51"/>
      <c r="FHH1" s="51"/>
      <c r="FHI1" s="51"/>
      <c r="FHJ1" s="51"/>
      <c r="FHK1" s="51"/>
      <c r="FHL1" s="51"/>
      <c r="FHM1" s="51"/>
      <c r="FHN1" s="51"/>
      <c r="FHO1" s="51"/>
      <c r="FHP1" s="51"/>
      <c r="FHQ1" s="51"/>
      <c r="FHR1" s="51"/>
      <c r="FHS1" s="51"/>
      <c r="FHT1" s="51"/>
      <c r="FHU1" s="51"/>
      <c r="FHV1" s="51"/>
      <c r="FHW1" s="51"/>
      <c r="FHX1" s="51"/>
      <c r="FHY1" s="51"/>
      <c r="FHZ1" s="51"/>
      <c r="FIA1" s="51"/>
      <c r="FIB1" s="51"/>
      <c r="FIC1" s="51"/>
      <c r="FID1" s="51"/>
      <c r="FIE1" s="51"/>
      <c r="FIF1" s="51"/>
      <c r="FIG1" s="51"/>
      <c r="FIH1" s="51"/>
      <c r="FII1" s="51"/>
      <c r="FIJ1" s="51"/>
      <c r="FIK1" s="51"/>
      <c r="FIL1" s="51"/>
      <c r="FIM1" s="51"/>
      <c r="FIN1" s="51"/>
      <c r="FIO1" s="51"/>
      <c r="FIP1" s="51"/>
      <c r="FIQ1" s="51"/>
      <c r="FIR1" s="51"/>
      <c r="FIS1" s="51"/>
      <c r="FIT1" s="51"/>
      <c r="FIU1" s="51"/>
      <c r="FIV1" s="51"/>
      <c r="FIW1" s="51"/>
      <c r="FIX1" s="51"/>
      <c r="FIY1" s="51"/>
      <c r="FIZ1" s="51"/>
      <c r="FJA1" s="51"/>
      <c r="FJB1" s="51"/>
      <c r="FJC1" s="51"/>
      <c r="FJD1" s="51"/>
      <c r="FJE1" s="51"/>
      <c r="FJF1" s="51"/>
      <c r="FJG1" s="51"/>
      <c r="FJH1" s="51"/>
      <c r="FJI1" s="51"/>
      <c r="FJJ1" s="51"/>
      <c r="FJK1" s="51"/>
      <c r="FJL1" s="51"/>
      <c r="FJM1" s="51"/>
      <c r="FJN1" s="51"/>
      <c r="FJO1" s="51"/>
      <c r="FJP1" s="51"/>
      <c r="FJQ1" s="51"/>
      <c r="FJR1" s="51"/>
      <c r="FJS1" s="51"/>
      <c r="FJT1" s="51"/>
      <c r="FJU1" s="51"/>
      <c r="FJV1" s="51"/>
      <c r="FJW1" s="51"/>
      <c r="FJX1" s="51"/>
      <c r="FJY1" s="51"/>
      <c r="FJZ1" s="51"/>
      <c r="FKA1" s="51"/>
      <c r="FKB1" s="51"/>
      <c r="FKC1" s="51"/>
      <c r="FKD1" s="51"/>
      <c r="FKE1" s="51"/>
      <c r="FKF1" s="51"/>
      <c r="FKG1" s="51"/>
      <c r="FKH1" s="51"/>
      <c r="FKI1" s="51"/>
      <c r="FKJ1" s="51"/>
      <c r="FKK1" s="51"/>
      <c r="FKL1" s="51"/>
      <c r="FKM1" s="51"/>
      <c r="FKN1" s="51"/>
      <c r="FKO1" s="51"/>
      <c r="FKP1" s="51"/>
      <c r="FKQ1" s="51"/>
      <c r="FKR1" s="51"/>
      <c r="FKS1" s="51"/>
      <c r="FKT1" s="51"/>
      <c r="FKU1" s="51"/>
      <c r="FKV1" s="51"/>
      <c r="FKW1" s="51"/>
      <c r="FKX1" s="51"/>
      <c r="FKY1" s="51"/>
      <c r="FKZ1" s="51"/>
      <c r="FLA1" s="51"/>
      <c r="FLB1" s="51"/>
      <c r="FLC1" s="51"/>
      <c r="FLD1" s="51"/>
      <c r="FLE1" s="51"/>
      <c r="FLF1" s="51"/>
      <c r="FLG1" s="51"/>
      <c r="FLH1" s="51"/>
      <c r="FLI1" s="51"/>
      <c r="FLJ1" s="51"/>
      <c r="FLK1" s="51"/>
      <c r="FLL1" s="51"/>
      <c r="FLM1" s="51"/>
      <c r="FLN1" s="51"/>
      <c r="FLO1" s="51"/>
      <c r="FLP1" s="51"/>
      <c r="FLQ1" s="51"/>
      <c r="FLR1" s="51"/>
      <c r="FLS1" s="51"/>
      <c r="FLT1" s="51"/>
      <c r="FLU1" s="51"/>
      <c r="FLV1" s="51"/>
      <c r="FLW1" s="51"/>
      <c r="FLX1" s="51"/>
      <c r="FLY1" s="51"/>
      <c r="FLZ1" s="51"/>
      <c r="FMA1" s="51"/>
      <c r="FMB1" s="51"/>
      <c r="FMC1" s="51"/>
      <c r="FMD1" s="51"/>
      <c r="FME1" s="51"/>
      <c r="FMF1" s="51"/>
      <c r="FMG1" s="51"/>
      <c r="FMH1" s="51"/>
      <c r="FMI1" s="51"/>
      <c r="FMJ1" s="51"/>
      <c r="FMK1" s="51"/>
      <c r="FML1" s="51"/>
      <c r="FMM1" s="51"/>
      <c r="FMN1" s="51"/>
      <c r="FMO1" s="51"/>
      <c r="FMP1" s="51"/>
      <c r="FMQ1" s="51"/>
      <c r="FMR1" s="51"/>
      <c r="FMS1" s="51"/>
      <c r="FMT1" s="51"/>
      <c r="FMU1" s="51"/>
      <c r="FMV1" s="51"/>
      <c r="FMW1" s="51"/>
      <c r="FMX1" s="51"/>
      <c r="FMY1" s="51"/>
      <c r="FMZ1" s="51"/>
      <c r="FNA1" s="51"/>
      <c r="FNB1" s="51"/>
      <c r="FNC1" s="51"/>
      <c r="FND1" s="51"/>
      <c r="FNE1" s="51"/>
      <c r="FNF1" s="51"/>
      <c r="FNG1" s="51"/>
      <c r="FNH1" s="51"/>
      <c r="FNI1" s="51"/>
      <c r="FNJ1" s="51"/>
      <c r="FNK1" s="51"/>
      <c r="FNL1" s="51"/>
      <c r="FNM1" s="51"/>
      <c r="FNN1" s="51"/>
      <c r="FNO1" s="51"/>
      <c r="FNP1" s="51"/>
      <c r="FNQ1" s="51"/>
      <c r="FNR1" s="51"/>
      <c r="FNS1" s="51"/>
      <c r="FNT1" s="51"/>
      <c r="FNU1" s="51"/>
      <c r="FNV1" s="51"/>
      <c r="FNW1" s="51"/>
      <c r="FNX1" s="51"/>
      <c r="FNY1" s="51"/>
      <c r="FNZ1" s="51"/>
      <c r="FOA1" s="51"/>
      <c r="FOB1" s="51"/>
      <c r="FOC1" s="51"/>
      <c r="FOD1" s="51"/>
      <c r="FOE1" s="51"/>
      <c r="FOF1" s="51"/>
      <c r="FOG1" s="51"/>
      <c r="FOH1" s="51"/>
      <c r="FOI1" s="51"/>
      <c r="FOJ1" s="51"/>
      <c r="FOK1" s="51"/>
      <c r="FOL1" s="51"/>
      <c r="FOM1" s="51"/>
      <c r="FON1" s="51"/>
      <c r="FOO1" s="51"/>
      <c r="FOP1" s="51"/>
      <c r="FOQ1" s="51"/>
      <c r="FOR1" s="51"/>
      <c r="FOS1" s="51"/>
      <c r="FOT1" s="51"/>
      <c r="FOU1" s="51"/>
      <c r="FOV1" s="51"/>
      <c r="FOW1" s="51"/>
      <c r="FOX1" s="51"/>
      <c r="FOY1" s="51"/>
      <c r="FOZ1" s="51"/>
      <c r="FPA1" s="51"/>
      <c r="FPB1" s="51"/>
      <c r="FPC1" s="51"/>
      <c r="FPD1" s="51"/>
      <c r="FPE1" s="51"/>
      <c r="FPF1" s="51"/>
      <c r="FPG1" s="51"/>
      <c r="FPH1" s="51"/>
      <c r="FPI1" s="51"/>
      <c r="FPJ1" s="51"/>
      <c r="FPK1" s="51"/>
      <c r="FPL1" s="51"/>
      <c r="FPM1" s="51"/>
      <c r="FPN1" s="51"/>
      <c r="FPO1" s="51"/>
      <c r="FPP1" s="51"/>
      <c r="FPQ1" s="51"/>
      <c r="FPR1" s="51"/>
      <c r="FPS1" s="51"/>
      <c r="FPT1" s="51"/>
      <c r="FPU1" s="51"/>
      <c r="FPV1" s="51"/>
      <c r="FPW1" s="51"/>
      <c r="FPX1" s="51"/>
      <c r="FPY1" s="51"/>
      <c r="FPZ1" s="51"/>
      <c r="FQA1" s="51"/>
      <c r="FQB1" s="51"/>
      <c r="FQC1" s="51"/>
      <c r="FQD1" s="51"/>
      <c r="FQE1" s="51"/>
      <c r="FQF1" s="51"/>
      <c r="FQG1" s="51"/>
      <c r="FQH1" s="51"/>
      <c r="FQI1" s="51"/>
      <c r="FQJ1" s="51"/>
      <c r="FQK1" s="51"/>
      <c r="FQL1" s="51"/>
      <c r="FQM1" s="51"/>
      <c r="FQN1" s="51"/>
      <c r="FQO1" s="51"/>
      <c r="FQP1" s="51"/>
      <c r="FQQ1" s="51"/>
      <c r="FQR1" s="51"/>
      <c r="FQS1" s="51"/>
      <c r="FQT1" s="51"/>
      <c r="FQU1" s="51"/>
      <c r="FQV1" s="51"/>
      <c r="FQW1" s="51"/>
      <c r="FQX1" s="51"/>
      <c r="FQY1" s="51"/>
      <c r="FQZ1" s="51"/>
      <c r="FRA1" s="51"/>
      <c r="FRB1" s="51"/>
      <c r="FRC1" s="51"/>
      <c r="FRD1" s="51"/>
      <c r="FRE1" s="51"/>
      <c r="FRF1" s="51"/>
      <c r="FRG1" s="51"/>
      <c r="FRH1" s="51"/>
      <c r="FRI1" s="51"/>
      <c r="FRJ1" s="51"/>
      <c r="FRK1" s="51"/>
      <c r="FRL1" s="51"/>
      <c r="FRM1" s="51"/>
      <c r="FRN1" s="51"/>
      <c r="FRO1" s="51"/>
      <c r="FRP1" s="51"/>
      <c r="FRQ1" s="51"/>
      <c r="FRR1" s="51"/>
      <c r="FRS1" s="51"/>
      <c r="FRT1" s="51"/>
      <c r="FRU1" s="51"/>
      <c r="FRV1" s="51"/>
      <c r="FRW1" s="51"/>
      <c r="FRX1" s="51"/>
      <c r="FRY1" s="51"/>
      <c r="FRZ1" s="51"/>
      <c r="FSA1" s="51"/>
      <c r="FSB1" s="51"/>
      <c r="FSC1" s="51"/>
      <c r="FSD1" s="51"/>
      <c r="FSE1" s="51"/>
      <c r="FSF1" s="51"/>
      <c r="FSG1" s="51"/>
      <c r="FSH1" s="51"/>
      <c r="FSI1" s="51"/>
      <c r="FSJ1" s="51"/>
      <c r="FSK1" s="51"/>
      <c r="FSL1" s="51"/>
      <c r="FSM1" s="51"/>
      <c r="FSN1" s="51"/>
      <c r="FSO1" s="51"/>
      <c r="FSP1" s="51"/>
      <c r="FSQ1" s="51"/>
      <c r="FSR1" s="51"/>
      <c r="FSS1" s="51"/>
      <c r="FST1" s="51"/>
      <c r="FSU1" s="51"/>
      <c r="FSV1" s="51"/>
      <c r="FSW1" s="51"/>
      <c r="FSX1" s="51"/>
      <c r="FSY1" s="51"/>
      <c r="FSZ1" s="51"/>
      <c r="FTA1" s="51"/>
      <c r="FTB1" s="51"/>
      <c r="FTC1" s="51"/>
      <c r="FTD1" s="51"/>
      <c r="FTE1" s="51"/>
      <c r="FTF1" s="51"/>
      <c r="FTG1" s="51"/>
      <c r="FTH1" s="51"/>
      <c r="FTI1" s="51"/>
      <c r="FTJ1" s="51"/>
      <c r="FTK1" s="51"/>
      <c r="FTL1" s="51"/>
      <c r="FTM1" s="51"/>
      <c r="FTN1" s="51"/>
      <c r="FTO1" s="51"/>
      <c r="FTP1" s="51"/>
      <c r="FTQ1" s="51"/>
      <c r="FTR1" s="51"/>
      <c r="FTS1" s="51"/>
      <c r="FTT1" s="51"/>
      <c r="FTU1" s="51"/>
      <c r="FTV1" s="51"/>
      <c r="FTW1" s="51"/>
      <c r="FTX1" s="51"/>
      <c r="FTY1" s="51"/>
      <c r="FTZ1" s="51"/>
      <c r="FUA1" s="51"/>
      <c r="FUB1" s="51"/>
      <c r="FUC1" s="51"/>
      <c r="FUD1" s="51"/>
      <c r="FUE1" s="51"/>
      <c r="FUF1" s="51"/>
      <c r="FUG1" s="51"/>
      <c r="FUH1" s="51"/>
      <c r="FUI1" s="51"/>
      <c r="FUJ1" s="51"/>
      <c r="FUK1" s="51"/>
      <c r="FUL1" s="51"/>
      <c r="FUM1" s="51"/>
      <c r="FUN1" s="51"/>
      <c r="FUO1" s="51"/>
      <c r="FUP1" s="51"/>
      <c r="FUQ1" s="51"/>
      <c r="FUR1" s="51"/>
      <c r="FUS1" s="51"/>
      <c r="FUT1" s="51"/>
      <c r="FUU1" s="51"/>
      <c r="FUV1" s="51"/>
      <c r="FUW1" s="51"/>
      <c r="FUX1" s="51"/>
      <c r="FUY1" s="51"/>
      <c r="FUZ1" s="51"/>
      <c r="FVA1" s="51"/>
      <c r="FVB1" s="51"/>
      <c r="FVC1" s="51"/>
      <c r="FVD1" s="51"/>
      <c r="FVE1" s="51"/>
      <c r="FVF1" s="51"/>
      <c r="FVG1" s="51"/>
      <c r="FVH1" s="51"/>
      <c r="FVI1" s="51"/>
      <c r="FVJ1" s="51"/>
      <c r="FVK1" s="51"/>
      <c r="FVL1" s="51"/>
      <c r="FVM1" s="51"/>
      <c r="FVN1" s="51"/>
      <c r="FVO1" s="51"/>
      <c r="FVP1" s="51"/>
      <c r="FVQ1" s="51"/>
      <c r="FVR1" s="51"/>
      <c r="FVS1" s="51"/>
      <c r="FVT1" s="51"/>
      <c r="FVU1" s="51"/>
      <c r="FVV1" s="51"/>
      <c r="FVW1" s="51"/>
      <c r="FVX1" s="51"/>
      <c r="FVY1" s="51"/>
      <c r="FVZ1" s="51"/>
      <c r="FWA1" s="51"/>
      <c r="FWB1" s="51"/>
      <c r="FWC1" s="51"/>
      <c r="FWD1" s="51"/>
      <c r="FWE1" s="51"/>
      <c r="FWF1" s="51"/>
      <c r="FWG1" s="51"/>
      <c r="FWH1" s="51"/>
      <c r="FWI1" s="51"/>
      <c r="FWJ1" s="51"/>
      <c r="FWK1" s="51"/>
      <c r="FWL1" s="51"/>
      <c r="FWM1" s="51"/>
      <c r="FWN1" s="51"/>
      <c r="FWO1" s="51"/>
      <c r="FWP1" s="51"/>
      <c r="FWQ1" s="51"/>
      <c r="FWR1" s="51"/>
      <c r="FWS1" s="51"/>
      <c r="FWT1" s="51"/>
      <c r="FWU1" s="51"/>
      <c r="FWV1" s="51"/>
      <c r="FWW1" s="51"/>
      <c r="FWX1" s="51"/>
      <c r="FWY1" s="51"/>
      <c r="FWZ1" s="51"/>
      <c r="FXA1" s="51"/>
      <c r="FXB1" s="51"/>
      <c r="FXC1" s="51"/>
      <c r="FXD1" s="51"/>
      <c r="FXE1" s="51"/>
      <c r="FXF1" s="51"/>
      <c r="FXG1" s="51"/>
      <c r="FXH1" s="51"/>
      <c r="FXI1" s="51"/>
      <c r="FXJ1" s="51"/>
      <c r="FXK1" s="51"/>
      <c r="FXL1" s="51"/>
      <c r="FXM1" s="51"/>
      <c r="FXN1" s="51"/>
      <c r="FXO1" s="51"/>
      <c r="FXP1" s="51"/>
      <c r="FXQ1" s="51"/>
      <c r="FXR1" s="51"/>
      <c r="FXS1" s="51"/>
      <c r="FXT1" s="51"/>
      <c r="FXU1" s="51"/>
      <c r="FXV1" s="51"/>
      <c r="FXW1" s="51"/>
      <c r="FXX1" s="51"/>
      <c r="FXY1" s="51"/>
      <c r="FXZ1" s="51"/>
      <c r="FYA1" s="51"/>
      <c r="FYB1" s="51"/>
      <c r="FYC1" s="51"/>
      <c r="FYD1" s="51"/>
      <c r="FYE1" s="51"/>
      <c r="FYF1" s="51"/>
      <c r="FYG1" s="51"/>
      <c r="FYH1" s="51"/>
      <c r="FYI1" s="51"/>
      <c r="FYJ1" s="51"/>
      <c r="FYK1" s="51"/>
      <c r="FYL1" s="51"/>
      <c r="FYM1" s="51"/>
      <c r="FYN1" s="51"/>
      <c r="FYO1" s="51"/>
      <c r="FYP1" s="51"/>
      <c r="FYQ1" s="51"/>
      <c r="FYR1" s="51"/>
      <c r="FYS1" s="51"/>
      <c r="FYT1" s="51"/>
      <c r="FYU1" s="51"/>
      <c r="FYV1" s="51"/>
      <c r="FYW1" s="51"/>
      <c r="FYX1" s="51"/>
      <c r="FYY1" s="51"/>
      <c r="FYZ1" s="51"/>
      <c r="FZA1" s="51"/>
      <c r="FZB1" s="51"/>
      <c r="FZC1" s="51"/>
      <c r="FZD1" s="51"/>
      <c r="FZE1" s="51"/>
      <c r="FZF1" s="51"/>
      <c r="FZG1" s="51"/>
      <c r="FZH1" s="51"/>
      <c r="FZI1" s="51"/>
      <c r="FZJ1" s="51"/>
      <c r="FZK1" s="51"/>
      <c r="FZL1" s="51"/>
      <c r="FZM1" s="51"/>
      <c r="FZN1" s="51"/>
      <c r="FZO1" s="51"/>
      <c r="FZP1" s="51"/>
      <c r="FZQ1" s="51"/>
      <c r="FZR1" s="51"/>
      <c r="FZS1" s="51"/>
      <c r="FZT1" s="51"/>
      <c r="FZU1" s="51"/>
      <c r="FZV1" s="51"/>
      <c r="FZW1" s="51"/>
      <c r="FZX1" s="51"/>
      <c r="FZY1" s="51"/>
      <c r="FZZ1" s="51"/>
      <c r="GAA1" s="51"/>
      <c r="GAB1" s="51"/>
      <c r="GAC1" s="51"/>
      <c r="GAD1" s="51"/>
      <c r="GAE1" s="51"/>
      <c r="GAF1" s="51"/>
      <c r="GAG1" s="51"/>
      <c r="GAH1" s="51"/>
      <c r="GAI1" s="51"/>
      <c r="GAJ1" s="51"/>
      <c r="GAK1" s="51"/>
      <c r="GAL1" s="51"/>
      <c r="GAM1" s="51"/>
      <c r="GAN1" s="51"/>
      <c r="GAO1" s="51"/>
      <c r="GAP1" s="51"/>
      <c r="GAQ1" s="51"/>
      <c r="GAR1" s="51"/>
      <c r="GAS1" s="51"/>
      <c r="GAT1" s="51"/>
      <c r="GAU1" s="51"/>
      <c r="GAV1" s="51"/>
      <c r="GAW1" s="51"/>
      <c r="GAX1" s="51"/>
      <c r="GAY1" s="51"/>
      <c r="GAZ1" s="51"/>
      <c r="GBA1" s="51"/>
      <c r="GBB1" s="51"/>
      <c r="GBC1" s="51"/>
      <c r="GBD1" s="51"/>
      <c r="GBE1" s="51"/>
      <c r="GBF1" s="51"/>
      <c r="GBG1" s="51"/>
      <c r="GBH1" s="51"/>
      <c r="GBI1" s="51"/>
      <c r="GBJ1" s="51"/>
      <c r="GBK1" s="51"/>
      <c r="GBL1" s="51"/>
      <c r="GBM1" s="51"/>
      <c r="GBN1" s="51"/>
      <c r="GBO1" s="51"/>
      <c r="GBP1" s="51"/>
      <c r="GBQ1" s="51"/>
      <c r="GBR1" s="51"/>
      <c r="GBS1" s="51"/>
      <c r="GBT1" s="51"/>
      <c r="GBU1" s="51"/>
      <c r="GBV1" s="51"/>
      <c r="GBW1" s="51"/>
      <c r="GBX1" s="51"/>
      <c r="GBY1" s="51"/>
      <c r="GBZ1" s="51"/>
      <c r="GCA1" s="51"/>
      <c r="GCB1" s="51"/>
      <c r="GCC1" s="51"/>
      <c r="GCD1" s="51"/>
      <c r="GCE1" s="51"/>
      <c r="GCF1" s="51"/>
      <c r="GCG1" s="51"/>
      <c r="GCH1" s="51"/>
      <c r="GCI1" s="51"/>
      <c r="GCJ1" s="51"/>
      <c r="GCK1" s="51"/>
      <c r="GCL1" s="51"/>
      <c r="GCM1" s="51"/>
      <c r="GCN1" s="51"/>
      <c r="GCO1" s="51"/>
      <c r="GCP1" s="51"/>
      <c r="GCQ1" s="51"/>
      <c r="GCR1" s="51"/>
      <c r="GCS1" s="51"/>
      <c r="GCT1" s="51"/>
      <c r="GCU1" s="51"/>
      <c r="GCV1" s="51"/>
      <c r="GCW1" s="51"/>
      <c r="GCX1" s="51"/>
      <c r="GCY1" s="51"/>
      <c r="GCZ1" s="51"/>
      <c r="GDA1" s="51"/>
      <c r="GDB1" s="51"/>
      <c r="GDC1" s="51"/>
      <c r="GDD1" s="51"/>
      <c r="GDE1" s="51"/>
      <c r="GDF1" s="51"/>
      <c r="GDG1" s="51"/>
      <c r="GDH1" s="51"/>
      <c r="GDI1" s="51"/>
      <c r="GDJ1" s="51"/>
      <c r="GDK1" s="51"/>
      <c r="GDL1" s="51"/>
      <c r="GDM1" s="51"/>
      <c r="GDN1" s="51"/>
      <c r="GDO1" s="51"/>
      <c r="GDP1" s="51"/>
      <c r="GDQ1" s="51"/>
      <c r="GDR1" s="51"/>
      <c r="GDS1" s="51"/>
      <c r="GDT1" s="51"/>
      <c r="GDU1" s="51"/>
      <c r="GDV1" s="51"/>
      <c r="GDW1" s="51"/>
      <c r="GDX1" s="51"/>
      <c r="GDY1" s="51"/>
      <c r="GDZ1" s="51"/>
      <c r="GEA1" s="51"/>
      <c r="GEB1" s="51"/>
      <c r="GEC1" s="51"/>
      <c r="GED1" s="51"/>
      <c r="GEE1" s="51"/>
      <c r="GEF1" s="51"/>
      <c r="GEG1" s="51"/>
      <c r="GEH1" s="51"/>
      <c r="GEI1" s="51"/>
      <c r="GEJ1" s="51"/>
      <c r="GEK1" s="51"/>
      <c r="GEL1" s="51"/>
      <c r="GEM1" s="51"/>
      <c r="GEN1" s="51"/>
      <c r="GEO1" s="51"/>
      <c r="GEP1" s="51"/>
      <c r="GEQ1" s="51"/>
      <c r="GER1" s="51"/>
      <c r="GES1" s="51"/>
      <c r="GET1" s="51"/>
      <c r="GEU1" s="51"/>
      <c r="GEV1" s="51"/>
      <c r="GEW1" s="51"/>
      <c r="GEX1" s="51"/>
      <c r="GEY1" s="51"/>
      <c r="GEZ1" s="51"/>
      <c r="GFA1" s="51"/>
      <c r="GFB1" s="51"/>
      <c r="GFC1" s="51"/>
      <c r="GFD1" s="51"/>
      <c r="GFE1" s="51"/>
      <c r="GFF1" s="51"/>
      <c r="GFG1" s="51"/>
      <c r="GFH1" s="51"/>
      <c r="GFI1" s="51"/>
      <c r="GFJ1" s="51"/>
      <c r="GFK1" s="51"/>
      <c r="GFL1" s="51"/>
      <c r="GFM1" s="51"/>
      <c r="GFN1" s="51"/>
      <c r="GFO1" s="51"/>
      <c r="GFP1" s="51"/>
      <c r="GFQ1" s="51"/>
      <c r="GFR1" s="51"/>
      <c r="GFS1" s="51"/>
      <c r="GFT1" s="51"/>
      <c r="GFU1" s="51"/>
      <c r="GFV1" s="51"/>
      <c r="GFW1" s="51"/>
      <c r="GFX1" s="51"/>
      <c r="GFY1" s="51"/>
      <c r="GFZ1" s="51"/>
      <c r="GGA1" s="51"/>
      <c r="GGB1" s="51"/>
      <c r="GGC1" s="51"/>
      <c r="GGD1" s="51"/>
      <c r="GGE1" s="51"/>
      <c r="GGF1" s="51"/>
      <c r="GGG1" s="51"/>
      <c r="GGH1" s="51"/>
      <c r="GGI1" s="51"/>
      <c r="GGJ1" s="51"/>
      <c r="GGK1" s="51"/>
      <c r="GGL1" s="51"/>
      <c r="GGM1" s="51"/>
      <c r="GGN1" s="51"/>
      <c r="GGO1" s="51"/>
      <c r="GGP1" s="51"/>
      <c r="GGQ1" s="51"/>
      <c r="GGR1" s="51"/>
      <c r="GGS1" s="51"/>
      <c r="GGT1" s="51"/>
      <c r="GGU1" s="51"/>
      <c r="GGV1" s="51"/>
      <c r="GGW1" s="51"/>
      <c r="GGX1" s="51"/>
      <c r="GGY1" s="51"/>
      <c r="GGZ1" s="51"/>
      <c r="GHA1" s="51"/>
      <c r="GHB1" s="51"/>
      <c r="GHC1" s="51"/>
      <c r="GHD1" s="51"/>
      <c r="GHE1" s="51"/>
      <c r="GHF1" s="51"/>
      <c r="GHG1" s="51"/>
      <c r="GHH1" s="51"/>
      <c r="GHI1" s="51"/>
      <c r="GHJ1" s="51"/>
      <c r="GHK1" s="51"/>
      <c r="GHL1" s="51"/>
      <c r="GHM1" s="51"/>
      <c r="GHN1" s="51"/>
      <c r="GHO1" s="51"/>
      <c r="GHP1" s="51"/>
      <c r="GHQ1" s="51"/>
      <c r="GHR1" s="51"/>
      <c r="GHS1" s="51"/>
      <c r="GHT1" s="51"/>
      <c r="GHU1" s="51"/>
      <c r="GHV1" s="51"/>
      <c r="GHW1" s="51"/>
      <c r="GHX1" s="51"/>
      <c r="GHY1" s="51"/>
      <c r="GHZ1" s="51"/>
      <c r="GIA1" s="51"/>
      <c r="GIB1" s="51"/>
      <c r="GIC1" s="51"/>
      <c r="GID1" s="51"/>
      <c r="GIE1" s="51"/>
      <c r="GIF1" s="51"/>
      <c r="GIG1" s="51"/>
      <c r="GIH1" s="51"/>
      <c r="GII1" s="51"/>
      <c r="GIJ1" s="51"/>
      <c r="GIK1" s="51"/>
      <c r="GIL1" s="51"/>
      <c r="GIM1" s="51"/>
      <c r="GIN1" s="51"/>
      <c r="GIO1" s="51"/>
      <c r="GIP1" s="51"/>
      <c r="GIQ1" s="51"/>
      <c r="GIR1" s="51"/>
      <c r="GIS1" s="51"/>
      <c r="GIT1" s="51"/>
      <c r="GIU1" s="51"/>
      <c r="GIV1" s="51"/>
      <c r="GIW1" s="51"/>
      <c r="GIX1" s="51"/>
      <c r="GIY1" s="51"/>
      <c r="GIZ1" s="51"/>
      <c r="GJA1" s="51"/>
      <c r="GJB1" s="51"/>
      <c r="GJC1" s="51"/>
      <c r="GJD1" s="51"/>
      <c r="GJE1" s="51"/>
      <c r="GJF1" s="51"/>
      <c r="GJG1" s="51"/>
      <c r="GJH1" s="51"/>
      <c r="GJI1" s="51"/>
      <c r="GJJ1" s="51"/>
      <c r="GJK1" s="51"/>
      <c r="GJL1" s="51"/>
      <c r="GJM1" s="51"/>
      <c r="GJN1" s="51"/>
      <c r="GJO1" s="51"/>
      <c r="GJP1" s="51"/>
      <c r="GJQ1" s="51"/>
      <c r="GJR1" s="51"/>
      <c r="GJS1" s="51"/>
      <c r="GJT1" s="51"/>
      <c r="GJU1" s="51"/>
      <c r="GJV1" s="51"/>
      <c r="GJW1" s="51"/>
      <c r="GJX1" s="51"/>
      <c r="GJY1" s="51"/>
      <c r="GJZ1" s="51"/>
      <c r="GKA1" s="51"/>
      <c r="GKB1" s="51"/>
      <c r="GKC1" s="51"/>
      <c r="GKD1" s="51"/>
      <c r="GKE1" s="51"/>
      <c r="GKF1" s="51"/>
      <c r="GKG1" s="51"/>
      <c r="GKH1" s="51"/>
      <c r="GKI1" s="51"/>
      <c r="GKJ1" s="51"/>
      <c r="GKK1" s="51"/>
      <c r="GKL1" s="51"/>
      <c r="GKM1" s="51"/>
      <c r="GKN1" s="51"/>
      <c r="GKO1" s="51"/>
      <c r="GKP1" s="51"/>
      <c r="GKQ1" s="51"/>
      <c r="GKR1" s="51"/>
      <c r="GKS1" s="51"/>
      <c r="GKT1" s="51"/>
      <c r="GKU1" s="51"/>
      <c r="GKV1" s="51"/>
      <c r="GKW1" s="51"/>
      <c r="GKX1" s="51"/>
      <c r="GKY1" s="51"/>
      <c r="GKZ1" s="51"/>
      <c r="GLA1" s="51"/>
      <c r="GLB1" s="51"/>
      <c r="GLC1" s="51"/>
      <c r="GLD1" s="51"/>
      <c r="GLE1" s="51"/>
      <c r="GLF1" s="51"/>
      <c r="GLG1" s="51"/>
      <c r="GLH1" s="51"/>
      <c r="GLI1" s="51"/>
      <c r="GLJ1" s="51"/>
      <c r="GLK1" s="51"/>
      <c r="GLL1" s="51"/>
      <c r="GLM1" s="51"/>
      <c r="GLN1" s="51"/>
      <c r="GLO1" s="51"/>
      <c r="GLP1" s="51"/>
      <c r="GLQ1" s="51"/>
      <c r="GLR1" s="51"/>
      <c r="GLS1" s="51"/>
      <c r="GLT1" s="51"/>
      <c r="GLU1" s="51"/>
      <c r="GLV1" s="51"/>
      <c r="GLW1" s="51"/>
      <c r="GLX1" s="51"/>
      <c r="GLY1" s="51"/>
      <c r="GLZ1" s="51"/>
      <c r="GMA1" s="51"/>
      <c r="GMB1" s="51"/>
      <c r="GMC1" s="51"/>
      <c r="GMD1" s="51"/>
      <c r="GME1" s="51"/>
      <c r="GMF1" s="51"/>
      <c r="GMG1" s="51"/>
      <c r="GMH1" s="51"/>
      <c r="GMI1" s="51"/>
      <c r="GMJ1" s="51"/>
      <c r="GMK1" s="51"/>
      <c r="GML1" s="51"/>
      <c r="GMM1" s="51"/>
      <c r="GMN1" s="51"/>
      <c r="GMO1" s="51"/>
      <c r="GMP1" s="51"/>
      <c r="GMQ1" s="51"/>
      <c r="GMR1" s="51"/>
      <c r="GMS1" s="51"/>
      <c r="GMT1" s="51"/>
      <c r="GMU1" s="51"/>
      <c r="GMV1" s="51"/>
      <c r="GMW1" s="51"/>
      <c r="GMX1" s="51"/>
      <c r="GMY1" s="51"/>
      <c r="GMZ1" s="51"/>
      <c r="GNA1" s="51"/>
      <c r="GNB1" s="51"/>
      <c r="GNC1" s="51"/>
      <c r="GND1" s="51"/>
      <c r="GNE1" s="51"/>
      <c r="GNF1" s="51"/>
      <c r="GNG1" s="51"/>
      <c r="GNH1" s="51"/>
      <c r="GNI1" s="51"/>
      <c r="GNJ1" s="51"/>
      <c r="GNK1" s="51"/>
      <c r="GNL1" s="51"/>
      <c r="GNM1" s="51"/>
      <c r="GNN1" s="51"/>
      <c r="GNO1" s="51"/>
      <c r="GNP1" s="51"/>
      <c r="GNQ1" s="51"/>
      <c r="GNR1" s="51"/>
      <c r="GNS1" s="51"/>
      <c r="GNT1" s="51"/>
      <c r="GNU1" s="51"/>
      <c r="GNV1" s="51"/>
      <c r="GNW1" s="51"/>
      <c r="GNX1" s="51"/>
      <c r="GNY1" s="51"/>
      <c r="GNZ1" s="51"/>
      <c r="GOA1" s="51"/>
      <c r="GOB1" s="51"/>
      <c r="GOC1" s="51"/>
      <c r="GOD1" s="51"/>
      <c r="GOE1" s="51"/>
      <c r="GOF1" s="51"/>
      <c r="GOG1" s="51"/>
      <c r="GOH1" s="51"/>
      <c r="GOI1" s="51"/>
      <c r="GOJ1" s="51"/>
      <c r="GOK1" s="51"/>
      <c r="GOL1" s="51"/>
      <c r="GOM1" s="51"/>
      <c r="GON1" s="51"/>
      <c r="GOO1" s="51"/>
      <c r="GOP1" s="51"/>
      <c r="GOQ1" s="51"/>
      <c r="GOR1" s="51"/>
      <c r="GOS1" s="51"/>
      <c r="GOT1" s="51"/>
      <c r="GOU1" s="51"/>
      <c r="GOV1" s="51"/>
      <c r="GOW1" s="51"/>
      <c r="GOX1" s="51"/>
      <c r="GOY1" s="51"/>
      <c r="GOZ1" s="51"/>
      <c r="GPA1" s="51"/>
      <c r="GPB1" s="51"/>
      <c r="GPC1" s="51"/>
      <c r="GPD1" s="51"/>
      <c r="GPE1" s="51"/>
      <c r="GPF1" s="51"/>
      <c r="GPG1" s="51"/>
      <c r="GPH1" s="51"/>
      <c r="GPI1" s="51"/>
      <c r="GPJ1" s="51"/>
      <c r="GPK1" s="51"/>
      <c r="GPL1" s="51"/>
      <c r="GPM1" s="51"/>
      <c r="GPN1" s="51"/>
      <c r="GPO1" s="51"/>
      <c r="GPP1" s="51"/>
      <c r="GPQ1" s="51"/>
      <c r="GPR1" s="51"/>
      <c r="GPS1" s="51"/>
      <c r="GPT1" s="51"/>
      <c r="GPU1" s="51"/>
      <c r="GPV1" s="51"/>
      <c r="GPW1" s="51"/>
      <c r="GPX1" s="51"/>
      <c r="GPY1" s="51"/>
      <c r="GPZ1" s="51"/>
      <c r="GQA1" s="51"/>
      <c r="GQB1" s="51"/>
      <c r="GQC1" s="51"/>
      <c r="GQD1" s="51"/>
      <c r="GQE1" s="51"/>
      <c r="GQF1" s="51"/>
      <c r="GQG1" s="51"/>
      <c r="GQH1" s="51"/>
      <c r="GQI1" s="51"/>
      <c r="GQJ1" s="51"/>
      <c r="GQK1" s="51"/>
      <c r="GQL1" s="51"/>
      <c r="GQM1" s="51"/>
      <c r="GQN1" s="51"/>
      <c r="GQO1" s="51"/>
      <c r="GQP1" s="51"/>
      <c r="GQQ1" s="51"/>
      <c r="GQR1" s="51"/>
      <c r="GQS1" s="51"/>
      <c r="GQT1" s="51"/>
      <c r="GQU1" s="51"/>
      <c r="GQV1" s="51"/>
      <c r="GQW1" s="51"/>
      <c r="GQX1" s="51"/>
      <c r="GQY1" s="51"/>
      <c r="GQZ1" s="51"/>
      <c r="GRA1" s="51"/>
      <c r="GRB1" s="51"/>
      <c r="GRC1" s="51"/>
      <c r="GRD1" s="51"/>
      <c r="GRE1" s="51"/>
      <c r="GRF1" s="51"/>
      <c r="GRG1" s="51"/>
      <c r="GRH1" s="51"/>
      <c r="GRI1" s="51"/>
      <c r="GRJ1" s="51"/>
      <c r="GRK1" s="51"/>
      <c r="GRL1" s="51"/>
      <c r="GRM1" s="51"/>
      <c r="GRN1" s="51"/>
      <c r="GRO1" s="51"/>
      <c r="GRP1" s="51"/>
      <c r="GRQ1" s="51"/>
      <c r="GRR1" s="51"/>
      <c r="GRS1" s="51"/>
      <c r="GRT1" s="51"/>
      <c r="GRU1" s="51"/>
      <c r="GRV1" s="51"/>
      <c r="GRW1" s="51"/>
      <c r="GRX1" s="51"/>
      <c r="GRY1" s="51"/>
      <c r="GRZ1" s="51"/>
      <c r="GSA1" s="51"/>
      <c r="GSB1" s="51"/>
      <c r="GSC1" s="51"/>
      <c r="GSD1" s="51"/>
      <c r="GSE1" s="51"/>
      <c r="GSF1" s="51"/>
      <c r="GSG1" s="51"/>
      <c r="GSH1" s="51"/>
      <c r="GSI1" s="51"/>
      <c r="GSJ1" s="51"/>
      <c r="GSK1" s="51"/>
      <c r="GSL1" s="51"/>
      <c r="GSM1" s="51"/>
      <c r="GSN1" s="51"/>
      <c r="GSO1" s="51"/>
      <c r="GSP1" s="51"/>
      <c r="GSQ1" s="51"/>
      <c r="GSR1" s="51"/>
      <c r="GSS1" s="51"/>
      <c r="GST1" s="51"/>
      <c r="GSU1" s="51"/>
      <c r="GSV1" s="51"/>
      <c r="GSW1" s="51"/>
      <c r="GSX1" s="51"/>
      <c r="GSY1" s="51"/>
      <c r="GSZ1" s="51"/>
      <c r="GTA1" s="51"/>
      <c r="GTB1" s="51"/>
      <c r="GTC1" s="51"/>
      <c r="GTD1" s="51"/>
      <c r="GTE1" s="51"/>
      <c r="GTF1" s="51"/>
      <c r="GTG1" s="51"/>
      <c r="GTH1" s="51"/>
      <c r="GTI1" s="51"/>
      <c r="GTJ1" s="51"/>
      <c r="GTK1" s="51"/>
      <c r="GTL1" s="51"/>
      <c r="GTM1" s="51"/>
      <c r="GTN1" s="51"/>
      <c r="GTO1" s="51"/>
      <c r="GTP1" s="51"/>
      <c r="GTQ1" s="51"/>
      <c r="GTR1" s="51"/>
      <c r="GTS1" s="51"/>
      <c r="GTT1" s="51"/>
      <c r="GTU1" s="51"/>
      <c r="GTV1" s="51"/>
      <c r="GTW1" s="51"/>
      <c r="GTX1" s="51"/>
      <c r="GTY1" s="51"/>
      <c r="GTZ1" s="51"/>
      <c r="GUA1" s="51"/>
      <c r="GUB1" s="51"/>
      <c r="GUC1" s="51"/>
      <c r="GUD1" s="51"/>
      <c r="GUE1" s="51"/>
      <c r="GUF1" s="51"/>
      <c r="GUG1" s="51"/>
      <c r="GUH1" s="51"/>
      <c r="GUI1" s="51"/>
      <c r="GUJ1" s="51"/>
      <c r="GUK1" s="51"/>
      <c r="GUL1" s="51"/>
      <c r="GUM1" s="51"/>
      <c r="GUN1" s="51"/>
      <c r="GUO1" s="51"/>
      <c r="GUP1" s="51"/>
      <c r="GUQ1" s="51"/>
      <c r="GUR1" s="51"/>
      <c r="GUS1" s="51"/>
      <c r="GUT1" s="51"/>
      <c r="GUU1" s="51"/>
      <c r="GUV1" s="51"/>
      <c r="GUW1" s="51"/>
      <c r="GUX1" s="51"/>
      <c r="GUY1" s="51"/>
      <c r="GUZ1" s="51"/>
      <c r="GVA1" s="51"/>
      <c r="GVB1" s="51"/>
      <c r="GVC1" s="51"/>
      <c r="GVD1" s="51"/>
      <c r="GVE1" s="51"/>
      <c r="GVF1" s="51"/>
      <c r="GVG1" s="51"/>
      <c r="GVH1" s="51"/>
      <c r="GVI1" s="51"/>
      <c r="GVJ1" s="51"/>
      <c r="GVK1" s="51"/>
      <c r="GVL1" s="51"/>
      <c r="GVM1" s="51"/>
      <c r="GVN1" s="51"/>
      <c r="GVO1" s="51"/>
      <c r="GVP1" s="51"/>
      <c r="GVQ1" s="51"/>
      <c r="GVR1" s="51"/>
      <c r="GVS1" s="51"/>
      <c r="GVT1" s="51"/>
      <c r="GVU1" s="51"/>
      <c r="GVV1" s="51"/>
      <c r="GVW1" s="51"/>
      <c r="GVX1" s="51"/>
      <c r="GVY1" s="51"/>
      <c r="GVZ1" s="51"/>
      <c r="GWA1" s="51"/>
      <c r="GWB1" s="51"/>
      <c r="GWC1" s="51"/>
      <c r="GWD1" s="51"/>
      <c r="GWE1" s="51"/>
      <c r="GWF1" s="51"/>
      <c r="GWG1" s="51"/>
      <c r="GWH1" s="51"/>
      <c r="GWI1" s="51"/>
      <c r="GWJ1" s="51"/>
      <c r="GWK1" s="51"/>
      <c r="GWL1" s="51"/>
      <c r="GWM1" s="51"/>
      <c r="GWN1" s="51"/>
      <c r="GWO1" s="51"/>
      <c r="GWP1" s="51"/>
      <c r="GWQ1" s="51"/>
      <c r="GWR1" s="51"/>
      <c r="GWS1" s="51"/>
      <c r="GWT1" s="51"/>
      <c r="GWU1" s="51"/>
      <c r="GWV1" s="51"/>
      <c r="GWW1" s="51"/>
      <c r="GWX1" s="51"/>
      <c r="GWY1" s="51"/>
      <c r="GWZ1" s="51"/>
      <c r="GXA1" s="51"/>
      <c r="GXB1" s="51"/>
      <c r="GXC1" s="51"/>
      <c r="GXD1" s="51"/>
      <c r="GXE1" s="51"/>
      <c r="GXF1" s="51"/>
      <c r="GXG1" s="51"/>
      <c r="GXH1" s="51"/>
      <c r="GXI1" s="51"/>
      <c r="GXJ1" s="51"/>
      <c r="GXK1" s="51"/>
      <c r="GXL1" s="51"/>
      <c r="GXM1" s="51"/>
      <c r="GXN1" s="51"/>
      <c r="GXO1" s="51"/>
      <c r="GXP1" s="51"/>
      <c r="GXQ1" s="51"/>
      <c r="GXR1" s="51"/>
      <c r="GXS1" s="51"/>
      <c r="GXT1" s="51"/>
      <c r="GXU1" s="51"/>
      <c r="GXV1" s="51"/>
      <c r="GXW1" s="51"/>
      <c r="GXX1" s="51"/>
      <c r="GXY1" s="51"/>
      <c r="GXZ1" s="51"/>
      <c r="GYA1" s="51"/>
      <c r="GYB1" s="51"/>
      <c r="GYC1" s="51"/>
      <c r="GYD1" s="51"/>
      <c r="GYE1" s="51"/>
      <c r="GYF1" s="51"/>
      <c r="GYG1" s="51"/>
      <c r="GYH1" s="51"/>
      <c r="GYI1" s="51"/>
      <c r="GYJ1" s="51"/>
      <c r="GYK1" s="51"/>
      <c r="GYL1" s="51"/>
      <c r="GYM1" s="51"/>
      <c r="GYN1" s="51"/>
      <c r="GYO1" s="51"/>
      <c r="GYP1" s="51"/>
      <c r="GYQ1" s="51"/>
      <c r="GYR1" s="51"/>
      <c r="GYS1" s="51"/>
      <c r="GYT1" s="51"/>
      <c r="GYU1" s="51"/>
      <c r="GYV1" s="51"/>
      <c r="GYW1" s="51"/>
      <c r="GYX1" s="51"/>
      <c r="GYY1" s="51"/>
      <c r="GYZ1" s="51"/>
      <c r="GZA1" s="51"/>
      <c r="GZB1" s="51"/>
      <c r="GZC1" s="51"/>
      <c r="GZD1" s="51"/>
      <c r="GZE1" s="51"/>
      <c r="GZF1" s="51"/>
      <c r="GZG1" s="51"/>
      <c r="GZH1" s="51"/>
      <c r="GZI1" s="51"/>
      <c r="GZJ1" s="51"/>
      <c r="GZK1" s="51"/>
      <c r="GZL1" s="51"/>
      <c r="GZM1" s="51"/>
      <c r="GZN1" s="51"/>
      <c r="GZO1" s="51"/>
      <c r="GZP1" s="51"/>
      <c r="GZQ1" s="51"/>
      <c r="GZR1" s="51"/>
      <c r="GZS1" s="51"/>
      <c r="GZT1" s="51"/>
      <c r="GZU1" s="51"/>
      <c r="GZV1" s="51"/>
      <c r="GZW1" s="51"/>
      <c r="GZX1" s="51"/>
      <c r="GZY1" s="51"/>
      <c r="GZZ1" s="51"/>
      <c r="HAA1" s="51"/>
      <c r="HAB1" s="51"/>
      <c r="HAC1" s="51"/>
      <c r="HAD1" s="51"/>
      <c r="HAE1" s="51"/>
      <c r="HAF1" s="51"/>
      <c r="HAG1" s="51"/>
      <c r="HAH1" s="51"/>
      <c r="HAI1" s="51"/>
      <c r="HAJ1" s="51"/>
      <c r="HAK1" s="51"/>
      <c r="HAL1" s="51"/>
      <c r="HAM1" s="51"/>
      <c r="HAN1" s="51"/>
      <c r="HAO1" s="51"/>
      <c r="HAP1" s="51"/>
      <c r="HAQ1" s="51"/>
      <c r="HAR1" s="51"/>
      <c r="HAS1" s="51"/>
      <c r="HAT1" s="51"/>
      <c r="HAU1" s="51"/>
      <c r="HAV1" s="51"/>
      <c r="HAW1" s="51"/>
      <c r="HAX1" s="51"/>
      <c r="HAY1" s="51"/>
      <c r="HAZ1" s="51"/>
      <c r="HBA1" s="51"/>
      <c r="HBB1" s="51"/>
      <c r="HBC1" s="51"/>
      <c r="HBD1" s="51"/>
      <c r="HBE1" s="51"/>
      <c r="HBF1" s="51"/>
      <c r="HBG1" s="51"/>
      <c r="HBH1" s="51"/>
      <c r="HBI1" s="51"/>
      <c r="HBJ1" s="51"/>
      <c r="HBK1" s="51"/>
      <c r="HBL1" s="51"/>
      <c r="HBM1" s="51"/>
      <c r="HBN1" s="51"/>
      <c r="HBO1" s="51"/>
      <c r="HBP1" s="51"/>
      <c r="HBQ1" s="51"/>
      <c r="HBR1" s="51"/>
      <c r="HBS1" s="51"/>
      <c r="HBT1" s="51"/>
      <c r="HBU1" s="51"/>
      <c r="HBV1" s="51"/>
      <c r="HBW1" s="51"/>
      <c r="HBX1" s="51"/>
      <c r="HBY1" s="51"/>
      <c r="HBZ1" s="51"/>
      <c r="HCA1" s="51"/>
      <c r="HCB1" s="51"/>
      <c r="HCC1" s="51"/>
      <c r="HCD1" s="51"/>
      <c r="HCE1" s="51"/>
      <c r="HCF1" s="51"/>
      <c r="HCG1" s="51"/>
      <c r="HCH1" s="51"/>
      <c r="HCI1" s="51"/>
      <c r="HCJ1" s="51"/>
      <c r="HCK1" s="51"/>
      <c r="HCL1" s="51"/>
      <c r="HCM1" s="51"/>
      <c r="HCN1" s="51"/>
      <c r="HCO1" s="51"/>
      <c r="HCP1" s="51"/>
      <c r="HCQ1" s="51"/>
      <c r="HCR1" s="51"/>
      <c r="HCS1" s="51"/>
      <c r="HCT1" s="51"/>
      <c r="HCU1" s="51"/>
      <c r="HCV1" s="51"/>
      <c r="HCW1" s="51"/>
      <c r="HCX1" s="51"/>
      <c r="HCY1" s="51"/>
      <c r="HCZ1" s="51"/>
      <c r="HDA1" s="51"/>
      <c r="HDB1" s="51"/>
      <c r="HDC1" s="51"/>
      <c r="HDD1" s="51"/>
      <c r="HDE1" s="51"/>
      <c r="HDF1" s="51"/>
      <c r="HDG1" s="51"/>
      <c r="HDH1" s="51"/>
      <c r="HDI1" s="51"/>
      <c r="HDJ1" s="51"/>
      <c r="HDK1" s="51"/>
      <c r="HDL1" s="51"/>
      <c r="HDM1" s="51"/>
      <c r="HDN1" s="51"/>
      <c r="HDO1" s="51"/>
      <c r="HDP1" s="51"/>
      <c r="HDQ1" s="51"/>
      <c r="HDR1" s="51"/>
      <c r="HDS1" s="51"/>
      <c r="HDT1" s="51"/>
      <c r="HDU1" s="51"/>
      <c r="HDV1" s="51"/>
      <c r="HDW1" s="51"/>
      <c r="HDX1" s="51"/>
      <c r="HDY1" s="51"/>
      <c r="HDZ1" s="51"/>
      <c r="HEA1" s="51"/>
      <c r="HEB1" s="51"/>
      <c r="HEC1" s="51"/>
      <c r="HED1" s="51"/>
      <c r="HEE1" s="51"/>
      <c r="HEF1" s="51"/>
      <c r="HEG1" s="51"/>
      <c r="HEH1" s="51"/>
      <c r="HEI1" s="51"/>
      <c r="HEJ1" s="51"/>
      <c r="HEK1" s="51"/>
      <c r="HEL1" s="51"/>
      <c r="HEM1" s="51"/>
      <c r="HEN1" s="51"/>
      <c r="HEO1" s="51"/>
      <c r="HEP1" s="51"/>
      <c r="HEQ1" s="51"/>
      <c r="HER1" s="51"/>
      <c r="HES1" s="51"/>
      <c r="HET1" s="51"/>
      <c r="HEU1" s="51"/>
      <c r="HEV1" s="51"/>
      <c r="HEW1" s="51"/>
      <c r="HEX1" s="51"/>
      <c r="HEY1" s="51"/>
      <c r="HEZ1" s="51"/>
      <c r="HFA1" s="51"/>
      <c r="HFB1" s="51"/>
      <c r="HFC1" s="51"/>
      <c r="HFD1" s="51"/>
      <c r="HFE1" s="51"/>
      <c r="HFF1" s="51"/>
      <c r="HFG1" s="51"/>
      <c r="HFH1" s="51"/>
      <c r="HFI1" s="51"/>
      <c r="HFJ1" s="51"/>
      <c r="HFK1" s="51"/>
      <c r="HFL1" s="51"/>
      <c r="HFM1" s="51"/>
      <c r="HFN1" s="51"/>
      <c r="HFO1" s="51"/>
      <c r="HFP1" s="51"/>
      <c r="HFQ1" s="51"/>
      <c r="HFR1" s="51"/>
      <c r="HFS1" s="51"/>
      <c r="HFT1" s="51"/>
      <c r="HFU1" s="51"/>
      <c r="HFV1" s="51"/>
      <c r="HFW1" s="51"/>
      <c r="HFX1" s="51"/>
      <c r="HFY1" s="51"/>
      <c r="HFZ1" s="51"/>
      <c r="HGA1" s="51"/>
      <c r="HGB1" s="51"/>
      <c r="HGC1" s="51"/>
      <c r="HGD1" s="51"/>
      <c r="HGE1" s="51"/>
      <c r="HGF1" s="51"/>
      <c r="HGG1" s="51"/>
      <c r="HGH1" s="51"/>
      <c r="HGI1" s="51"/>
      <c r="HGJ1" s="51"/>
      <c r="HGK1" s="51"/>
      <c r="HGL1" s="51"/>
      <c r="HGM1" s="51"/>
      <c r="HGN1" s="51"/>
      <c r="HGO1" s="51"/>
      <c r="HGP1" s="51"/>
      <c r="HGQ1" s="51"/>
      <c r="HGR1" s="51"/>
      <c r="HGS1" s="51"/>
      <c r="HGT1" s="51"/>
      <c r="HGU1" s="51"/>
      <c r="HGV1" s="51"/>
      <c r="HGW1" s="51"/>
      <c r="HGX1" s="51"/>
      <c r="HGY1" s="51"/>
      <c r="HGZ1" s="51"/>
      <c r="HHA1" s="51"/>
      <c r="HHB1" s="51"/>
      <c r="HHC1" s="51"/>
      <c r="HHD1" s="51"/>
      <c r="HHE1" s="51"/>
      <c r="HHF1" s="51"/>
      <c r="HHG1" s="51"/>
      <c r="HHH1" s="51"/>
      <c r="HHI1" s="51"/>
      <c r="HHJ1" s="51"/>
      <c r="HHK1" s="51"/>
      <c r="HHL1" s="51"/>
      <c r="HHM1" s="51"/>
      <c r="HHN1" s="51"/>
      <c r="HHO1" s="51"/>
      <c r="HHP1" s="51"/>
      <c r="HHQ1" s="51"/>
      <c r="HHR1" s="51"/>
      <c r="HHS1" s="51"/>
      <c r="HHT1" s="51"/>
      <c r="HHU1" s="51"/>
      <c r="HHV1" s="51"/>
      <c r="HHW1" s="51"/>
      <c r="HHX1" s="51"/>
      <c r="HHY1" s="51"/>
      <c r="HHZ1" s="51"/>
      <c r="HIA1" s="51"/>
      <c r="HIB1" s="51"/>
      <c r="HIC1" s="51"/>
      <c r="HID1" s="51"/>
      <c r="HIE1" s="51"/>
      <c r="HIF1" s="51"/>
      <c r="HIG1" s="51"/>
      <c r="HIH1" s="51"/>
      <c r="HII1" s="51"/>
      <c r="HIJ1" s="51"/>
      <c r="HIK1" s="51"/>
      <c r="HIL1" s="51"/>
      <c r="HIM1" s="51"/>
      <c r="HIN1" s="51"/>
      <c r="HIO1" s="51"/>
      <c r="HIP1" s="51"/>
      <c r="HIQ1" s="51"/>
      <c r="HIR1" s="51"/>
      <c r="HIS1" s="51"/>
      <c r="HIT1" s="51"/>
      <c r="HIU1" s="51"/>
      <c r="HIV1" s="51"/>
      <c r="HIW1" s="51"/>
      <c r="HIX1" s="51"/>
      <c r="HIY1" s="51"/>
      <c r="HIZ1" s="51"/>
      <c r="HJA1" s="51"/>
      <c r="HJB1" s="51"/>
      <c r="HJC1" s="51"/>
      <c r="HJD1" s="51"/>
      <c r="HJE1" s="51"/>
      <c r="HJF1" s="51"/>
      <c r="HJG1" s="51"/>
      <c r="HJH1" s="51"/>
      <c r="HJI1" s="51"/>
      <c r="HJJ1" s="51"/>
      <c r="HJK1" s="51"/>
      <c r="HJL1" s="51"/>
      <c r="HJM1" s="51"/>
      <c r="HJN1" s="51"/>
      <c r="HJO1" s="51"/>
      <c r="HJP1" s="51"/>
      <c r="HJQ1" s="51"/>
      <c r="HJR1" s="51"/>
      <c r="HJS1" s="51"/>
      <c r="HJT1" s="51"/>
      <c r="HJU1" s="51"/>
      <c r="HJV1" s="51"/>
      <c r="HJW1" s="51"/>
      <c r="HJX1" s="51"/>
      <c r="HJY1" s="51"/>
      <c r="HJZ1" s="51"/>
      <c r="HKA1" s="51"/>
      <c r="HKB1" s="51"/>
      <c r="HKC1" s="51"/>
      <c r="HKD1" s="51"/>
      <c r="HKE1" s="51"/>
      <c r="HKF1" s="51"/>
      <c r="HKG1" s="51"/>
      <c r="HKH1" s="51"/>
      <c r="HKI1" s="51"/>
      <c r="HKJ1" s="51"/>
      <c r="HKK1" s="51"/>
      <c r="HKL1" s="51"/>
      <c r="HKM1" s="51"/>
      <c r="HKN1" s="51"/>
      <c r="HKO1" s="51"/>
      <c r="HKP1" s="51"/>
      <c r="HKQ1" s="51"/>
      <c r="HKR1" s="51"/>
      <c r="HKS1" s="51"/>
      <c r="HKT1" s="51"/>
      <c r="HKU1" s="51"/>
      <c r="HKV1" s="51"/>
      <c r="HKW1" s="51"/>
      <c r="HKX1" s="51"/>
      <c r="HKY1" s="51"/>
      <c r="HKZ1" s="51"/>
      <c r="HLA1" s="51"/>
      <c r="HLB1" s="51"/>
      <c r="HLC1" s="51"/>
      <c r="HLD1" s="51"/>
      <c r="HLE1" s="51"/>
      <c r="HLF1" s="51"/>
      <c r="HLG1" s="51"/>
      <c r="HLH1" s="51"/>
      <c r="HLI1" s="51"/>
      <c r="HLJ1" s="51"/>
      <c r="HLK1" s="51"/>
      <c r="HLL1" s="51"/>
      <c r="HLM1" s="51"/>
      <c r="HLN1" s="51"/>
      <c r="HLO1" s="51"/>
      <c r="HLP1" s="51"/>
      <c r="HLQ1" s="51"/>
      <c r="HLR1" s="51"/>
      <c r="HLS1" s="51"/>
      <c r="HLT1" s="51"/>
      <c r="HLU1" s="51"/>
      <c r="HLV1" s="51"/>
      <c r="HLW1" s="51"/>
      <c r="HLX1" s="51"/>
      <c r="HLY1" s="51"/>
      <c r="HLZ1" s="51"/>
      <c r="HMA1" s="51"/>
      <c r="HMB1" s="51"/>
      <c r="HMC1" s="51"/>
      <c r="HMD1" s="51"/>
      <c r="HME1" s="51"/>
      <c r="HMF1" s="51"/>
      <c r="HMG1" s="51"/>
      <c r="HMH1" s="51"/>
      <c r="HMI1" s="51"/>
      <c r="HMJ1" s="51"/>
      <c r="HMK1" s="51"/>
      <c r="HML1" s="51"/>
      <c r="HMM1" s="51"/>
      <c r="HMN1" s="51"/>
      <c r="HMO1" s="51"/>
      <c r="HMP1" s="51"/>
      <c r="HMQ1" s="51"/>
      <c r="HMR1" s="51"/>
      <c r="HMS1" s="51"/>
      <c r="HMT1" s="51"/>
      <c r="HMU1" s="51"/>
      <c r="HMV1" s="51"/>
      <c r="HMW1" s="51"/>
      <c r="HMX1" s="51"/>
      <c r="HMY1" s="51"/>
      <c r="HMZ1" s="51"/>
      <c r="HNA1" s="51"/>
      <c r="HNB1" s="51"/>
      <c r="HNC1" s="51"/>
      <c r="HND1" s="51"/>
      <c r="HNE1" s="51"/>
      <c r="HNF1" s="51"/>
      <c r="HNG1" s="51"/>
      <c r="HNH1" s="51"/>
      <c r="HNI1" s="51"/>
      <c r="HNJ1" s="51"/>
      <c r="HNK1" s="51"/>
      <c r="HNL1" s="51"/>
      <c r="HNM1" s="51"/>
      <c r="HNN1" s="51"/>
      <c r="HNO1" s="51"/>
      <c r="HNP1" s="51"/>
      <c r="HNQ1" s="51"/>
      <c r="HNR1" s="51"/>
      <c r="HNS1" s="51"/>
      <c r="HNT1" s="51"/>
      <c r="HNU1" s="51"/>
      <c r="HNV1" s="51"/>
      <c r="HNW1" s="51"/>
      <c r="HNX1" s="51"/>
      <c r="HNY1" s="51"/>
      <c r="HNZ1" s="51"/>
      <c r="HOA1" s="51"/>
      <c r="HOB1" s="51"/>
      <c r="HOC1" s="51"/>
      <c r="HOD1" s="51"/>
      <c r="HOE1" s="51"/>
      <c r="HOF1" s="51"/>
      <c r="HOG1" s="51"/>
      <c r="HOH1" s="51"/>
      <c r="HOI1" s="51"/>
      <c r="HOJ1" s="51"/>
      <c r="HOK1" s="51"/>
      <c r="HOL1" s="51"/>
      <c r="HOM1" s="51"/>
      <c r="HON1" s="51"/>
      <c r="HOO1" s="51"/>
      <c r="HOP1" s="51"/>
      <c r="HOQ1" s="51"/>
      <c r="HOR1" s="51"/>
      <c r="HOS1" s="51"/>
      <c r="HOT1" s="51"/>
      <c r="HOU1" s="51"/>
      <c r="HOV1" s="51"/>
      <c r="HOW1" s="51"/>
      <c r="HOX1" s="51"/>
      <c r="HOY1" s="51"/>
      <c r="HOZ1" s="51"/>
      <c r="HPA1" s="51"/>
      <c r="HPB1" s="51"/>
      <c r="HPC1" s="51"/>
      <c r="HPD1" s="51"/>
      <c r="HPE1" s="51"/>
      <c r="HPF1" s="51"/>
      <c r="HPG1" s="51"/>
      <c r="HPH1" s="51"/>
      <c r="HPI1" s="51"/>
      <c r="HPJ1" s="51"/>
      <c r="HPK1" s="51"/>
      <c r="HPL1" s="51"/>
      <c r="HPM1" s="51"/>
      <c r="HPN1" s="51"/>
      <c r="HPO1" s="51"/>
      <c r="HPP1" s="51"/>
      <c r="HPQ1" s="51"/>
      <c r="HPR1" s="51"/>
      <c r="HPS1" s="51"/>
      <c r="HPT1" s="51"/>
      <c r="HPU1" s="51"/>
      <c r="HPV1" s="51"/>
      <c r="HPW1" s="51"/>
      <c r="HPX1" s="51"/>
      <c r="HPY1" s="51"/>
      <c r="HPZ1" s="51"/>
      <c r="HQA1" s="51"/>
      <c r="HQB1" s="51"/>
      <c r="HQC1" s="51"/>
      <c r="HQD1" s="51"/>
      <c r="HQE1" s="51"/>
      <c r="HQF1" s="51"/>
      <c r="HQG1" s="51"/>
      <c r="HQH1" s="51"/>
      <c r="HQI1" s="51"/>
      <c r="HQJ1" s="51"/>
      <c r="HQK1" s="51"/>
      <c r="HQL1" s="51"/>
      <c r="HQM1" s="51"/>
      <c r="HQN1" s="51"/>
      <c r="HQO1" s="51"/>
      <c r="HQP1" s="51"/>
      <c r="HQQ1" s="51"/>
      <c r="HQR1" s="51"/>
      <c r="HQS1" s="51"/>
      <c r="HQT1" s="51"/>
      <c r="HQU1" s="51"/>
      <c r="HQV1" s="51"/>
      <c r="HQW1" s="51"/>
      <c r="HQX1" s="51"/>
      <c r="HQY1" s="51"/>
      <c r="HQZ1" s="51"/>
      <c r="HRA1" s="51"/>
      <c r="HRB1" s="51"/>
      <c r="HRC1" s="51"/>
      <c r="HRD1" s="51"/>
      <c r="HRE1" s="51"/>
      <c r="HRF1" s="51"/>
      <c r="HRG1" s="51"/>
      <c r="HRH1" s="51"/>
      <c r="HRI1" s="51"/>
      <c r="HRJ1" s="51"/>
      <c r="HRK1" s="51"/>
      <c r="HRL1" s="51"/>
      <c r="HRM1" s="51"/>
      <c r="HRN1" s="51"/>
      <c r="HRO1" s="51"/>
      <c r="HRP1" s="51"/>
      <c r="HRQ1" s="51"/>
      <c r="HRR1" s="51"/>
      <c r="HRS1" s="51"/>
      <c r="HRT1" s="51"/>
      <c r="HRU1" s="51"/>
      <c r="HRV1" s="51"/>
      <c r="HRW1" s="51"/>
      <c r="HRX1" s="51"/>
      <c r="HRY1" s="51"/>
      <c r="HRZ1" s="51"/>
      <c r="HSA1" s="51"/>
      <c r="HSB1" s="51"/>
      <c r="HSC1" s="51"/>
      <c r="HSD1" s="51"/>
      <c r="HSE1" s="51"/>
      <c r="HSF1" s="51"/>
      <c r="HSG1" s="51"/>
      <c r="HSH1" s="51"/>
      <c r="HSI1" s="51"/>
      <c r="HSJ1" s="51"/>
      <c r="HSK1" s="51"/>
      <c r="HSL1" s="51"/>
      <c r="HSM1" s="51"/>
      <c r="HSN1" s="51"/>
      <c r="HSO1" s="51"/>
      <c r="HSP1" s="51"/>
      <c r="HSQ1" s="51"/>
      <c r="HSR1" s="51"/>
      <c r="HSS1" s="51"/>
      <c r="HST1" s="51"/>
      <c r="HSU1" s="51"/>
      <c r="HSV1" s="51"/>
      <c r="HSW1" s="51"/>
      <c r="HSX1" s="51"/>
      <c r="HSY1" s="51"/>
      <c r="HSZ1" s="51"/>
      <c r="HTA1" s="51"/>
      <c r="HTB1" s="51"/>
      <c r="HTC1" s="51"/>
      <c r="HTD1" s="51"/>
      <c r="HTE1" s="51"/>
      <c r="HTF1" s="51"/>
      <c r="HTG1" s="51"/>
      <c r="HTH1" s="51"/>
      <c r="HTI1" s="51"/>
      <c r="HTJ1" s="51"/>
      <c r="HTK1" s="51"/>
      <c r="HTL1" s="51"/>
      <c r="HTM1" s="51"/>
      <c r="HTN1" s="51"/>
      <c r="HTO1" s="51"/>
      <c r="HTP1" s="51"/>
      <c r="HTQ1" s="51"/>
      <c r="HTR1" s="51"/>
      <c r="HTS1" s="51"/>
      <c r="HTT1" s="51"/>
      <c r="HTU1" s="51"/>
      <c r="HTV1" s="51"/>
      <c r="HTW1" s="51"/>
      <c r="HTX1" s="51"/>
      <c r="HTY1" s="51"/>
      <c r="HTZ1" s="51"/>
      <c r="HUA1" s="51"/>
      <c r="HUB1" s="51"/>
      <c r="HUC1" s="51"/>
      <c r="HUD1" s="51"/>
      <c r="HUE1" s="51"/>
      <c r="HUF1" s="51"/>
      <c r="HUG1" s="51"/>
      <c r="HUH1" s="51"/>
      <c r="HUI1" s="51"/>
      <c r="HUJ1" s="51"/>
      <c r="HUK1" s="51"/>
      <c r="HUL1" s="51"/>
      <c r="HUM1" s="51"/>
      <c r="HUN1" s="51"/>
      <c r="HUO1" s="51"/>
      <c r="HUP1" s="51"/>
      <c r="HUQ1" s="51"/>
      <c r="HUR1" s="51"/>
      <c r="HUS1" s="51"/>
      <c r="HUT1" s="51"/>
      <c r="HUU1" s="51"/>
      <c r="HUV1" s="51"/>
      <c r="HUW1" s="51"/>
      <c r="HUX1" s="51"/>
      <c r="HUY1" s="51"/>
      <c r="HUZ1" s="51"/>
      <c r="HVA1" s="51"/>
      <c r="HVB1" s="51"/>
      <c r="HVC1" s="51"/>
      <c r="HVD1" s="51"/>
      <c r="HVE1" s="51"/>
      <c r="HVF1" s="51"/>
      <c r="HVG1" s="51"/>
      <c r="HVH1" s="51"/>
      <c r="HVI1" s="51"/>
      <c r="HVJ1" s="51"/>
      <c r="HVK1" s="51"/>
      <c r="HVL1" s="51"/>
      <c r="HVM1" s="51"/>
      <c r="HVN1" s="51"/>
      <c r="HVO1" s="51"/>
      <c r="HVP1" s="51"/>
      <c r="HVQ1" s="51"/>
      <c r="HVR1" s="51"/>
      <c r="HVS1" s="51"/>
      <c r="HVT1" s="51"/>
      <c r="HVU1" s="51"/>
      <c r="HVV1" s="51"/>
      <c r="HVW1" s="51"/>
      <c r="HVX1" s="51"/>
      <c r="HVY1" s="51"/>
      <c r="HVZ1" s="51"/>
      <c r="HWA1" s="51"/>
      <c r="HWB1" s="51"/>
      <c r="HWC1" s="51"/>
      <c r="HWD1" s="51"/>
      <c r="HWE1" s="51"/>
      <c r="HWF1" s="51"/>
      <c r="HWG1" s="51"/>
      <c r="HWH1" s="51"/>
      <c r="HWI1" s="51"/>
      <c r="HWJ1" s="51"/>
      <c r="HWK1" s="51"/>
      <c r="HWL1" s="51"/>
      <c r="HWM1" s="51"/>
      <c r="HWN1" s="51"/>
      <c r="HWO1" s="51"/>
      <c r="HWP1" s="51"/>
      <c r="HWQ1" s="51"/>
      <c r="HWR1" s="51"/>
      <c r="HWS1" s="51"/>
      <c r="HWT1" s="51"/>
      <c r="HWU1" s="51"/>
      <c r="HWV1" s="51"/>
      <c r="HWW1" s="51"/>
      <c r="HWX1" s="51"/>
      <c r="HWY1" s="51"/>
      <c r="HWZ1" s="51"/>
      <c r="HXA1" s="51"/>
      <c r="HXB1" s="51"/>
      <c r="HXC1" s="51"/>
      <c r="HXD1" s="51"/>
      <c r="HXE1" s="51"/>
      <c r="HXF1" s="51"/>
      <c r="HXG1" s="51"/>
      <c r="HXH1" s="51"/>
      <c r="HXI1" s="51"/>
      <c r="HXJ1" s="51"/>
      <c r="HXK1" s="51"/>
      <c r="HXL1" s="51"/>
      <c r="HXM1" s="51"/>
      <c r="HXN1" s="51"/>
      <c r="HXO1" s="51"/>
      <c r="HXP1" s="51"/>
      <c r="HXQ1" s="51"/>
      <c r="HXR1" s="51"/>
      <c r="HXS1" s="51"/>
      <c r="HXT1" s="51"/>
      <c r="HXU1" s="51"/>
      <c r="HXV1" s="51"/>
      <c r="HXW1" s="51"/>
      <c r="HXX1" s="51"/>
      <c r="HXY1" s="51"/>
      <c r="HXZ1" s="51"/>
      <c r="HYA1" s="51"/>
      <c r="HYB1" s="51"/>
      <c r="HYC1" s="51"/>
      <c r="HYD1" s="51"/>
      <c r="HYE1" s="51"/>
      <c r="HYF1" s="51"/>
      <c r="HYG1" s="51"/>
      <c r="HYH1" s="51"/>
      <c r="HYI1" s="51"/>
      <c r="HYJ1" s="51"/>
      <c r="HYK1" s="51"/>
      <c r="HYL1" s="51"/>
      <c r="HYM1" s="51"/>
      <c r="HYN1" s="51"/>
      <c r="HYO1" s="51"/>
      <c r="HYP1" s="51"/>
      <c r="HYQ1" s="51"/>
      <c r="HYR1" s="51"/>
      <c r="HYS1" s="51"/>
      <c r="HYT1" s="51"/>
      <c r="HYU1" s="51"/>
      <c r="HYV1" s="51"/>
      <c r="HYW1" s="51"/>
      <c r="HYX1" s="51"/>
      <c r="HYY1" s="51"/>
      <c r="HYZ1" s="51"/>
      <c r="HZA1" s="51"/>
      <c r="HZB1" s="51"/>
      <c r="HZC1" s="51"/>
      <c r="HZD1" s="51"/>
      <c r="HZE1" s="51"/>
      <c r="HZF1" s="51"/>
      <c r="HZG1" s="51"/>
      <c r="HZH1" s="51"/>
      <c r="HZI1" s="51"/>
      <c r="HZJ1" s="51"/>
      <c r="HZK1" s="51"/>
      <c r="HZL1" s="51"/>
      <c r="HZM1" s="51"/>
      <c r="HZN1" s="51"/>
      <c r="HZO1" s="51"/>
      <c r="HZP1" s="51"/>
      <c r="HZQ1" s="51"/>
      <c r="HZR1" s="51"/>
      <c r="HZS1" s="51"/>
      <c r="HZT1" s="51"/>
      <c r="HZU1" s="51"/>
      <c r="HZV1" s="51"/>
      <c r="HZW1" s="51"/>
      <c r="HZX1" s="51"/>
      <c r="HZY1" s="51"/>
      <c r="HZZ1" s="51"/>
      <c r="IAA1" s="51"/>
      <c r="IAB1" s="51"/>
      <c r="IAC1" s="51"/>
      <c r="IAD1" s="51"/>
      <c r="IAE1" s="51"/>
      <c r="IAF1" s="51"/>
      <c r="IAG1" s="51"/>
      <c r="IAH1" s="51"/>
      <c r="IAI1" s="51"/>
      <c r="IAJ1" s="51"/>
      <c r="IAK1" s="51"/>
      <c r="IAL1" s="51"/>
      <c r="IAM1" s="51"/>
      <c r="IAN1" s="51"/>
      <c r="IAO1" s="51"/>
      <c r="IAP1" s="51"/>
      <c r="IAQ1" s="51"/>
      <c r="IAR1" s="51"/>
      <c r="IAS1" s="51"/>
      <c r="IAT1" s="51"/>
      <c r="IAU1" s="51"/>
      <c r="IAV1" s="51"/>
      <c r="IAW1" s="51"/>
      <c r="IAX1" s="51"/>
      <c r="IAY1" s="51"/>
      <c r="IAZ1" s="51"/>
      <c r="IBA1" s="51"/>
      <c r="IBB1" s="51"/>
      <c r="IBC1" s="51"/>
      <c r="IBD1" s="51"/>
      <c r="IBE1" s="51"/>
      <c r="IBF1" s="51"/>
      <c r="IBG1" s="51"/>
      <c r="IBH1" s="51"/>
      <c r="IBI1" s="51"/>
      <c r="IBJ1" s="51"/>
      <c r="IBK1" s="51"/>
      <c r="IBL1" s="51"/>
      <c r="IBM1" s="51"/>
      <c r="IBN1" s="51"/>
      <c r="IBO1" s="51"/>
      <c r="IBP1" s="51"/>
      <c r="IBQ1" s="51"/>
      <c r="IBR1" s="51"/>
      <c r="IBS1" s="51"/>
      <c r="IBT1" s="51"/>
      <c r="IBU1" s="51"/>
      <c r="IBV1" s="51"/>
      <c r="IBW1" s="51"/>
      <c r="IBX1" s="51"/>
      <c r="IBY1" s="51"/>
      <c r="IBZ1" s="51"/>
      <c r="ICA1" s="51"/>
      <c r="ICB1" s="51"/>
      <c r="ICC1" s="51"/>
      <c r="ICD1" s="51"/>
      <c r="ICE1" s="51"/>
      <c r="ICF1" s="51"/>
      <c r="ICG1" s="51"/>
      <c r="ICH1" s="51"/>
      <c r="ICI1" s="51"/>
      <c r="ICJ1" s="51"/>
      <c r="ICK1" s="51"/>
      <c r="ICL1" s="51"/>
      <c r="ICM1" s="51"/>
      <c r="ICN1" s="51"/>
      <c r="ICO1" s="51"/>
      <c r="ICP1" s="51"/>
      <c r="ICQ1" s="51"/>
      <c r="ICR1" s="51"/>
      <c r="ICS1" s="51"/>
      <c r="ICT1" s="51"/>
      <c r="ICU1" s="51"/>
      <c r="ICV1" s="51"/>
      <c r="ICW1" s="51"/>
      <c r="ICX1" s="51"/>
      <c r="ICY1" s="51"/>
      <c r="ICZ1" s="51"/>
      <c r="IDA1" s="51"/>
      <c r="IDB1" s="51"/>
      <c r="IDC1" s="51"/>
      <c r="IDD1" s="51"/>
      <c r="IDE1" s="51"/>
      <c r="IDF1" s="51"/>
      <c r="IDG1" s="51"/>
      <c r="IDH1" s="51"/>
      <c r="IDI1" s="51"/>
      <c r="IDJ1" s="51"/>
      <c r="IDK1" s="51"/>
      <c r="IDL1" s="51"/>
      <c r="IDM1" s="51"/>
      <c r="IDN1" s="51"/>
      <c r="IDO1" s="51"/>
      <c r="IDP1" s="51"/>
      <c r="IDQ1" s="51"/>
      <c r="IDR1" s="51"/>
      <c r="IDS1" s="51"/>
      <c r="IDT1" s="51"/>
      <c r="IDU1" s="51"/>
      <c r="IDV1" s="51"/>
      <c r="IDW1" s="51"/>
      <c r="IDX1" s="51"/>
      <c r="IDY1" s="51"/>
      <c r="IDZ1" s="51"/>
      <c r="IEA1" s="51"/>
      <c r="IEB1" s="51"/>
      <c r="IEC1" s="51"/>
      <c r="IED1" s="51"/>
      <c r="IEE1" s="51"/>
      <c r="IEF1" s="51"/>
      <c r="IEG1" s="51"/>
      <c r="IEH1" s="51"/>
      <c r="IEI1" s="51"/>
      <c r="IEJ1" s="51"/>
      <c r="IEK1" s="51"/>
      <c r="IEL1" s="51"/>
      <c r="IEM1" s="51"/>
      <c r="IEN1" s="51"/>
      <c r="IEO1" s="51"/>
      <c r="IEP1" s="51"/>
      <c r="IEQ1" s="51"/>
      <c r="IER1" s="51"/>
      <c r="IES1" s="51"/>
      <c r="IET1" s="51"/>
      <c r="IEU1" s="51"/>
      <c r="IEV1" s="51"/>
      <c r="IEW1" s="51"/>
      <c r="IEX1" s="51"/>
      <c r="IEY1" s="51"/>
      <c r="IEZ1" s="51"/>
      <c r="IFA1" s="51"/>
      <c r="IFB1" s="51"/>
      <c r="IFC1" s="51"/>
      <c r="IFD1" s="51"/>
      <c r="IFE1" s="51"/>
      <c r="IFF1" s="51"/>
      <c r="IFG1" s="51"/>
      <c r="IFH1" s="51"/>
      <c r="IFI1" s="51"/>
      <c r="IFJ1" s="51"/>
      <c r="IFK1" s="51"/>
      <c r="IFL1" s="51"/>
      <c r="IFM1" s="51"/>
      <c r="IFN1" s="51"/>
      <c r="IFO1" s="51"/>
      <c r="IFP1" s="51"/>
      <c r="IFQ1" s="51"/>
      <c r="IFR1" s="51"/>
      <c r="IFS1" s="51"/>
      <c r="IFT1" s="51"/>
      <c r="IFU1" s="51"/>
      <c r="IFV1" s="51"/>
      <c r="IFW1" s="51"/>
      <c r="IFX1" s="51"/>
      <c r="IFY1" s="51"/>
      <c r="IFZ1" s="51"/>
      <c r="IGA1" s="51"/>
      <c r="IGB1" s="51"/>
      <c r="IGC1" s="51"/>
      <c r="IGD1" s="51"/>
      <c r="IGE1" s="51"/>
      <c r="IGF1" s="51"/>
      <c r="IGG1" s="51"/>
      <c r="IGH1" s="51"/>
      <c r="IGI1" s="51"/>
      <c r="IGJ1" s="51"/>
      <c r="IGK1" s="51"/>
      <c r="IGL1" s="51"/>
      <c r="IGM1" s="51"/>
      <c r="IGN1" s="51"/>
      <c r="IGO1" s="51"/>
      <c r="IGP1" s="51"/>
      <c r="IGQ1" s="51"/>
      <c r="IGR1" s="51"/>
      <c r="IGS1" s="51"/>
      <c r="IGT1" s="51"/>
      <c r="IGU1" s="51"/>
      <c r="IGV1" s="51"/>
      <c r="IGW1" s="51"/>
      <c r="IGX1" s="51"/>
      <c r="IGY1" s="51"/>
      <c r="IGZ1" s="51"/>
      <c r="IHA1" s="51"/>
      <c r="IHB1" s="51"/>
      <c r="IHC1" s="51"/>
      <c r="IHD1" s="51"/>
      <c r="IHE1" s="51"/>
      <c r="IHF1" s="51"/>
      <c r="IHG1" s="51"/>
      <c r="IHH1" s="51"/>
      <c r="IHI1" s="51"/>
      <c r="IHJ1" s="51"/>
      <c r="IHK1" s="51"/>
      <c r="IHL1" s="51"/>
      <c r="IHM1" s="51"/>
      <c r="IHN1" s="51"/>
      <c r="IHO1" s="51"/>
      <c r="IHP1" s="51"/>
      <c r="IHQ1" s="51"/>
      <c r="IHR1" s="51"/>
      <c r="IHS1" s="51"/>
      <c r="IHT1" s="51"/>
      <c r="IHU1" s="51"/>
      <c r="IHV1" s="51"/>
      <c r="IHW1" s="51"/>
      <c r="IHX1" s="51"/>
      <c r="IHY1" s="51"/>
      <c r="IHZ1" s="51"/>
      <c r="IIA1" s="51"/>
      <c r="IIB1" s="51"/>
      <c r="IIC1" s="51"/>
      <c r="IID1" s="51"/>
      <c r="IIE1" s="51"/>
      <c r="IIF1" s="51"/>
      <c r="IIG1" s="51"/>
      <c r="IIH1" s="51"/>
      <c r="III1" s="51"/>
      <c r="IIJ1" s="51"/>
      <c r="IIK1" s="51"/>
      <c r="IIL1" s="51"/>
      <c r="IIM1" s="51"/>
      <c r="IIN1" s="51"/>
      <c r="IIO1" s="51"/>
      <c r="IIP1" s="51"/>
      <c r="IIQ1" s="51"/>
      <c r="IIR1" s="51"/>
      <c r="IIS1" s="51"/>
      <c r="IIT1" s="51"/>
      <c r="IIU1" s="51"/>
      <c r="IIV1" s="51"/>
      <c r="IIW1" s="51"/>
      <c r="IIX1" s="51"/>
      <c r="IIY1" s="51"/>
      <c r="IIZ1" s="51"/>
      <c r="IJA1" s="51"/>
      <c r="IJB1" s="51"/>
      <c r="IJC1" s="51"/>
      <c r="IJD1" s="51"/>
      <c r="IJE1" s="51"/>
      <c r="IJF1" s="51"/>
      <c r="IJG1" s="51"/>
      <c r="IJH1" s="51"/>
      <c r="IJI1" s="51"/>
      <c r="IJJ1" s="51"/>
      <c r="IJK1" s="51"/>
      <c r="IJL1" s="51"/>
      <c r="IJM1" s="51"/>
      <c r="IJN1" s="51"/>
      <c r="IJO1" s="51"/>
      <c r="IJP1" s="51"/>
      <c r="IJQ1" s="51"/>
      <c r="IJR1" s="51"/>
      <c r="IJS1" s="51"/>
      <c r="IJT1" s="51"/>
      <c r="IJU1" s="51"/>
      <c r="IJV1" s="51"/>
      <c r="IJW1" s="51"/>
      <c r="IJX1" s="51"/>
      <c r="IJY1" s="51"/>
      <c r="IJZ1" s="51"/>
      <c r="IKA1" s="51"/>
      <c r="IKB1" s="51"/>
      <c r="IKC1" s="51"/>
      <c r="IKD1" s="51"/>
      <c r="IKE1" s="51"/>
      <c r="IKF1" s="51"/>
      <c r="IKG1" s="51"/>
      <c r="IKH1" s="51"/>
      <c r="IKI1" s="51"/>
      <c r="IKJ1" s="51"/>
      <c r="IKK1" s="51"/>
      <c r="IKL1" s="51"/>
      <c r="IKM1" s="51"/>
      <c r="IKN1" s="51"/>
      <c r="IKO1" s="51"/>
      <c r="IKP1" s="51"/>
      <c r="IKQ1" s="51"/>
      <c r="IKR1" s="51"/>
      <c r="IKS1" s="51"/>
      <c r="IKT1" s="51"/>
      <c r="IKU1" s="51"/>
      <c r="IKV1" s="51"/>
      <c r="IKW1" s="51"/>
      <c r="IKX1" s="51"/>
      <c r="IKY1" s="51"/>
      <c r="IKZ1" s="51"/>
      <c r="ILA1" s="51"/>
      <c r="ILB1" s="51"/>
      <c r="ILC1" s="51"/>
      <c r="ILD1" s="51"/>
      <c r="ILE1" s="51"/>
      <c r="ILF1" s="51"/>
      <c r="ILG1" s="51"/>
      <c r="ILH1" s="51"/>
      <c r="ILI1" s="51"/>
      <c r="ILJ1" s="51"/>
      <c r="ILK1" s="51"/>
      <c r="ILL1" s="51"/>
      <c r="ILM1" s="51"/>
      <c r="ILN1" s="51"/>
      <c r="ILO1" s="51"/>
      <c r="ILP1" s="51"/>
      <c r="ILQ1" s="51"/>
      <c r="ILR1" s="51"/>
      <c r="ILS1" s="51"/>
      <c r="ILT1" s="51"/>
      <c r="ILU1" s="51"/>
      <c r="ILV1" s="51"/>
      <c r="ILW1" s="51"/>
      <c r="ILX1" s="51"/>
      <c r="ILY1" s="51"/>
      <c r="ILZ1" s="51"/>
      <c r="IMA1" s="51"/>
      <c r="IMB1" s="51"/>
      <c r="IMC1" s="51"/>
      <c r="IMD1" s="51"/>
      <c r="IME1" s="51"/>
      <c r="IMF1" s="51"/>
      <c r="IMG1" s="51"/>
      <c r="IMH1" s="51"/>
      <c r="IMI1" s="51"/>
      <c r="IMJ1" s="51"/>
      <c r="IMK1" s="51"/>
      <c r="IML1" s="51"/>
      <c r="IMM1" s="51"/>
      <c r="IMN1" s="51"/>
      <c r="IMO1" s="51"/>
      <c r="IMP1" s="51"/>
      <c r="IMQ1" s="51"/>
      <c r="IMR1" s="51"/>
      <c r="IMS1" s="51"/>
      <c r="IMT1" s="51"/>
      <c r="IMU1" s="51"/>
      <c r="IMV1" s="51"/>
      <c r="IMW1" s="51"/>
      <c r="IMX1" s="51"/>
      <c r="IMY1" s="51"/>
      <c r="IMZ1" s="51"/>
      <c r="INA1" s="51"/>
      <c r="INB1" s="51"/>
      <c r="INC1" s="51"/>
      <c r="IND1" s="51"/>
      <c r="INE1" s="51"/>
      <c r="INF1" s="51"/>
      <c r="ING1" s="51"/>
      <c r="INH1" s="51"/>
      <c r="INI1" s="51"/>
      <c r="INJ1" s="51"/>
      <c r="INK1" s="51"/>
      <c r="INL1" s="51"/>
      <c r="INM1" s="51"/>
      <c r="INN1" s="51"/>
      <c r="INO1" s="51"/>
      <c r="INP1" s="51"/>
      <c r="INQ1" s="51"/>
      <c r="INR1" s="51"/>
      <c r="INS1" s="51"/>
      <c r="INT1" s="51"/>
      <c r="INU1" s="51"/>
      <c r="INV1" s="51"/>
      <c r="INW1" s="51"/>
      <c r="INX1" s="51"/>
      <c r="INY1" s="51"/>
      <c r="INZ1" s="51"/>
      <c r="IOA1" s="51"/>
      <c r="IOB1" s="51"/>
      <c r="IOC1" s="51"/>
      <c r="IOD1" s="51"/>
      <c r="IOE1" s="51"/>
      <c r="IOF1" s="51"/>
      <c r="IOG1" s="51"/>
      <c r="IOH1" s="51"/>
      <c r="IOI1" s="51"/>
      <c r="IOJ1" s="51"/>
      <c r="IOK1" s="51"/>
      <c r="IOL1" s="51"/>
      <c r="IOM1" s="51"/>
      <c r="ION1" s="51"/>
      <c r="IOO1" s="51"/>
      <c r="IOP1" s="51"/>
      <c r="IOQ1" s="51"/>
      <c r="IOR1" s="51"/>
      <c r="IOS1" s="51"/>
      <c r="IOT1" s="51"/>
      <c r="IOU1" s="51"/>
      <c r="IOV1" s="51"/>
      <c r="IOW1" s="51"/>
      <c r="IOX1" s="51"/>
      <c r="IOY1" s="51"/>
      <c r="IOZ1" s="51"/>
      <c r="IPA1" s="51"/>
      <c r="IPB1" s="51"/>
      <c r="IPC1" s="51"/>
      <c r="IPD1" s="51"/>
      <c r="IPE1" s="51"/>
      <c r="IPF1" s="51"/>
      <c r="IPG1" s="51"/>
      <c r="IPH1" s="51"/>
      <c r="IPI1" s="51"/>
      <c r="IPJ1" s="51"/>
      <c r="IPK1" s="51"/>
      <c r="IPL1" s="51"/>
      <c r="IPM1" s="51"/>
      <c r="IPN1" s="51"/>
      <c r="IPO1" s="51"/>
      <c r="IPP1" s="51"/>
      <c r="IPQ1" s="51"/>
      <c r="IPR1" s="51"/>
      <c r="IPS1" s="51"/>
      <c r="IPT1" s="51"/>
      <c r="IPU1" s="51"/>
      <c r="IPV1" s="51"/>
      <c r="IPW1" s="51"/>
      <c r="IPX1" s="51"/>
      <c r="IPY1" s="51"/>
      <c r="IPZ1" s="51"/>
      <c r="IQA1" s="51"/>
      <c r="IQB1" s="51"/>
      <c r="IQC1" s="51"/>
      <c r="IQD1" s="51"/>
      <c r="IQE1" s="51"/>
      <c r="IQF1" s="51"/>
      <c r="IQG1" s="51"/>
      <c r="IQH1" s="51"/>
      <c r="IQI1" s="51"/>
      <c r="IQJ1" s="51"/>
      <c r="IQK1" s="51"/>
      <c r="IQL1" s="51"/>
      <c r="IQM1" s="51"/>
      <c r="IQN1" s="51"/>
      <c r="IQO1" s="51"/>
      <c r="IQP1" s="51"/>
      <c r="IQQ1" s="51"/>
      <c r="IQR1" s="51"/>
      <c r="IQS1" s="51"/>
      <c r="IQT1" s="51"/>
      <c r="IQU1" s="51"/>
      <c r="IQV1" s="51"/>
      <c r="IQW1" s="51"/>
      <c r="IQX1" s="51"/>
      <c r="IQY1" s="51"/>
      <c r="IQZ1" s="51"/>
      <c r="IRA1" s="51"/>
      <c r="IRB1" s="51"/>
      <c r="IRC1" s="51"/>
      <c r="IRD1" s="51"/>
      <c r="IRE1" s="51"/>
      <c r="IRF1" s="51"/>
      <c r="IRG1" s="51"/>
      <c r="IRH1" s="51"/>
      <c r="IRI1" s="51"/>
      <c r="IRJ1" s="51"/>
      <c r="IRK1" s="51"/>
      <c r="IRL1" s="51"/>
      <c r="IRM1" s="51"/>
      <c r="IRN1" s="51"/>
      <c r="IRO1" s="51"/>
      <c r="IRP1" s="51"/>
      <c r="IRQ1" s="51"/>
      <c r="IRR1" s="51"/>
      <c r="IRS1" s="51"/>
      <c r="IRT1" s="51"/>
      <c r="IRU1" s="51"/>
      <c r="IRV1" s="51"/>
      <c r="IRW1" s="51"/>
      <c r="IRX1" s="51"/>
      <c r="IRY1" s="51"/>
      <c r="IRZ1" s="51"/>
      <c r="ISA1" s="51"/>
      <c r="ISB1" s="51"/>
      <c r="ISC1" s="51"/>
      <c r="ISD1" s="51"/>
      <c r="ISE1" s="51"/>
      <c r="ISF1" s="51"/>
      <c r="ISG1" s="51"/>
      <c r="ISH1" s="51"/>
      <c r="ISI1" s="51"/>
      <c r="ISJ1" s="51"/>
      <c r="ISK1" s="51"/>
      <c r="ISL1" s="51"/>
      <c r="ISM1" s="51"/>
      <c r="ISN1" s="51"/>
      <c r="ISO1" s="51"/>
      <c r="ISP1" s="51"/>
      <c r="ISQ1" s="51"/>
      <c r="ISR1" s="51"/>
      <c r="ISS1" s="51"/>
      <c r="IST1" s="51"/>
      <c r="ISU1" s="51"/>
      <c r="ISV1" s="51"/>
      <c r="ISW1" s="51"/>
      <c r="ISX1" s="51"/>
      <c r="ISY1" s="51"/>
      <c r="ISZ1" s="51"/>
      <c r="ITA1" s="51"/>
      <c r="ITB1" s="51"/>
      <c r="ITC1" s="51"/>
      <c r="ITD1" s="51"/>
      <c r="ITE1" s="51"/>
      <c r="ITF1" s="51"/>
      <c r="ITG1" s="51"/>
      <c r="ITH1" s="51"/>
      <c r="ITI1" s="51"/>
      <c r="ITJ1" s="51"/>
      <c r="ITK1" s="51"/>
      <c r="ITL1" s="51"/>
      <c r="ITM1" s="51"/>
      <c r="ITN1" s="51"/>
      <c r="ITO1" s="51"/>
      <c r="ITP1" s="51"/>
      <c r="ITQ1" s="51"/>
      <c r="ITR1" s="51"/>
      <c r="ITS1" s="51"/>
      <c r="ITT1" s="51"/>
      <c r="ITU1" s="51"/>
      <c r="ITV1" s="51"/>
      <c r="ITW1" s="51"/>
      <c r="ITX1" s="51"/>
      <c r="ITY1" s="51"/>
      <c r="ITZ1" s="51"/>
      <c r="IUA1" s="51"/>
      <c r="IUB1" s="51"/>
      <c r="IUC1" s="51"/>
      <c r="IUD1" s="51"/>
      <c r="IUE1" s="51"/>
      <c r="IUF1" s="51"/>
      <c r="IUG1" s="51"/>
      <c r="IUH1" s="51"/>
      <c r="IUI1" s="51"/>
      <c r="IUJ1" s="51"/>
      <c r="IUK1" s="51"/>
      <c r="IUL1" s="51"/>
      <c r="IUM1" s="51"/>
      <c r="IUN1" s="51"/>
      <c r="IUO1" s="51"/>
      <c r="IUP1" s="51"/>
      <c r="IUQ1" s="51"/>
      <c r="IUR1" s="51"/>
      <c r="IUS1" s="51"/>
      <c r="IUT1" s="51"/>
      <c r="IUU1" s="51"/>
      <c r="IUV1" s="51"/>
      <c r="IUW1" s="51"/>
      <c r="IUX1" s="51"/>
      <c r="IUY1" s="51"/>
      <c r="IUZ1" s="51"/>
      <c r="IVA1" s="51"/>
      <c r="IVB1" s="51"/>
      <c r="IVC1" s="51"/>
      <c r="IVD1" s="51"/>
      <c r="IVE1" s="51"/>
      <c r="IVF1" s="51"/>
      <c r="IVG1" s="51"/>
      <c r="IVH1" s="51"/>
      <c r="IVI1" s="51"/>
      <c r="IVJ1" s="51"/>
      <c r="IVK1" s="51"/>
      <c r="IVL1" s="51"/>
      <c r="IVM1" s="51"/>
      <c r="IVN1" s="51"/>
      <c r="IVO1" s="51"/>
      <c r="IVP1" s="51"/>
      <c r="IVQ1" s="51"/>
      <c r="IVR1" s="51"/>
      <c r="IVS1" s="51"/>
      <c r="IVT1" s="51"/>
      <c r="IVU1" s="51"/>
      <c r="IVV1" s="51"/>
      <c r="IVW1" s="51"/>
      <c r="IVX1" s="51"/>
      <c r="IVY1" s="51"/>
      <c r="IVZ1" s="51"/>
      <c r="IWA1" s="51"/>
      <c r="IWB1" s="51"/>
      <c r="IWC1" s="51"/>
      <c r="IWD1" s="51"/>
      <c r="IWE1" s="51"/>
      <c r="IWF1" s="51"/>
      <c r="IWG1" s="51"/>
      <c r="IWH1" s="51"/>
      <c r="IWI1" s="51"/>
      <c r="IWJ1" s="51"/>
      <c r="IWK1" s="51"/>
      <c r="IWL1" s="51"/>
      <c r="IWM1" s="51"/>
      <c r="IWN1" s="51"/>
      <c r="IWO1" s="51"/>
      <c r="IWP1" s="51"/>
      <c r="IWQ1" s="51"/>
      <c r="IWR1" s="51"/>
      <c r="IWS1" s="51"/>
      <c r="IWT1" s="51"/>
      <c r="IWU1" s="51"/>
      <c r="IWV1" s="51"/>
      <c r="IWW1" s="51"/>
      <c r="IWX1" s="51"/>
      <c r="IWY1" s="51"/>
      <c r="IWZ1" s="51"/>
      <c r="IXA1" s="51"/>
      <c r="IXB1" s="51"/>
      <c r="IXC1" s="51"/>
      <c r="IXD1" s="51"/>
      <c r="IXE1" s="51"/>
      <c r="IXF1" s="51"/>
      <c r="IXG1" s="51"/>
      <c r="IXH1" s="51"/>
      <c r="IXI1" s="51"/>
      <c r="IXJ1" s="51"/>
      <c r="IXK1" s="51"/>
      <c r="IXL1" s="51"/>
      <c r="IXM1" s="51"/>
      <c r="IXN1" s="51"/>
      <c r="IXO1" s="51"/>
      <c r="IXP1" s="51"/>
      <c r="IXQ1" s="51"/>
      <c r="IXR1" s="51"/>
      <c r="IXS1" s="51"/>
      <c r="IXT1" s="51"/>
      <c r="IXU1" s="51"/>
      <c r="IXV1" s="51"/>
      <c r="IXW1" s="51"/>
      <c r="IXX1" s="51"/>
      <c r="IXY1" s="51"/>
      <c r="IXZ1" s="51"/>
      <c r="IYA1" s="51"/>
      <c r="IYB1" s="51"/>
      <c r="IYC1" s="51"/>
      <c r="IYD1" s="51"/>
      <c r="IYE1" s="51"/>
      <c r="IYF1" s="51"/>
      <c r="IYG1" s="51"/>
      <c r="IYH1" s="51"/>
      <c r="IYI1" s="51"/>
      <c r="IYJ1" s="51"/>
      <c r="IYK1" s="51"/>
      <c r="IYL1" s="51"/>
      <c r="IYM1" s="51"/>
      <c r="IYN1" s="51"/>
      <c r="IYO1" s="51"/>
      <c r="IYP1" s="51"/>
      <c r="IYQ1" s="51"/>
      <c r="IYR1" s="51"/>
      <c r="IYS1" s="51"/>
      <c r="IYT1" s="51"/>
      <c r="IYU1" s="51"/>
      <c r="IYV1" s="51"/>
      <c r="IYW1" s="51"/>
      <c r="IYX1" s="51"/>
      <c r="IYY1" s="51"/>
      <c r="IYZ1" s="51"/>
      <c r="IZA1" s="51"/>
      <c r="IZB1" s="51"/>
      <c r="IZC1" s="51"/>
      <c r="IZD1" s="51"/>
      <c r="IZE1" s="51"/>
      <c r="IZF1" s="51"/>
      <c r="IZG1" s="51"/>
      <c r="IZH1" s="51"/>
      <c r="IZI1" s="51"/>
      <c r="IZJ1" s="51"/>
      <c r="IZK1" s="51"/>
      <c r="IZL1" s="51"/>
      <c r="IZM1" s="51"/>
      <c r="IZN1" s="51"/>
      <c r="IZO1" s="51"/>
      <c r="IZP1" s="51"/>
      <c r="IZQ1" s="51"/>
      <c r="IZR1" s="51"/>
      <c r="IZS1" s="51"/>
      <c r="IZT1" s="51"/>
      <c r="IZU1" s="51"/>
      <c r="IZV1" s="51"/>
      <c r="IZW1" s="51"/>
      <c r="IZX1" s="51"/>
      <c r="IZY1" s="51"/>
      <c r="IZZ1" s="51"/>
      <c r="JAA1" s="51"/>
      <c r="JAB1" s="51"/>
      <c r="JAC1" s="51"/>
      <c r="JAD1" s="51"/>
      <c r="JAE1" s="51"/>
      <c r="JAF1" s="51"/>
      <c r="JAG1" s="51"/>
      <c r="JAH1" s="51"/>
      <c r="JAI1" s="51"/>
      <c r="JAJ1" s="51"/>
      <c r="JAK1" s="51"/>
      <c r="JAL1" s="51"/>
      <c r="JAM1" s="51"/>
      <c r="JAN1" s="51"/>
      <c r="JAO1" s="51"/>
      <c r="JAP1" s="51"/>
      <c r="JAQ1" s="51"/>
      <c r="JAR1" s="51"/>
      <c r="JAS1" s="51"/>
      <c r="JAT1" s="51"/>
      <c r="JAU1" s="51"/>
      <c r="JAV1" s="51"/>
      <c r="JAW1" s="51"/>
      <c r="JAX1" s="51"/>
      <c r="JAY1" s="51"/>
      <c r="JAZ1" s="51"/>
      <c r="JBA1" s="51"/>
      <c r="JBB1" s="51"/>
      <c r="JBC1" s="51"/>
      <c r="JBD1" s="51"/>
      <c r="JBE1" s="51"/>
      <c r="JBF1" s="51"/>
      <c r="JBG1" s="51"/>
      <c r="JBH1" s="51"/>
      <c r="JBI1" s="51"/>
      <c r="JBJ1" s="51"/>
      <c r="JBK1" s="51"/>
      <c r="JBL1" s="51"/>
      <c r="JBM1" s="51"/>
      <c r="JBN1" s="51"/>
      <c r="JBO1" s="51"/>
      <c r="JBP1" s="51"/>
      <c r="JBQ1" s="51"/>
      <c r="JBR1" s="51"/>
      <c r="JBS1" s="51"/>
      <c r="JBT1" s="51"/>
      <c r="JBU1" s="51"/>
      <c r="JBV1" s="51"/>
      <c r="JBW1" s="51"/>
      <c r="JBX1" s="51"/>
      <c r="JBY1" s="51"/>
      <c r="JBZ1" s="51"/>
      <c r="JCA1" s="51"/>
      <c r="JCB1" s="51"/>
      <c r="JCC1" s="51"/>
      <c r="JCD1" s="51"/>
      <c r="JCE1" s="51"/>
      <c r="JCF1" s="51"/>
      <c r="JCG1" s="51"/>
      <c r="JCH1" s="51"/>
      <c r="JCI1" s="51"/>
      <c r="JCJ1" s="51"/>
      <c r="JCK1" s="51"/>
      <c r="JCL1" s="51"/>
      <c r="JCM1" s="51"/>
      <c r="JCN1" s="51"/>
      <c r="JCO1" s="51"/>
      <c r="JCP1" s="51"/>
      <c r="JCQ1" s="51"/>
      <c r="JCR1" s="51"/>
      <c r="JCS1" s="51"/>
      <c r="JCT1" s="51"/>
      <c r="JCU1" s="51"/>
      <c r="JCV1" s="51"/>
      <c r="JCW1" s="51"/>
      <c r="JCX1" s="51"/>
      <c r="JCY1" s="51"/>
      <c r="JCZ1" s="51"/>
      <c r="JDA1" s="51"/>
      <c r="JDB1" s="51"/>
      <c r="JDC1" s="51"/>
      <c r="JDD1" s="51"/>
      <c r="JDE1" s="51"/>
      <c r="JDF1" s="51"/>
      <c r="JDG1" s="51"/>
      <c r="JDH1" s="51"/>
      <c r="JDI1" s="51"/>
      <c r="JDJ1" s="51"/>
      <c r="JDK1" s="51"/>
      <c r="JDL1" s="51"/>
      <c r="JDM1" s="51"/>
      <c r="JDN1" s="51"/>
      <c r="JDO1" s="51"/>
      <c r="JDP1" s="51"/>
      <c r="JDQ1" s="51"/>
      <c r="JDR1" s="51"/>
      <c r="JDS1" s="51"/>
      <c r="JDT1" s="51"/>
      <c r="JDU1" s="51"/>
      <c r="JDV1" s="51"/>
      <c r="JDW1" s="51"/>
      <c r="JDX1" s="51"/>
      <c r="JDY1" s="51"/>
      <c r="JDZ1" s="51"/>
      <c r="JEA1" s="51"/>
      <c r="JEB1" s="51"/>
      <c r="JEC1" s="51"/>
      <c r="JED1" s="51"/>
      <c r="JEE1" s="51"/>
      <c r="JEF1" s="51"/>
      <c r="JEG1" s="51"/>
      <c r="JEH1" s="51"/>
      <c r="JEI1" s="51"/>
      <c r="JEJ1" s="51"/>
      <c r="JEK1" s="51"/>
      <c r="JEL1" s="51"/>
      <c r="JEM1" s="51"/>
      <c r="JEN1" s="51"/>
      <c r="JEO1" s="51"/>
      <c r="JEP1" s="51"/>
      <c r="JEQ1" s="51"/>
      <c r="JER1" s="51"/>
      <c r="JES1" s="51"/>
      <c r="JET1" s="51"/>
      <c r="JEU1" s="51"/>
      <c r="JEV1" s="51"/>
      <c r="JEW1" s="51"/>
      <c r="JEX1" s="51"/>
      <c r="JEY1" s="51"/>
      <c r="JEZ1" s="51"/>
      <c r="JFA1" s="51"/>
      <c r="JFB1" s="51"/>
      <c r="JFC1" s="51"/>
      <c r="JFD1" s="51"/>
      <c r="JFE1" s="51"/>
      <c r="JFF1" s="51"/>
      <c r="JFG1" s="51"/>
      <c r="JFH1" s="51"/>
      <c r="JFI1" s="51"/>
      <c r="JFJ1" s="51"/>
      <c r="JFK1" s="51"/>
      <c r="JFL1" s="51"/>
      <c r="JFM1" s="51"/>
      <c r="JFN1" s="51"/>
      <c r="JFO1" s="51"/>
      <c r="JFP1" s="51"/>
      <c r="JFQ1" s="51"/>
      <c r="JFR1" s="51"/>
      <c r="JFS1" s="51"/>
      <c r="JFT1" s="51"/>
      <c r="JFU1" s="51"/>
      <c r="JFV1" s="51"/>
      <c r="JFW1" s="51"/>
      <c r="JFX1" s="51"/>
      <c r="JFY1" s="51"/>
      <c r="JFZ1" s="51"/>
      <c r="JGA1" s="51"/>
      <c r="JGB1" s="51"/>
      <c r="JGC1" s="51"/>
      <c r="JGD1" s="51"/>
      <c r="JGE1" s="51"/>
      <c r="JGF1" s="51"/>
      <c r="JGG1" s="51"/>
      <c r="JGH1" s="51"/>
      <c r="JGI1" s="51"/>
      <c r="JGJ1" s="51"/>
      <c r="JGK1" s="51"/>
      <c r="JGL1" s="51"/>
      <c r="JGM1" s="51"/>
      <c r="JGN1" s="51"/>
      <c r="JGO1" s="51"/>
      <c r="JGP1" s="51"/>
      <c r="JGQ1" s="51"/>
      <c r="JGR1" s="51"/>
      <c r="JGS1" s="51"/>
      <c r="JGT1" s="51"/>
      <c r="JGU1" s="51"/>
      <c r="JGV1" s="51"/>
      <c r="JGW1" s="51"/>
      <c r="JGX1" s="51"/>
      <c r="JGY1" s="51"/>
      <c r="JGZ1" s="51"/>
      <c r="JHA1" s="51"/>
      <c r="JHB1" s="51"/>
      <c r="JHC1" s="51"/>
      <c r="JHD1" s="51"/>
      <c r="JHE1" s="51"/>
      <c r="JHF1" s="51"/>
      <c r="JHG1" s="51"/>
      <c r="JHH1" s="51"/>
      <c r="JHI1" s="51"/>
      <c r="JHJ1" s="51"/>
      <c r="JHK1" s="51"/>
      <c r="JHL1" s="51"/>
      <c r="JHM1" s="51"/>
      <c r="JHN1" s="51"/>
      <c r="JHO1" s="51"/>
      <c r="JHP1" s="51"/>
      <c r="JHQ1" s="51"/>
      <c r="JHR1" s="51"/>
      <c r="JHS1" s="51"/>
      <c r="JHT1" s="51"/>
      <c r="JHU1" s="51"/>
      <c r="JHV1" s="51"/>
      <c r="JHW1" s="51"/>
      <c r="JHX1" s="51"/>
      <c r="JHY1" s="51"/>
      <c r="JHZ1" s="51"/>
      <c r="JIA1" s="51"/>
      <c r="JIB1" s="51"/>
      <c r="JIC1" s="51"/>
      <c r="JID1" s="51"/>
      <c r="JIE1" s="51"/>
      <c r="JIF1" s="51"/>
      <c r="JIG1" s="51"/>
      <c r="JIH1" s="51"/>
      <c r="JII1" s="51"/>
      <c r="JIJ1" s="51"/>
      <c r="JIK1" s="51"/>
      <c r="JIL1" s="51"/>
      <c r="JIM1" s="51"/>
      <c r="JIN1" s="51"/>
      <c r="JIO1" s="51"/>
      <c r="JIP1" s="51"/>
      <c r="JIQ1" s="51"/>
      <c r="JIR1" s="51"/>
      <c r="JIS1" s="51"/>
      <c r="JIT1" s="51"/>
      <c r="JIU1" s="51"/>
      <c r="JIV1" s="51"/>
      <c r="JIW1" s="51"/>
      <c r="JIX1" s="51"/>
      <c r="JIY1" s="51"/>
      <c r="JIZ1" s="51"/>
      <c r="JJA1" s="51"/>
      <c r="JJB1" s="51"/>
      <c r="JJC1" s="51"/>
      <c r="JJD1" s="51"/>
      <c r="JJE1" s="51"/>
      <c r="JJF1" s="51"/>
      <c r="JJG1" s="51"/>
      <c r="JJH1" s="51"/>
      <c r="JJI1" s="51"/>
      <c r="JJJ1" s="51"/>
      <c r="JJK1" s="51"/>
      <c r="JJL1" s="51"/>
      <c r="JJM1" s="51"/>
      <c r="JJN1" s="51"/>
      <c r="JJO1" s="51"/>
      <c r="JJP1" s="51"/>
      <c r="JJQ1" s="51"/>
      <c r="JJR1" s="51"/>
      <c r="JJS1" s="51"/>
      <c r="JJT1" s="51"/>
      <c r="JJU1" s="51"/>
      <c r="JJV1" s="51"/>
      <c r="JJW1" s="51"/>
      <c r="JJX1" s="51"/>
      <c r="JJY1" s="51"/>
      <c r="JJZ1" s="51"/>
      <c r="JKA1" s="51"/>
      <c r="JKB1" s="51"/>
      <c r="JKC1" s="51"/>
      <c r="JKD1" s="51"/>
      <c r="JKE1" s="51"/>
      <c r="JKF1" s="51"/>
      <c r="JKG1" s="51"/>
      <c r="JKH1" s="51"/>
      <c r="JKI1" s="51"/>
      <c r="JKJ1" s="51"/>
      <c r="JKK1" s="51"/>
      <c r="JKL1" s="51"/>
      <c r="JKM1" s="51"/>
      <c r="JKN1" s="51"/>
      <c r="JKO1" s="51"/>
      <c r="JKP1" s="51"/>
      <c r="JKQ1" s="51"/>
      <c r="JKR1" s="51"/>
      <c r="JKS1" s="51"/>
      <c r="JKT1" s="51"/>
      <c r="JKU1" s="51"/>
      <c r="JKV1" s="51"/>
      <c r="JKW1" s="51"/>
      <c r="JKX1" s="51"/>
      <c r="JKY1" s="51"/>
      <c r="JKZ1" s="51"/>
      <c r="JLA1" s="51"/>
      <c r="JLB1" s="51"/>
      <c r="JLC1" s="51"/>
      <c r="JLD1" s="51"/>
      <c r="JLE1" s="51"/>
      <c r="JLF1" s="51"/>
      <c r="JLG1" s="51"/>
      <c r="JLH1" s="51"/>
      <c r="JLI1" s="51"/>
      <c r="JLJ1" s="51"/>
      <c r="JLK1" s="51"/>
      <c r="JLL1" s="51"/>
      <c r="JLM1" s="51"/>
      <c r="JLN1" s="51"/>
      <c r="JLO1" s="51"/>
      <c r="JLP1" s="51"/>
      <c r="JLQ1" s="51"/>
      <c r="JLR1" s="51"/>
      <c r="JLS1" s="51"/>
      <c r="JLT1" s="51"/>
      <c r="JLU1" s="51"/>
      <c r="JLV1" s="51"/>
      <c r="JLW1" s="51"/>
      <c r="JLX1" s="51"/>
      <c r="JLY1" s="51"/>
      <c r="JLZ1" s="51"/>
      <c r="JMA1" s="51"/>
      <c r="JMB1" s="51"/>
      <c r="JMC1" s="51"/>
      <c r="JMD1" s="51"/>
      <c r="JME1" s="51"/>
      <c r="JMF1" s="51"/>
      <c r="JMG1" s="51"/>
      <c r="JMH1" s="51"/>
      <c r="JMI1" s="51"/>
      <c r="JMJ1" s="51"/>
      <c r="JMK1" s="51"/>
      <c r="JML1" s="51"/>
      <c r="JMM1" s="51"/>
      <c r="JMN1" s="51"/>
      <c r="JMO1" s="51"/>
      <c r="JMP1" s="51"/>
      <c r="JMQ1" s="51"/>
      <c r="JMR1" s="51"/>
      <c r="JMS1" s="51"/>
      <c r="JMT1" s="51"/>
      <c r="JMU1" s="51"/>
      <c r="JMV1" s="51"/>
      <c r="JMW1" s="51"/>
      <c r="JMX1" s="51"/>
      <c r="JMY1" s="51"/>
      <c r="JMZ1" s="51"/>
      <c r="JNA1" s="51"/>
      <c r="JNB1" s="51"/>
      <c r="JNC1" s="51"/>
      <c r="JND1" s="51"/>
      <c r="JNE1" s="51"/>
      <c r="JNF1" s="51"/>
      <c r="JNG1" s="51"/>
      <c r="JNH1" s="51"/>
      <c r="JNI1" s="51"/>
      <c r="JNJ1" s="51"/>
      <c r="JNK1" s="51"/>
      <c r="JNL1" s="51"/>
      <c r="JNM1" s="51"/>
      <c r="JNN1" s="51"/>
      <c r="JNO1" s="51"/>
      <c r="JNP1" s="51"/>
      <c r="JNQ1" s="51"/>
      <c r="JNR1" s="51"/>
      <c r="JNS1" s="51"/>
      <c r="JNT1" s="51"/>
      <c r="JNU1" s="51"/>
      <c r="JNV1" s="51"/>
      <c r="JNW1" s="51"/>
      <c r="JNX1" s="51"/>
      <c r="JNY1" s="51"/>
      <c r="JNZ1" s="51"/>
      <c r="JOA1" s="51"/>
      <c r="JOB1" s="51"/>
      <c r="JOC1" s="51"/>
      <c r="JOD1" s="51"/>
      <c r="JOE1" s="51"/>
      <c r="JOF1" s="51"/>
      <c r="JOG1" s="51"/>
      <c r="JOH1" s="51"/>
      <c r="JOI1" s="51"/>
      <c r="JOJ1" s="51"/>
      <c r="JOK1" s="51"/>
      <c r="JOL1" s="51"/>
      <c r="JOM1" s="51"/>
      <c r="JON1" s="51"/>
      <c r="JOO1" s="51"/>
      <c r="JOP1" s="51"/>
      <c r="JOQ1" s="51"/>
      <c r="JOR1" s="51"/>
      <c r="JOS1" s="51"/>
      <c r="JOT1" s="51"/>
      <c r="JOU1" s="51"/>
      <c r="JOV1" s="51"/>
      <c r="JOW1" s="51"/>
      <c r="JOX1" s="51"/>
      <c r="JOY1" s="51"/>
      <c r="JOZ1" s="51"/>
      <c r="JPA1" s="51"/>
      <c r="JPB1" s="51"/>
      <c r="JPC1" s="51"/>
      <c r="JPD1" s="51"/>
      <c r="JPE1" s="51"/>
      <c r="JPF1" s="51"/>
      <c r="JPG1" s="51"/>
      <c r="JPH1" s="51"/>
      <c r="JPI1" s="51"/>
      <c r="JPJ1" s="51"/>
      <c r="JPK1" s="51"/>
      <c r="JPL1" s="51"/>
      <c r="JPM1" s="51"/>
      <c r="JPN1" s="51"/>
      <c r="JPO1" s="51"/>
      <c r="JPP1" s="51"/>
      <c r="JPQ1" s="51"/>
      <c r="JPR1" s="51"/>
      <c r="JPS1" s="51"/>
      <c r="JPT1" s="51"/>
      <c r="JPU1" s="51"/>
      <c r="JPV1" s="51"/>
      <c r="JPW1" s="51"/>
      <c r="JPX1" s="51"/>
      <c r="JPY1" s="51"/>
      <c r="JPZ1" s="51"/>
      <c r="JQA1" s="51"/>
      <c r="JQB1" s="51"/>
      <c r="JQC1" s="51"/>
      <c r="JQD1" s="51"/>
      <c r="JQE1" s="51"/>
      <c r="JQF1" s="51"/>
      <c r="JQG1" s="51"/>
      <c r="JQH1" s="51"/>
      <c r="JQI1" s="51"/>
      <c r="JQJ1" s="51"/>
      <c r="JQK1" s="51"/>
      <c r="JQL1" s="51"/>
      <c r="JQM1" s="51"/>
      <c r="JQN1" s="51"/>
      <c r="JQO1" s="51"/>
      <c r="JQP1" s="51"/>
      <c r="JQQ1" s="51"/>
      <c r="JQR1" s="51"/>
      <c r="JQS1" s="51"/>
      <c r="JQT1" s="51"/>
      <c r="JQU1" s="51"/>
      <c r="JQV1" s="51"/>
      <c r="JQW1" s="51"/>
      <c r="JQX1" s="51"/>
      <c r="JQY1" s="51"/>
      <c r="JQZ1" s="51"/>
      <c r="JRA1" s="51"/>
      <c r="JRB1" s="51"/>
      <c r="JRC1" s="51"/>
      <c r="JRD1" s="51"/>
      <c r="JRE1" s="51"/>
      <c r="JRF1" s="51"/>
      <c r="JRG1" s="51"/>
      <c r="JRH1" s="51"/>
      <c r="JRI1" s="51"/>
      <c r="JRJ1" s="51"/>
      <c r="JRK1" s="51"/>
      <c r="JRL1" s="51"/>
      <c r="JRM1" s="51"/>
      <c r="JRN1" s="51"/>
      <c r="JRO1" s="51"/>
      <c r="JRP1" s="51"/>
      <c r="JRQ1" s="51"/>
      <c r="JRR1" s="51"/>
      <c r="JRS1" s="51"/>
      <c r="JRT1" s="51"/>
      <c r="JRU1" s="51"/>
      <c r="JRV1" s="51"/>
      <c r="JRW1" s="51"/>
      <c r="JRX1" s="51"/>
      <c r="JRY1" s="51"/>
      <c r="JRZ1" s="51"/>
      <c r="JSA1" s="51"/>
      <c r="JSB1" s="51"/>
      <c r="JSC1" s="51"/>
      <c r="JSD1" s="51"/>
      <c r="JSE1" s="51"/>
      <c r="JSF1" s="51"/>
      <c r="JSG1" s="51"/>
      <c r="JSH1" s="51"/>
      <c r="JSI1" s="51"/>
      <c r="JSJ1" s="51"/>
      <c r="JSK1" s="51"/>
      <c r="JSL1" s="51"/>
      <c r="JSM1" s="51"/>
      <c r="JSN1" s="51"/>
      <c r="JSO1" s="51"/>
      <c r="JSP1" s="51"/>
      <c r="JSQ1" s="51"/>
      <c r="JSR1" s="51"/>
      <c r="JSS1" s="51"/>
      <c r="JST1" s="51"/>
      <c r="JSU1" s="51"/>
      <c r="JSV1" s="51"/>
      <c r="JSW1" s="51"/>
      <c r="JSX1" s="51"/>
      <c r="JSY1" s="51"/>
      <c r="JSZ1" s="51"/>
      <c r="JTA1" s="51"/>
      <c r="JTB1" s="51"/>
      <c r="JTC1" s="51"/>
      <c r="JTD1" s="51"/>
      <c r="JTE1" s="51"/>
      <c r="JTF1" s="51"/>
      <c r="JTG1" s="51"/>
      <c r="JTH1" s="51"/>
      <c r="JTI1" s="51"/>
      <c r="JTJ1" s="51"/>
      <c r="JTK1" s="51"/>
      <c r="JTL1" s="51"/>
      <c r="JTM1" s="51"/>
      <c r="JTN1" s="51"/>
      <c r="JTO1" s="51"/>
      <c r="JTP1" s="51"/>
      <c r="JTQ1" s="51"/>
      <c r="JTR1" s="51"/>
      <c r="JTS1" s="51"/>
      <c r="JTT1" s="51"/>
      <c r="JTU1" s="51"/>
      <c r="JTV1" s="51"/>
      <c r="JTW1" s="51"/>
      <c r="JTX1" s="51"/>
      <c r="JTY1" s="51"/>
      <c r="JTZ1" s="51"/>
      <c r="JUA1" s="51"/>
      <c r="JUB1" s="51"/>
      <c r="JUC1" s="51"/>
      <c r="JUD1" s="51"/>
      <c r="JUE1" s="51"/>
      <c r="JUF1" s="51"/>
      <c r="JUG1" s="51"/>
      <c r="JUH1" s="51"/>
      <c r="JUI1" s="51"/>
      <c r="JUJ1" s="51"/>
      <c r="JUK1" s="51"/>
      <c r="JUL1" s="51"/>
      <c r="JUM1" s="51"/>
      <c r="JUN1" s="51"/>
      <c r="JUO1" s="51"/>
      <c r="JUP1" s="51"/>
      <c r="JUQ1" s="51"/>
      <c r="JUR1" s="51"/>
      <c r="JUS1" s="51"/>
      <c r="JUT1" s="51"/>
      <c r="JUU1" s="51"/>
      <c r="JUV1" s="51"/>
      <c r="JUW1" s="51"/>
      <c r="JUX1" s="51"/>
      <c r="JUY1" s="51"/>
      <c r="JUZ1" s="51"/>
      <c r="JVA1" s="51"/>
      <c r="JVB1" s="51"/>
      <c r="JVC1" s="51"/>
      <c r="JVD1" s="51"/>
      <c r="JVE1" s="51"/>
      <c r="JVF1" s="51"/>
      <c r="JVG1" s="51"/>
      <c r="JVH1" s="51"/>
      <c r="JVI1" s="51"/>
      <c r="JVJ1" s="51"/>
      <c r="JVK1" s="51"/>
      <c r="JVL1" s="51"/>
      <c r="JVM1" s="51"/>
      <c r="JVN1" s="51"/>
      <c r="JVO1" s="51"/>
      <c r="JVP1" s="51"/>
      <c r="JVQ1" s="51"/>
      <c r="JVR1" s="51"/>
      <c r="JVS1" s="51"/>
      <c r="JVT1" s="51"/>
      <c r="JVU1" s="51"/>
      <c r="JVV1" s="51"/>
      <c r="JVW1" s="51"/>
      <c r="JVX1" s="51"/>
      <c r="JVY1" s="51"/>
      <c r="JVZ1" s="51"/>
      <c r="JWA1" s="51"/>
      <c r="JWB1" s="51"/>
      <c r="JWC1" s="51"/>
      <c r="JWD1" s="51"/>
      <c r="JWE1" s="51"/>
      <c r="JWF1" s="51"/>
      <c r="JWG1" s="51"/>
      <c r="JWH1" s="51"/>
      <c r="JWI1" s="51"/>
      <c r="JWJ1" s="51"/>
      <c r="JWK1" s="51"/>
      <c r="JWL1" s="51"/>
      <c r="JWM1" s="51"/>
      <c r="JWN1" s="51"/>
      <c r="JWO1" s="51"/>
      <c r="JWP1" s="51"/>
      <c r="JWQ1" s="51"/>
      <c r="JWR1" s="51"/>
      <c r="JWS1" s="51"/>
      <c r="JWT1" s="51"/>
      <c r="JWU1" s="51"/>
      <c r="JWV1" s="51"/>
      <c r="JWW1" s="51"/>
      <c r="JWX1" s="51"/>
      <c r="JWY1" s="51"/>
      <c r="JWZ1" s="51"/>
      <c r="JXA1" s="51"/>
      <c r="JXB1" s="51"/>
      <c r="JXC1" s="51"/>
      <c r="JXD1" s="51"/>
      <c r="JXE1" s="51"/>
      <c r="JXF1" s="51"/>
      <c r="JXG1" s="51"/>
      <c r="JXH1" s="51"/>
      <c r="JXI1" s="51"/>
      <c r="JXJ1" s="51"/>
      <c r="JXK1" s="51"/>
      <c r="JXL1" s="51"/>
      <c r="JXM1" s="51"/>
      <c r="JXN1" s="51"/>
      <c r="JXO1" s="51"/>
      <c r="JXP1" s="51"/>
      <c r="JXQ1" s="51"/>
      <c r="JXR1" s="51"/>
      <c r="JXS1" s="51"/>
      <c r="JXT1" s="51"/>
      <c r="JXU1" s="51"/>
      <c r="JXV1" s="51"/>
      <c r="JXW1" s="51"/>
      <c r="JXX1" s="51"/>
      <c r="JXY1" s="51"/>
      <c r="JXZ1" s="51"/>
      <c r="JYA1" s="51"/>
      <c r="JYB1" s="51"/>
      <c r="JYC1" s="51"/>
      <c r="JYD1" s="51"/>
      <c r="JYE1" s="51"/>
      <c r="JYF1" s="51"/>
      <c r="JYG1" s="51"/>
      <c r="JYH1" s="51"/>
      <c r="JYI1" s="51"/>
      <c r="JYJ1" s="51"/>
      <c r="JYK1" s="51"/>
      <c r="JYL1" s="51"/>
      <c r="JYM1" s="51"/>
      <c r="JYN1" s="51"/>
      <c r="JYO1" s="51"/>
      <c r="JYP1" s="51"/>
      <c r="JYQ1" s="51"/>
      <c r="JYR1" s="51"/>
      <c r="JYS1" s="51"/>
      <c r="JYT1" s="51"/>
      <c r="JYU1" s="51"/>
      <c r="JYV1" s="51"/>
      <c r="JYW1" s="51"/>
      <c r="JYX1" s="51"/>
      <c r="JYY1" s="51"/>
      <c r="JYZ1" s="51"/>
      <c r="JZA1" s="51"/>
      <c r="JZB1" s="51"/>
      <c r="JZC1" s="51"/>
      <c r="JZD1" s="51"/>
      <c r="JZE1" s="51"/>
      <c r="JZF1" s="51"/>
      <c r="JZG1" s="51"/>
      <c r="JZH1" s="51"/>
      <c r="JZI1" s="51"/>
      <c r="JZJ1" s="51"/>
      <c r="JZK1" s="51"/>
      <c r="JZL1" s="51"/>
      <c r="JZM1" s="51"/>
      <c r="JZN1" s="51"/>
      <c r="JZO1" s="51"/>
      <c r="JZP1" s="51"/>
      <c r="JZQ1" s="51"/>
      <c r="JZR1" s="51"/>
      <c r="JZS1" s="51"/>
      <c r="JZT1" s="51"/>
      <c r="JZU1" s="51"/>
      <c r="JZV1" s="51"/>
      <c r="JZW1" s="51"/>
      <c r="JZX1" s="51"/>
      <c r="JZY1" s="51"/>
      <c r="JZZ1" s="51"/>
      <c r="KAA1" s="51"/>
      <c r="KAB1" s="51"/>
      <c r="KAC1" s="51"/>
      <c r="KAD1" s="51"/>
      <c r="KAE1" s="51"/>
      <c r="KAF1" s="51"/>
      <c r="KAG1" s="51"/>
      <c r="KAH1" s="51"/>
      <c r="KAI1" s="51"/>
      <c r="KAJ1" s="51"/>
      <c r="KAK1" s="51"/>
      <c r="KAL1" s="51"/>
      <c r="KAM1" s="51"/>
      <c r="KAN1" s="51"/>
      <c r="KAO1" s="51"/>
      <c r="KAP1" s="51"/>
      <c r="KAQ1" s="51"/>
      <c r="KAR1" s="51"/>
      <c r="KAS1" s="51"/>
      <c r="KAT1" s="51"/>
      <c r="KAU1" s="51"/>
      <c r="KAV1" s="51"/>
      <c r="KAW1" s="51"/>
      <c r="KAX1" s="51"/>
      <c r="KAY1" s="51"/>
      <c r="KAZ1" s="51"/>
      <c r="KBA1" s="51"/>
      <c r="KBB1" s="51"/>
      <c r="KBC1" s="51"/>
      <c r="KBD1" s="51"/>
      <c r="KBE1" s="51"/>
      <c r="KBF1" s="51"/>
      <c r="KBG1" s="51"/>
      <c r="KBH1" s="51"/>
      <c r="KBI1" s="51"/>
      <c r="KBJ1" s="51"/>
      <c r="KBK1" s="51"/>
      <c r="KBL1" s="51"/>
      <c r="KBM1" s="51"/>
      <c r="KBN1" s="51"/>
      <c r="KBO1" s="51"/>
      <c r="KBP1" s="51"/>
      <c r="KBQ1" s="51"/>
      <c r="KBR1" s="51"/>
      <c r="KBS1" s="51"/>
      <c r="KBT1" s="51"/>
      <c r="KBU1" s="51"/>
      <c r="KBV1" s="51"/>
      <c r="KBW1" s="51"/>
      <c r="KBX1" s="51"/>
      <c r="KBY1" s="51"/>
      <c r="KBZ1" s="51"/>
      <c r="KCA1" s="51"/>
      <c r="KCB1" s="51"/>
      <c r="KCC1" s="51"/>
      <c r="KCD1" s="51"/>
      <c r="KCE1" s="51"/>
      <c r="KCF1" s="51"/>
      <c r="KCG1" s="51"/>
      <c r="KCH1" s="51"/>
      <c r="KCI1" s="51"/>
      <c r="KCJ1" s="51"/>
      <c r="KCK1" s="51"/>
      <c r="KCL1" s="51"/>
      <c r="KCM1" s="51"/>
      <c r="KCN1" s="51"/>
      <c r="KCO1" s="51"/>
      <c r="KCP1" s="51"/>
      <c r="KCQ1" s="51"/>
      <c r="KCR1" s="51"/>
      <c r="KCS1" s="51"/>
      <c r="KCT1" s="51"/>
      <c r="KCU1" s="51"/>
      <c r="KCV1" s="51"/>
      <c r="KCW1" s="51"/>
      <c r="KCX1" s="51"/>
      <c r="KCY1" s="51"/>
      <c r="KCZ1" s="51"/>
      <c r="KDA1" s="51"/>
      <c r="KDB1" s="51"/>
      <c r="KDC1" s="51"/>
      <c r="KDD1" s="51"/>
      <c r="KDE1" s="51"/>
      <c r="KDF1" s="51"/>
      <c r="KDG1" s="51"/>
      <c r="KDH1" s="51"/>
      <c r="KDI1" s="51"/>
      <c r="KDJ1" s="51"/>
      <c r="KDK1" s="51"/>
      <c r="KDL1" s="51"/>
      <c r="KDM1" s="51"/>
      <c r="KDN1" s="51"/>
      <c r="KDO1" s="51"/>
      <c r="KDP1" s="51"/>
      <c r="KDQ1" s="51"/>
      <c r="KDR1" s="51"/>
      <c r="KDS1" s="51"/>
      <c r="KDT1" s="51"/>
      <c r="KDU1" s="51"/>
      <c r="KDV1" s="51"/>
      <c r="KDW1" s="51"/>
      <c r="KDX1" s="51"/>
      <c r="KDY1" s="51"/>
      <c r="KDZ1" s="51"/>
      <c r="KEA1" s="51"/>
      <c r="KEB1" s="51"/>
      <c r="KEC1" s="51"/>
      <c r="KED1" s="51"/>
      <c r="KEE1" s="51"/>
      <c r="KEF1" s="51"/>
      <c r="KEG1" s="51"/>
      <c r="KEH1" s="51"/>
      <c r="KEI1" s="51"/>
      <c r="KEJ1" s="51"/>
      <c r="KEK1" s="51"/>
      <c r="KEL1" s="51"/>
      <c r="KEM1" s="51"/>
      <c r="KEN1" s="51"/>
      <c r="KEO1" s="51"/>
      <c r="KEP1" s="51"/>
      <c r="KEQ1" s="51"/>
      <c r="KER1" s="51"/>
      <c r="KES1" s="51"/>
      <c r="KET1" s="51"/>
      <c r="KEU1" s="51"/>
      <c r="KEV1" s="51"/>
      <c r="KEW1" s="51"/>
      <c r="KEX1" s="51"/>
      <c r="KEY1" s="51"/>
      <c r="KEZ1" s="51"/>
      <c r="KFA1" s="51"/>
      <c r="KFB1" s="51"/>
      <c r="KFC1" s="51"/>
      <c r="KFD1" s="51"/>
      <c r="KFE1" s="51"/>
      <c r="KFF1" s="51"/>
      <c r="KFG1" s="51"/>
      <c r="KFH1" s="51"/>
      <c r="KFI1" s="51"/>
      <c r="KFJ1" s="51"/>
      <c r="KFK1" s="51"/>
      <c r="KFL1" s="51"/>
      <c r="KFM1" s="51"/>
      <c r="KFN1" s="51"/>
      <c r="KFO1" s="51"/>
      <c r="KFP1" s="51"/>
      <c r="KFQ1" s="51"/>
      <c r="KFR1" s="51"/>
      <c r="KFS1" s="51"/>
      <c r="KFT1" s="51"/>
      <c r="KFU1" s="51"/>
      <c r="KFV1" s="51"/>
      <c r="KFW1" s="51"/>
      <c r="KFX1" s="51"/>
      <c r="KFY1" s="51"/>
      <c r="KFZ1" s="51"/>
      <c r="KGA1" s="51"/>
      <c r="KGB1" s="51"/>
      <c r="KGC1" s="51"/>
      <c r="KGD1" s="51"/>
      <c r="KGE1" s="51"/>
      <c r="KGF1" s="51"/>
      <c r="KGG1" s="51"/>
      <c r="KGH1" s="51"/>
      <c r="KGI1" s="51"/>
      <c r="KGJ1" s="51"/>
      <c r="KGK1" s="51"/>
      <c r="KGL1" s="51"/>
      <c r="KGM1" s="51"/>
      <c r="KGN1" s="51"/>
      <c r="KGO1" s="51"/>
      <c r="KGP1" s="51"/>
      <c r="KGQ1" s="51"/>
      <c r="KGR1" s="51"/>
      <c r="KGS1" s="51"/>
      <c r="KGT1" s="51"/>
      <c r="KGU1" s="51"/>
      <c r="KGV1" s="51"/>
      <c r="KGW1" s="51"/>
      <c r="KGX1" s="51"/>
      <c r="KGY1" s="51"/>
      <c r="KGZ1" s="51"/>
      <c r="KHA1" s="51"/>
      <c r="KHB1" s="51"/>
      <c r="KHC1" s="51"/>
      <c r="KHD1" s="51"/>
      <c r="KHE1" s="51"/>
      <c r="KHF1" s="51"/>
      <c r="KHG1" s="51"/>
      <c r="KHH1" s="51"/>
      <c r="KHI1" s="51"/>
      <c r="KHJ1" s="51"/>
      <c r="KHK1" s="51"/>
      <c r="KHL1" s="51"/>
      <c r="KHM1" s="51"/>
      <c r="KHN1" s="51"/>
      <c r="KHO1" s="51"/>
      <c r="KHP1" s="51"/>
      <c r="KHQ1" s="51"/>
      <c r="KHR1" s="51"/>
      <c r="KHS1" s="51"/>
      <c r="KHT1" s="51"/>
      <c r="KHU1" s="51"/>
      <c r="KHV1" s="51"/>
      <c r="KHW1" s="51"/>
      <c r="KHX1" s="51"/>
      <c r="KHY1" s="51"/>
      <c r="KHZ1" s="51"/>
      <c r="KIA1" s="51"/>
      <c r="KIB1" s="51"/>
      <c r="KIC1" s="51"/>
      <c r="KID1" s="51"/>
      <c r="KIE1" s="51"/>
      <c r="KIF1" s="51"/>
      <c r="KIG1" s="51"/>
      <c r="KIH1" s="51"/>
      <c r="KII1" s="51"/>
      <c r="KIJ1" s="51"/>
      <c r="KIK1" s="51"/>
      <c r="KIL1" s="51"/>
      <c r="KIM1" s="51"/>
      <c r="KIN1" s="51"/>
      <c r="KIO1" s="51"/>
      <c r="KIP1" s="51"/>
      <c r="KIQ1" s="51"/>
      <c r="KIR1" s="51"/>
      <c r="KIS1" s="51"/>
      <c r="KIT1" s="51"/>
      <c r="KIU1" s="51"/>
      <c r="KIV1" s="51"/>
      <c r="KIW1" s="51"/>
      <c r="KIX1" s="51"/>
      <c r="KIY1" s="51"/>
      <c r="KIZ1" s="51"/>
      <c r="KJA1" s="51"/>
      <c r="KJB1" s="51"/>
      <c r="KJC1" s="51"/>
      <c r="KJD1" s="51"/>
      <c r="KJE1" s="51"/>
      <c r="KJF1" s="51"/>
      <c r="KJG1" s="51"/>
      <c r="KJH1" s="51"/>
      <c r="KJI1" s="51"/>
      <c r="KJJ1" s="51"/>
      <c r="KJK1" s="51"/>
      <c r="KJL1" s="51"/>
      <c r="KJM1" s="51"/>
      <c r="KJN1" s="51"/>
      <c r="KJO1" s="51"/>
      <c r="KJP1" s="51"/>
      <c r="KJQ1" s="51"/>
      <c r="KJR1" s="51"/>
      <c r="KJS1" s="51"/>
      <c r="KJT1" s="51"/>
      <c r="KJU1" s="51"/>
      <c r="KJV1" s="51"/>
      <c r="KJW1" s="51"/>
      <c r="KJX1" s="51"/>
      <c r="KJY1" s="51"/>
      <c r="KJZ1" s="51"/>
      <c r="KKA1" s="51"/>
      <c r="KKB1" s="51"/>
      <c r="KKC1" s="51"/>
      <c r="KKD1" s="51"/>
      <c r="KKE1" s="51"/>
      <c r="KKF1" s="51"/>
      <c r="KKG1" s="51"/>
      <c r="KKH1" s="51"/>
      <c r="KKI1" s="51"/>
      <c r="KKJ1" s="51"/>
      <c r="KKK1" s="51"/>
      <c r="KKL1" s="51"/>
      <c r="KKM1" s="51"/>
      <c r="KKN1" s="51"/>
      <c r="KKO1" s="51"/>
      <c r="KKP1" s="51"/>
      <c r="KKQ1" s="51"/>
      <c r="KKR1" s="51"/>
      <c r="KKS1" s="51"/>
      <c r="KKT1" s="51"/>
      <c r="KKU1" s="51"/>
      <c r="KKV1" s="51"/>
      <c r="KKW1" s="51"/>
      <c r="KKX1" s="51"/>
      <c r="KKY1" s="51"/>
      <c r="KKZ1" s="51"/>
      <c r="KLA1" s="51"/>
      <c r="KLB1" s="51"/>
      <c r="KLC1" s="51"/>
      <c r="KLD1" s="51"/>
      <c r="KLE1" s="51"/>
      <c r="KLF1" s="51"/>
      <c r="KLG1" s="51"/>
      <c r="KLH1" s="51"/>
      <c r="KLI1" s="51"/>
      <c r="KLJ1" s="51"/>
      <c r="KLK1" s="51"/>
      <c r="KLL1" s="51"/>
      <c r="KLM1" s="51"/>
      <c r="KLN1" s="51"/>
      <c r="KLO1" s="51"/>
      <c r="KLP1" s="51"/>
      <c r="KLQ1" s="51"/>
      <c r="KLR1" s="51"/>
      <c r="KLS1" s="51"/>
      <c r="KLT1" s="51"/>
      <c r="KLU1" s="51"/>
      <c r="KLV1" s="51"/>
      <c r="KLW1" s="51"/>
      <c r="KLX1" s="51"/>
      <c r="KLY1" s="51"/>
      <c r="KLZ1" s="51"/>
      <c r="KMA1" s="51"/>
      <c r="KMB1" s="51"/>
      <c r="KMC1" s="51"/>
      <c r="KMD1" s="51"/>
      <c r="KME1" s="51"/>
      <c r="KMF1" s="51"/>
      <c r="KMG1" s="51"/>
      <c r="KMH1" s="51"/>
      <c r="KMI1" s="51"/>
      <c r="KMJ1" s="51"/>
      <c r="KMK1" s="51"/>
      <c r="KML1" s="51"/>
      <c r="KMM1" s="51"/>
      <c r="KMN1" s="51"/>
      <c r="KMO1" s="51"/>
      <c r="KMP1" s="51"/>
      <c r="KMQ1" s="51"/>
      <c r="KMR1" s="51"/>
      <c r="KMS1" s="51"/>
      <c r="KMT1" s="51"/>
      <c r="KMU1" s="51"/>
      <c r="KMV1" s="51"/>
      <c r="KMW1" s="51"/>
      <c r="KMX1" s="51"/>
      <c r="KMY1" s="51"/>
      <c r="KMZ1" s="51"/>
      <c r="KNA1" s="51"/>
      <c r="KNB1" s="51"/>
      <c r="KNC1" s="51"/>
      <c r="KND1" s="51"/>
      <c r="KNE1" s="51"/>
      <c r="KNF1" s="51"/>
      <c r="KNG1" s="51"/>
      <c r="KNH1" s="51"/>
      <c r="KNI1" s="51"/>
      <c r="KNJ1" s="51"/>
      <c r="KNK1" s="51"/>
      <c r="KNL1" s="51"/>
      <c r="KNM1" s="51"/>
      <c r="KNN1" s="51"/>
      <c r="KNO1" s="51"/>
      <c r="KNP1" s="51"/>
      <c r="KNQ1" s="51"/>
      <c r="KNR1" s="51"/>
      <c r="KNS1" s="51"/>
      <c r="KNT1" s="51"/>
      <c r="KNU1" s="51"/>
      <c r="KNV1" s="51"/>
      <c r="KNW1" s="51"/>
      <c r="KNX1" s="51"/>
      <c r="KNY1" s="51"/>
      <c r="KNZ1" s="51"/>
      <c r="KOA1" s="51"/>
      <c r="KOB1" s="51"/>
      <c r="KOC1" s="51"/>
      <c r="KOD1" s="51"/>
      <c r="KOE1" s="51"/>
      <c r="KOF1" s="51"/>
      <c r="KOG1" s="51"/>
      <c r="KOH1" s="51"/>
      <c r="KOI1" s="51"/>
      <c r="KOJ1" s="51"/>
      <c r="KOK1" s="51"/>
      <c r="KOL1" s="51"/>
      <c r="KOM1" s="51"/>
      <c r="KON1" s="51"/>
      <c r="KOO1" s="51"/>
      <c r="KOP1" s="51"/>
      <c r="KOQ1" s="51"/>
      <c r="KOR1" s="51"/>
      <c r="KOS1" s="51"/>
      <c r="KOT1" s="51"/>
      <c r="KOU1" s="51"/>
      <c r="KOV1" s="51"/>
      <c r="KOW1" s="51"/>
      <c r="KOX1" s="51"/>
      <c r="KOY1" s="51"/>
      <c r="KOZ1" s="51"/>
      <c r="KPA1" s="51"/>
      <c r="KPB1" s="51"/>
      <c r="KPC1" s="51"/>
      <c r="KPD1" s="51"/>
      <c r="KPE1" s="51"/>
      <c r="KPF1" s="51"/>
      <c r="KPG1" s="51"/>
      <c r="KPH1" s="51"/>
      <c r="KPI1" s="51"/>
      <c r="KPJ1" s="51"/>
      <c r="KPK1" s="51"/>
      <c r="KPL1" s="51"/>
      <c r="KPM1" s="51"/>
      <c r="KPN1" s="51"/>
      <c r="KPO1" s="51"/>
      <c r="KPP1" s="51"/>
      <c r="KPQ1" s="51"/>
      <c r="KPR1" s="51"/>
      <c r="KPS1" s="51"/>
      <c r="KPT1" s="51"/>
      <c r="KPU1" s="51"/>
      <c r="KPV1" s="51"/>
      <c r="KPW1" s="51"/>
      <c r="KPX1" s="51"/>
      <c r="KPY1" s="51"/>
      <c r="KPZ1" s="51"/>
      <c r="KQA1" s="51"/>
      <c r="KQB1" s="51"/>
      <c r="KQC1" s="51"/>
      <c r="KQD1" s="51"/>
      <c r="KQE1" s="51"/>
      <c r="KQF1" s="51"/>
      <c r="KQG1" s="51"/>
      <c r="KQH1" s="51"/>
      <c r="KQI1" s="51"/>
      <c r="KQJ1" s="51"/>
      <c r="KQK1" s="51"/>
      <c r="KQL1" s="51"/>
      <c r="KQM1" s="51"/>
      <c r="KQN1" s="51"/>
      <c r="KQO1" s="51"/>
      <c r="KQP1" s="51"/>
      <c r="KQQ1" s="51"/>
      <c r="KQR1" s="51"/>
      <c r="KQS1" s="51"/>
      <c r="KQT1" s="51"/>
      <c r="KQU1" s="51"/>
      <c r="KQV1" s="51"/>
      <c r="KQW1" s="51"/>
      <c r="KQX1" s="51"/>
      <c r="KQY1" s="51"/>
      <c r="KQZ1" s="51"/>
      <c r="KRA1" s="51"/>
      <c r="KRB1" s="51"/>
      <c r="KRC1" s="51"/>
      <c r="KRD1" s="51"/>
      <c r="KRE1" s="51"/>
      <c r="KRF1" s="51"/>
      <c r="KRG1" s="51"/>
      <c r="KRH1" s="51"/>
      <c r="KRI1" s="51"/>
      <c r="KRJ1" s="51"/>
      <c r="KRK1" s="51"/>
      <c r="KRL1" s="51"/>
      <c r="KRM1" s="51"/>
      <c r="KRN1" s="51"/>
      <c r="KRO1" s="51"/>
      <c r="KRP1" s="51"/>
      <c r="KRQ1" s="51"/>
      <c r="KRR1" s="51"/>
      <c r="KRS1" s="51"/>
      <c r="KRT1" s="51"/>
      <c r="KRU1" s="51"/>
      <c r="KRV1" s="51"/>
      <c r="KRW1" s="51"/>
      <c r="KRX1" s="51"/>
      <c r="KRY1" s="51"/>
      <c r="KRZ1" s="51"/>
      <c r="KSA1" s="51"/>
      <c r="KSB1" s="51"/>
      <c r="KSC1" s="51"/>
      <c r="KSD1" s="51"/>
      <c r="KSE1" s="51"/>
      <c r="KSF1" s="51"/>
      <c r="KSG1" s="51"/>
      <c r="KSH1" s="51"/>
      <c r="KSI1" s="51"/>
      <c r="KSJ1" s="51"/>
      <c r="KSK1" s="51"/>
      <c r="KSL1" s="51"/>
      <c r="KSM1" s="51"/>
      <c r="KSN1" s="51"/>
      <c r="KSO1" s="51"/>
      <c r="KSP1" s="51"/>
      <c r="KSQ1" s="51"/>
      <c r="KSR1" s="51"/>
      <c r="KSS1" s="51"/>
      <c r="KST1" s="51"/>
      <c r="KSU1" s="51"/>
      <c r="KSV1" s="51"/>
      <c r="KSW1" s="51"/>
      <c r="KSX1" s="51"/>
      <c r="KSY1" s="51"/>
      <c r="KSZ1" s="51"/>
      <c r="KTA1" s="51"/>
      <c r="KTB1" s="51"/>
      <c r="KTC1" s="51"/>
      <c r="KTD1" s="51"/>
      <c r="KTE1" s="51"/>
      <c r="KTF1" s="51"/>
      <c r="KTG1" s="51"/>
      <c r="KTH1" s="51"/>
      <c r="KTI1" s="51"/>
      <c r="KTJ1" s="51"/>
      <c r="KTK1" s="51"/>
      <c r="KTL1" s="51"/>
      <c r="KTM1" s="51"/>
      <c r="KTN1" s="51"/>
      <c r="KTO1" s="51"/>
      <c r="KTP1" s="51"/>
      <c r="KTQ1" s="51"/>
      <c r="KTR1" s="51"/>
      <c r="KTS1" s="51"/>
      <c r="KTT1" s="51"/>
      <c r="KTU1" s="51"/>
      <c r="KTV1" s="51"/>
      <c r="KTW1" s="51"/>
      <c r="KTX1" s="51"/>
      <c r="KTY1" s="51"/>
      <c r="KTZ1" s="51"/>
      <c r="KUA1" s="51"/>
      <c r="KUB1" s="51"/>
      <c r="KUC1" s="51"/>
      <c r="KUD1" s="51"/>
      <c r="KUE1" s="51"/>
      <c r="KUF1" s="51"/>
      <c r="KUG1" s="51"/>
      <c r="KUH1" s="51"/>
      <c r="KUI1" s="51"/>
      <c r="KUJ1" s="51"/>
      <c r="KUK1" s="51"/>
      <c r="KUL1" s="51"/>
      <c r="KUM1" s="51"/>
      <c r="KUN1" s="51"/>
      <c r="KUO1" s="51"/>
      <c r="KUP1" s="51"/>
      <c r="KUQ1" s="51"/>
      <c r="KUR1" s="51"/>
      <c r="KUS1" s="51"/>
      <c r="KUT1" s="51"/>
      <c r="KUU1" s="51"/>
      <c r="KUV1" s="51"/>
      <c r="KUW1" s="51"/>
      <c r="KUX1" s="51"/>
      <c r="KUY1" s="51"/>
      <c r="KUZ1" s="51"/>
      <c r="KVA1" s="51"/>
      <c r="KVB1" s="51"/>
      <c r="KVC1" s="51"/>
      <c r="KVD1" s="51"/>
      <c r="KVE1" s="51"/>
      <c r="KVF1" s="51"/>
      <c r="KVG1" s="51"/>
      <c r="KVH1" s="51"/>
      <c r="KVI1" s="51"/>
      <c r="KVJ1" s="51"/>
      <c r="KVK1" s="51"/>
      <c r="KVL1" s="51"/>
      <c r="KVM1" s="51"/>
      <c r="KVN1" s="51"/>
      <c r="KVO1" s="51"/>
      <c r="KVP1" s="51"/>
      <c r="KVQ1" s="51"/>
      <c r="KVR1" s="51"/>
      <c r="KVS1" s="51"/>
      <c r="KVT1" s="51"/>
      <c r="KVU1" s="51"/>
      <c r="KVV1" s="51"/>
      <c r="KVW1" s="51"/>
      <c r="KVX1" s="51"/>
      <c r="KVY1" s="51"/>
      <c r="KVZ1" s="51"/>
      <c r="KWA1" s="51"/>
      <c r="KWB1" s="51"/>
      <c r="KWC1" s="51"/>
      <c r="KWD1" s="51"/>
      <c r="KWE1" s="51"/>
      <c r="KWF1" s="51"/>
      <c r="KWG1" s="51"/>
      <c r="KWH1" s="51"/>
      <c r="KWI1" s="51"/>
      <c r="KWJ1" s="51"/>
      <c r="KWK1" s="51"/>
      <c r="KWL1" s="51"/>
      <c r="KWM1" s="51"/>
      <c r="KWN1" s="51"/>
      <c r="KWO1" s="51"/>
      <c r="KWP1" s="51"/>
      <c r="KWQ1" s="51"/>
      <c r="KWR1" s="51"/>
      <c r="KWS1" s="51"/>
      <c r="KWT1" s="51"/>
      <c r="KWU1" s="51"/>
      <c r="KWV1" s="51"/>
      <c r="KWW1" s="51"/>
      <c r="KWX1" s="51"/>
      <c r="KWY1" s="51"/>
      <c r="KWZ1" s="51"/>
      <c r="KXA1" s="51"/>
      <c r="KXB1" s="51"/>
      <c r="KXC1" s="51"/>
      <c r="KXD1" s="51"/>
      <c r="KXE1" s="51"/>
      <c r="KXF1" s="51"/>
      <c r="KXG1" s="51"/>
      <c r="KXH1" s="51"/>
      <c r="KXI1" s="51"/>
      <c r="KXJ1" s="51"/>
      <c r="KXK1" s="51"/>
      <c r="KXL1" s="51"/>
      <c r="KXM1" s="51"/>
      <c r="KXN1" s="51"/>
      <c r="KXO1" s="51"/>
      <c r="KXP1" s="51"/>
      <c r="KXQ1" s="51"/>
      <c r="KXR1" s="51"/>
      <c r="KXS1" s="51"/>
      <c r="KXT1" s="51"/>
      <c r="KXU1" s="51"/>
      <c r="KXV1" s="51"/>
      <c r="KXW1" s="51"/>
      <c r="KXX1" s="51"/>
      <c r="KXY1" s="51"/>
      <c r="KXZ1" s="51"/>
      <c r="KYA1" s="51"/>
      <c r="KYB1" s="51"/>
      <c r="KYC1" s="51"/>
      <c r="KYD1" s="51"/>
      <c r="KYE1" s="51"/>
      <c r="KYF1" s="51"/>
      <c r="KYG1" s="51"/>
      <c r="KYH1" s="51"/>
      <c r="KYI1" s="51"/>
      <c r="KYJ1" s="51"/>
      <c r="KYK1" s="51"/>
      <c r="KYL1" s="51"/>
      <c r="KYM1" s="51"/>
      <c r="KYN1" s="51"/>
      <c r="KYO1" s="51"/>
      <c r="KYP1" s="51"/>
      <c r="KYQ1" s="51"/>
      <c r="KYR1" s="51"/>
      <c r="KYS1" s="51"/>
      <c r="KYT1" s="51"/>
      <c r="KYU1" s="51"/>
      <c r="KYV1" s="51"/>
      <c r="KYW1" s="51"/>
      <c r="KYX1" s="51"/>
      <c r="KYY1" s="51"/>
      <c r="KYZ1" s="51"/>
      <c r="KZA1" s="51"/>
      <c r="KZB1" s="51"/>
      <c r="KZC1" s="51"/>
      <c r="KZD1" s="51"/>
      <c r="KZE1" s="51"/>
      <c r="KZF1" s="51"/>
      <c r="KZG1" s="51"/>
      <c r="KZH1" s="51"/>
      <c r="KZI1" s="51"/>
      <c r="KZJ1" s="51"/>
      <c r="KZK1" s="51"/>
      <c r="KZL1" s="51"/>
      <c r="KZM1" s="51"/>
      <c r="KZN1" s="51"/>
      <c r="KZO1" s="51"/>
      <c r="KZP1" s="51"/>
      <c r="KZQ1" s="51"/>
      <c r="KZR1" s="51"/>
      <c r="KZS1" s="51"/>
      <c r="KZT1" s="51"/>
      <c r="KZU1" s="51"/>
      <c r="KZV1" s="51"/>
      <c r="KZW1" s="51"/>
      <c r="KZX1" s="51"/>
      <c r="KZY1" s="51"/>
      <c r="KZZ1" s="51"/>
      <c r="LAA1" s="51"/>
      <c r="LAB1" s="51"/>
      <c r="LAC1" s="51"/>
      <c r="LAD1" s="51"/>
      <c r="LAE1" s="51"/>
      <c r="LAF1" s="51"/>
      <c r="LAG1" s="51"/>
      <c r="LAH1" s="51"/>
      <c r="LAI1" s="51"/>
      <c r="LAJ1" s="51"/>
      <c r="LAK1" s="51"/>
      <c r="LAL1" s="51"/>
      <c r="LAM1" s="51"/>
      <c r="LAN1" s="51"/>
      <c r="LAO1" s="51"/>
      <c r="LAP1" s="51"/>
      <c r="LAQ1" s="51"/>
      <c r="LAR1" s="51"/>
      <c r="LAS1" s="51"/>
      <c r="LAT1" s="51"/>
      <c r="LAU1" s="51"/>
      <c r="LAV1" s="51"/>
      <c r="LAW1" s="51"/>
      <c r="LAX1" s="51"/>
      <c r="LAY1" s="51"/>
      <c r="LAZ1" s="51"/>
      <c r="LBA1" s="51"/>
      <c r="LBB1" s="51"/>
      <c r="LBC1" s="51"/>
      <c r="LBD1" s="51"/>
      <c r="LBE1" s="51"/>
      <c r="LBF1" s="51"/>
      <c r="LBG1" s="51"/>
      <c r="LBH1" s="51"/>
      <c r="LBI1" s="51"/>
      <c r="LBJ1" s="51"/>
      <c r="LBK1" s="51"/>
      <c r="LBL1" s="51"/>
      <c r="LBM1" s="51"/>
      <c r="LBN1" s="51"/>
      <c r="LBO1" s="51"/>
      <c r="LBP1" s="51"/>
      <c r="LBQ1" s="51"/>
      <c r="LBR1" s="51"/>
      <c r="LBS1" s="51"/>
      <c r="LBT1" s="51"/>
      <c r="LBU1" s="51"/>
      <c r="LBV1" s="51"/>
      <c r="LBW1" s="51"/>
      <c r="LBX1" s="51"/>
      <c r="LBY1" s="51"/>
      <c r="LBZ1" s="51"/>
      <c r="LCA1" s="51"/>
      <c r="LCB1" s="51"/>
      <c r="LCC1" s="51"/>
      <c r="LCD1" s="51"/>
      <c r="LCE1" s="51"/>
      <c r="LCF1" s="51"/>
      <c r="LCG1" s="51"/>
      <c r="LCH1" s="51"/>
      <c r="LCI1" s="51"/>
      <c r="LCJ1" s="51"/>
      <c r="LCK1" s="51"/>
      <c r="LCL1" s="51"/>
      <c r="LCM1" s="51"/>
      <c r="LCN1" s="51"/>
      <c r="LCO1" s="51"/>
      <c r="LCP1" s="51"/>
      <c r="LCQ1" s="51"/>
      <c r="LCR1" s="51"/>
      <c r="LCS1" s="51"/>
      <c r="LCT1" s="51"/>
      <c r="LCU1" s="51"/>
      <c r="LCV1" s="51"/>
      <c r="LCW1" s="51"/>
      <c r="LCX1" s="51"/>
      <c r="LCY1" s="51"/>
      <c r="LCZ1" s="51"/>
      <c r="LDA1" s="51"/>
      <c r="LDB1" s="51"/>
      <c r="LDC1" s="51"/>
      <c r="LDD1" s="51"/>
      <c r="LDE1" s="51"/>
      <c r="LDF1" s="51"/>
      <c r="LDG1" s="51"/>
      <c r="LDH1" s="51"/>
      <c r="LDI1" s="51"/>
      <c r="LDJ1" s="51"/>
      <c r="LDK1" s="51"/>
      <c r="LDL1" s="51"/>
      <c r="LDM1" s="51"/>
      <c r="LDN1" s="51"/>
      <c r="LDO1" s="51"/>
      <c r="LDP1" s="51"/>
      <c r="LDQ1" s="51"/>
      <c r="LDR1" s="51"/>
      <c r="LDS1" s="51"/>
      <c r="LDT1" s="51"/>
      <c r="LDU1" s="51"/>
      <c r="LDV1" s="51"/>
      <c r="LDW1" s="51"/>
      <c r="LDX1" s="51"/>
      <c r="LDY1" s="51"/>
      <c r="LDZ1" s="51"/>
      <c r="LEA1" s="51"/>
      <c r="LEB1" s="51"/>
      <c r="LEC1" s="51"/>
      <c r="LED1" s="51"/>
      <c r="LEE1" s="51"/>
      <c r="LEF1" s="51"/>
      <c r="LEG1" s="51"/>
      <c r="LEH1" s="51"/>
      <c r="LEI1" s="51"/>
      <c r="LEJ1" s="51"/>
      <c r="LEK1" s="51"/>
      <c r="LEL1" s="51"/>
      <c r="LEM1" s="51"/>
      <c r="LEN1" s="51"/>
      <c r="LEO1" s="51"/>
      <c r="LEP1" s="51"/>
      <c r="LEQ1" s="51"/>
      <c r="LER1" s="51"/>
      <c r="LES1" s="51"/>
      <c r="LET1" s="51"/>
      <c r="LEU1" s="51"/>
      <c r="LEV1" s="51"/>
      <c r="LEW1" s="51"/>
      <c r="LEX1" s="51"/>
      <c r="LEY1" s="51"/>
      <c r="LEZ1" s="51"/>
      <c r="LFA1" s="51"/>
      <c r="LFB1" s="51"/>
      <c r="LFC1" s="51"/>
      <c r="LFD1" s="51"/>
      <c r="LFE1" s="51"/>
      <c r="LFF1" s="51"/>
      <c r="LFG1" s="51"/>
      <c r="LFH1" s="51"/>
      <c r="LFI1" s="51"/>
      <c r="LFJ1" s="51"/>
      <c r="LFK1" s="51"/>
      <c r="LFL1" s="51"/>
      <c r="LFM1" s="51"/>
      <c r="LFN1" s="51"/>
      <c r="LFO1" s="51"/>
      <c r="LFP1" s="51"/>
      <c r="LFQ1" s="51"/>
      <c r="LFR1" s="51"/>
      <c r="LFS1" s="51"/>
      <c r="LFT1" s="51"/>
      <c r="LFU1" s="51"/>
      <c r="LFV1" s="51"/>
      <c r="LFW1" s="51"/>
      <c r="LFX1" s="51"/>
      <c r="LFY1" s="51"/>
      <c r="LFZ1" s="51"/>
      <c r="LGA1" s="51"/>
      <c r="LGB1" s="51"/>
      <c r="LGC1" s="51"/>
      <c r="LGD1" s="51"/>
      <c r="LGE1" s="51"/>
      <c r="LGF1" s="51"/>
      <c r="LGG1" s="51"/>
      <c r="LGH1" s="51"/>
      <c r="LGI1" s="51"/>
      <c r="LGJ1" s="51"/>
      <c r="LGK1" s="51"/>
      <c r="LGL1" s="51"/>
      <c r="LGM1" s="51"/>
      <c r="LGN1" s="51"/>
      <c r="LGO1" s="51"/>
      <c r="LGP1" s="51"/>
      <c r="LGQ1" s="51"/>
      <c r="LGR1" s="51"/>
      <c r="LGS1" s="51"/>
      <c r="LGT1" s="51"/>
      <c r="LGU1" s="51"/>
      <c r="LGV1" s="51"/>
      <c r="LGW1" s="51"/>
      <c r="LGX1" s="51"/>
      <c r="LGY1" s="51"/>
      <c r="LGZ1" s="51"/>
      <c r="LHA1" s="51"/>
      <c r="LHB1" s="51"/>
      <c r="LHC1" s="51"/>
      <c r="LHD1" s="51"/>
      <c r="LHE1" s="51"/>
      <c r="LHF1" s="51"/>
      <c r="LHG1" s="51"/>
      <c r="LHH1" s="51"/>
      <c r="LHI1" s="51"/>
      <c r="LHJ1" s="51"/>
      <c r="LHK1" s="51"/>
      <c r="LHL1" s="51"/>
      <c r="LHM1" s="51"/>
      <c r="LHN1" s="51"/>
      <c r="LHO1" s="51"/>
      <c r="LHP1" s="51"/>
      <c r="LHQ1" s="51"/>
      <c r="LHR1" s="51"/>
      <c r="LHS1" s="51"/>
      <c r="LHT1" s="51"/>
      <c r="LHU1" s="51"/>
      <c r="LHV1" s="51"/>
      <c r="LHW1" s="51"/>
      <c r="LHX1" s="51"/>
      <c r="LHY1" s="51"/>
      <c r="LHZ1" s="51"/>
      <c r="LIA1" s="51"/>
      <c r="LIB1" s="51"/>
      <c r="LIC1" s="51"/>
      <c r="LID1" s="51"/>
      <c r="LIE1" s="51"/>
      <c r="LIF1" s="51"/>
      <c r="LIG1" s="51"/>
      <c r="LIH1" s="51"/>
      <c r="LII1" s="51"/>
      <c r="LIJ1" s="51"/>
      <c r="LIK1" s="51"/>
      <c r="LIL1" s="51"/>
      <c r="LIM1" s="51"/>
      <c r="LIN1" s="51"/>
      <c r="LIO1" s="51"/>
      <c r="LIP1" s="51"/>
      <c r="LIQ1" s="51"/>
      <c r="LIR1" s="51"/>
      <c r="LIS1" s="51"/>
      <c r="LIT1" s="51"/>
      <c r="LIU1" s="51"/>
      <c r="LIV1" s="51"/>
      <c r="LIW1" s="51"/>
      <c r="LIX1" s="51"/>
      <c r="LIY1" s="51"/>
      <c r="LIZ1" s="51"/>
      <c r="LJA1" s="51"/>
      <c r="LJB1" s="51"/>
      <c r="LJC1" s="51"/>
      <c r="LJD1" s="51"/>
      <c r="LJE1" s="51"/>
      <c r="LJF1" s="51"/>
      <c r="LJG1" s="51"/>
      <c r="LJH1" s="51"/>
      <c r="LJI1" s="51"/>
      <c r="LJJ1" s="51"/>
      <c r="LJK1" s="51"/>
      <c r="LJL1" s="51"/>
      <c r="LJM1" s="51"/>
      <c r="LJN1" s="51"/>
      <c r="LJO1" s="51"/>
      <c r="LJP1" s="51"/>
      <c r="LJQ1" s="51"/>
      <c r="LJR1" s="51"/>
      <c r="LJS1" s="51"/>
      <c r="LJT1" s="51"/>
      <c r="LJU1" s="51"/>
      <c r="LJV1" s="51"/>
      <c r="LJW1" s="51"/>
      <c r="LJX1" s="51"/>
      <c r="LJY1" s="51"/>
      <c r="LJZ1" s="51"/>
      <c r="LKA1" s="51"/>
      <c r="LKB1" s="51"/>
      <c r="LKC1" s="51"/>
      <c r="LKD1" s="51"/>
      <c r="LKE1" s="51"/>
      <c r="LKF1" s="51"/>
      <c r="LKG1" s="51"/>
      <c r="LKH1" s="51"/>
      <c r="LKI1" s="51"/>
      <c r="LKJ1" s="51"/>
      <c r="LKK1" s="51"/>
      <c r="LKL1" s="51"/>
      <c r="LKM1" s="51"/>
      <c r="LKN1" s="51"/>
      <c r="LKO1" s="51"/>
      <c r="LKP1" s="51"/>
      <c r="LKQ1" s="51"/>
      <c r="LKR1" s="51"/>
      <c r="LKS1" s="51"/>
      <c r="LKT1" s="51"/>
      <c r="LKU1" s="51"/>
      <c r="LKV1" s="51"/>
      <c r="LKW1" s="51"/>
      <c r="LKX1" s="51"/>
      <c r="LKY1" s="51"/>
      <c r="LKZ1" s="51"/>
      <c r="LLA1" s="51"/>
      <c r="LLB1" s="51"/>
      <c r="LLC1" s="51"/>
      <c r="LLD1" s="51"/>
      <c r="LLE1" s="51"/>
      <c r="LLF1" s="51"/>
      <c r="LLG1" s="51"/>
      <c r="LLH1" s="51"/>
      <c r="LLI1" s="51"/>
      <c r="LLJ1" s="51"/>
      <c r="LLK1" s="51"/>
      <c r="LLL1" s="51"/>
      <c r="LLM1" s="51"/>
      <c r="LLN1" s="51"/>
      <c r="LLO1" s="51"/>
      <c r="LLP1" s="51"/>
      <c r="LLQ1" s="51"/>
      <c r="LLR1" s="51"/>
      <c r="LLS1" s="51"/>
      <c r="LLT1" s="51"/>
      <c r="LLU1" s="51"/>
      <c r="LLV1" s="51"/>
      <c r="LLW1" s="51"/>
      <c r="LLX1" s="51"/>
      <c r="LLY1" s="51"/>
      <c r="LLZ1" s="51"/>
      <c r="LMA1" s="51"/>
      <c r="LMB1" s="51"/>
      <c r="LMC1" s="51"/>
      <c r="LMD1" s="51"/>
      <c r="LME1" s="51"/>
      <c r="LMF1" s="51"/>
      <c r="LMG1" s="51"/>
      <c r="LMH1" s="51"/>
      <c r="LMI1" s="51"/>
      <c r="LMJ1" s="51"/>
      <c r="LMK1" s="51"/>
      <c r="LML1" s="51"/>
      <c r="LMM1" s="51"/>
      <c r="LMN1" s="51"/>
      <c r="LMO1" s="51"/>
      <c r="LMP1" s="51"/>
      <c r="LMQ1" s="51"/>
      <c r="LMR1" s="51"/>
      <c r="LMS1" s="51"/>
      <c r="LMT1" s="51"/>
      <c r="LMU1" s="51"/>
      <c r="LMV1" s="51"/>
      <c r="LMW1" s="51"/>
      <c r="LMX1" s="51"/>
      <c r="LMY1" s="51"/>
      <c r="LMZ1" s="51"/>
      <c r="LNA1" s="51"/>
      <c r="LNB1" s="51"/>
      <c r="LNC1" s="51"/>
      <c r="LND1" s="51"/>
      <c r="LNE1" s="51"/>
      <c r="LNF1" s="51"/>
      <c r="LNG1" s="51"/>
      <c r="LNH1" s="51"/>
      <c r="LNI1" s="51"/>
      <c r="LNJ1" s="51"/>
      <c r="LNK1" s="51"/>
      <c r="LNL1" s="51"/>
      <c r="LNM1" s="51"/>
      <c r="LNN1" s="51"/>
      <c r="LNO1" s="51"/>
      <c r="LNP1" s="51"/>
      <c r="LNQ1" s="51"/>
      <c r="LNR1" s="51"/>
      <c r="LNS1" s="51"/>
      <c r="LNT1" s="51"/>
      <c r="LNU1" s="51"/>
      <c r="LNV1" s="51"/>
      <c r="LNW1" s="51"/>
      <c r="LNX1" s="51"/>
      <c r="LNY1" s="51"/>
      <c r="LNZ1" s="51"/>
      <c r="LOA1" s="51"/>
      <c r="LOB1" s="51"/>
      <c r="LOC1" s="51"/>
      <c r="LOD1" s="51"/>
      <c r="LOE1" s="51"/>
      <c r="LOF1" s="51"/>
      <c r="LOG1" s="51"/>
      <c r="LOH1" s="51"/>
      <c r="LOI1" s="51"/>
      <c r="LOJ1" s="51"/>
      <c r="LOK1" s="51"/>
      <c r="LOL1" s="51"/>
      <c r="LOM1" s="51"/>
      <c r="LON1" s="51"/>
      <c r="LOO1" s="51"/>
      <c r="LOP1" s="51"/>
      <c r="LOQ1" s="51"/>
      <c r="LOR1" s="51"/>
      <c r="LOS1" s="51"/>
      <c r="LOT1" s="51"/>
      <c r="LOU1" s="51"/>
      <c r="LOV1" s="51"/>
      <c r="LOW1" s="51"/>
      <c r="LOX1" s="51"/>
      <c r="LOY1" s="51"/>
      <c r="LOZ1" s="51"/>
      <c r="LPA1" s="51"/>
      <c r="LPB1" s="51"/>
      <c r="LPC1" s="51"/>
      <c r="LPD1" s="51"/>
      <c r="LPE1" s="51"/>
      <c r="LPF1" s="51"/>
      <c r="LPG1" s="51"/>
      <c r="LPH1" s="51"/>
      <c r="LPI1" s="51"/>
      <c r="LPJ1" s="51"/>
      <c r="LPK1" s="51"/>
      <c r="LPL1" s="51"/>
      <c r="LPM1" s="51"/>
      <c r="LPN1" s="51"/>
      <c r="LPO1" s="51"/>
      <c r="LPP1" s="51"/>
      <c r="LPQ1" s="51"/>
      <c r="LPR1" s="51"/>
      <c r="LPS1" s="51"/>
      <c r="LPT1" s="51"/>
      <c r="LPU1" s="51"/>
      <c r="LPV1" s="51"/>
      <c r="LPW1" s="51"/>
      <c r="LPX1" s="51"/>
      <c r="LPY1" s="51"/>
      <c r="LPZ1" s="51"/>
      <c r="LQA1" s="51"/>
      <c r="LQB1" s="51"/>
      <c r="LQC1" s="51"/>
      <c r="LQD1" s="51"/>
      <c r="LQE1" s="51"/>
      <c r="LQF1" s="51"/>
      <c r="LQG1" s="51"/>
      <c r="LQH1" s="51"/>
      <c r="LQI1" s="51"/>
      <c r="LQJ1" s="51"/>
      <c r="LQK1" s="51"/>
      <c r="LQL1" s="51"/>
      <c r="LQM1" s="51"/>
      <c r="LQN1" s="51"/>
      <c r="LQO1" s="51"/>
      <c r="LQP1" s="51"/>
      <c r="LQQ1" s="51"/>
      <c r="LQR1" s="51"/>
      <c r="LQS1" s="51"/>
      <c r="LQT1" s="51"/>
      <c r="LQU1" s="51"/>
      <c r="LQV1" s="51"/>
      <c r="LQW1" s="51"/>
      <c r="LQX1" s="51"/>
      <c r="LQY1" s="51"/>
      <c r="LQZ1" s="51"/>
      <c r="LRA1" s="51"/>
      <c r="LRB1" s="51"/>
      <c r="LRC1" s="51"/>
      <c r="LRD1" s="51"/>
      <c r="LRE1" s="51"/>
      <c r="LRF1" s="51"/>
      <c r="LRG1" s="51"/>
      <c r="LRH1" s="51"/>
      <c r="LRI1" s="51"/>
      <c r="LRJ1" s="51"/>
      <c r="LRK1" s="51"/>
      <c r="LRL1" s="51"/>
      <c r="LRM1" s="51"/>
      <c r="LRN1" s="51"/>
      <c r="LRO1" s="51"/>
      <c r="LRP1" s="51"/>
      <c r="LRQ1" s="51"/>
      <c r="LRR1" s="51"/>
      <c r="LRS1" s="51"/>
      <c r="LRT1" s="51"/>
      <c r="LRU1" s="51"/>
      <c r="LRV1" s="51"/>
      <c r="LRW1" s="51"/>
      <c r="LRX1" s="51"/>
      <c r="LRY1" s="51"/>
      <c r="LRZ1" s="51"/>
      <c r="LSA1" s="51"/>
      <c r="LSB1" s="51"/>
      <c r="LSC1" s="51"/>
      <c r="LSD1" s="51"/>
      <c r="LSE1" s="51"/>
      <c r="LSF1" s="51"/>
      <c r="LSG1" s="51"/>
      <c r="LSH1" s="51"/>
      <c r="LSI1" s="51"/>
      <c r="LSJ1" s="51"/>
      <c r="LSK1" s="51"/>
      <c r="LSL1" s="51"/>
      <c r="LSM1" s="51"/>
      <c r="LSN1" s="51"/>
      <c r="LSO1" s="51"/>
      <c r="LSP1" s="51"/>
      <c r="LSQ1" s="51"/>
      <c r="LSR1" s="51"/>
      <c r="LSS1" s="51"/>
      <c r="LST1" s="51"/>
      <c r="LSU1" s="51"/>
      <c r="LSV1" s="51"/>
      <c r="LSW1" s="51"/>
      <c r="LSX1" s="51"/>
      <c r="LSY1" s="51"/>
      <c r="LSZ1" s="51"/>
      <c r="LTA1" s="51"/>
      <c r="LTB1" s="51"/>
      <c r="LTC1" s="51"/>
      <c r="LTD1" s="51"/>
      <c r="LTE1" s="51"/>
      <c r="LTF1" s="51"/>
      <c r="LTG1" s="51"/>
      <c r="LTH1" s="51"/>
      <c r="LTI1" s="51"/>
      <c r="LTJ1" s="51"/>
      <c r="LTK1" s="51"/>
      <c r="LTL1" s="51"/>
      <c r="LTM1" s="51"/>
      <c r="LTN1" s="51"/>
      <c r="LTO1" s="51"/>
      <c r="LTP1" s="51"/>
      <c r="LTQ1" s="51"/>
      <c r="LTR1" s="51"/>
      <c r="LTS1" s="51"/>
      <c r="LTT1" s="51"/>
      <c r="LTU1" s="51"/>
      <c r="LTV1" s="51"/>
      <c r="LTW1" s="51"/>
      <c r="LTX1" s="51"/>
      <c r="LTY1" s="51"/>
      <c r="LTZ1" s="51"/>
      <c r="LUA1" s="51"/>
      <c r="LUB1" s="51"/>
      <c r="LUC1" s="51"/>
      <c r="LUD1" s="51"/>
      <c r="LUE1" s="51"/>
      <c r="LUF1" s="51"/>
      <c r="LUG1" s="51"/>
      <c r="LUH1" s="51"/>
      <c r="LUI1" s="51"/>
      <c r="LUJ1" s="51"/>
      <c r="LUK1" s="51"/>
      <c r="LUL1" s="51"/>
      <c r="LUM1" s="51"/>
      <c r="LUN1" s="51"/>
      <c r="LUO1" s="51"/>
      <c r="LUP1" s="51"/>
      <c r="LUQ1" s="51"/>
      <c r="LUR1" s="51"/>
      <c r="LUS1" s="51"/>
      <c r="LUT1" s="51"/>
      <c r="LUU1" s="51"/>
      <c r="LUV1" s="51"/>
      <c r="LUW1" s="51"/>
      <c r="LUX1" s="51"/>
      <c r="LUY1" s="51"/>
      <c r="LUZ1" s="51"/>
      <c r="LVA1" s="51"/>
      <c r="LVB1" s="51"/>
      <c r="LVC1" s="51"/>
      <c r="LVD1" s="51"/>
      <c r="LVE1" s="51"/>
      <c r="LVF1" s="51"/>
      <c r="LVG1" s="51"/>
      <c r="LVH1" s="51"/>
      <c r="LVI1" s="51"/>
      <c r="LVJ1" s="51"/>
      <c r="LVK1" s="51"/>
      <c r="LVL1" s="51"/>
      <c r="LVM1" s="51"/>
      <c r="LVN1" s="51"/>
      <c r="LVO1" s="51"/>
      <c r="LVP1" s="51"/>
      <c r="LVQ1" s="51"/>
      <c r="LVR1" s="51"/>
      <c r="LVS1" s="51"/>
      <c r="LVT1" s="51"/>
      <c r="LVU1" s="51"/>
      <c r="LVV1" s="51"/>
      <c r="LVW1" s="51"/>
      <c r="LVX1" s="51"/>
      <c r="LVY1" s="51"/>
      <c r="LVZ1" s="51"/>
      <c r="LWA1" s="51"/>
      <c r="LWB1" s="51"/>
      <c r="LWC1" s="51"/>
      <c r="LWD1" s="51"/>
      <c r="LWE1" s="51"/>
      <c r="LWF1" s="51"/>
      <c r="LWG1" s="51"/>
      <c r="LWH1" s="51"/>
      <c r="LWI1" s="51"/>
      <c r="LWJ1" s="51"/>
      <c r="LWK1" s="51"/>
      <c r="LWL1" s="51"/>
      <c r="LWM1" s="51"/>
      <c r="LWN1" s="51"/>
      <c r="LWO1" s="51"/>
      <c r="LWP1" s="51"/>
      <c r="LWQ1" s="51"/>
      <c r="LWR1" s="51"/>
      <c r="LWS1" s="51"/>
      <c r="LWT1" s="51"/>
      <c r="LWU1" s="51"/>
      <c r="LWV1" s="51"/>
      <c r="LWW1" s="51"/>
      <c r="LWX1" s="51"/>
      <c r="LWY1" s="51"/>
      <c r="LWZ1" s="51"/>
      <c r="LXA1" s="51"/>
      <c r="LXB1" s="51"/>
      <c r="LXC1" s="51"/>
      <c r="LXD1" s="51"/>
      <c r="LXE1" s="51"/>
      <c r="LXF1" s="51"/>
      <c r="LXG1" s="51"/>
      <c r="LXH1" s="51"/>
      <c r="LXI1" s="51"/>
      <c r="LXJ1" s="51"/>
      <c r="LXK1" s="51"/>
      <c r="LXL1" s="51"/>
      <c r="LXM1" s="51"/>
      <c r="LXN1" s="51"/>
      <c r="LXO1" s="51"/>
      <c r="LXP1" s="51"/>
      <c r="LXQ1" s="51"/>
      <c r="LXR1" s="51"/>
      <c r="LXS1" s="51"/>
      <c r="LXT1" s="51"/>
      <c r="LXU1" s="51"/>
      <c r="LXV1" s="51"/>
      <c r="LXW1" s="51"/>
      <c r="LXX1" s="51"/>
      <c r="LXY1" s="51"/>
      <c r="LXZ1" s="51"/>
      <c r="LYA1" s="51"/>
      <c r="LYB1" s="51"/>
      <c r="LYC1" s="51"/>
      <c r="LYD1" s="51"/>
      <c r="LYE1" s="51"/>
      <c r="LYF1" s="51"/>
      <c r="LYG1" s="51"/>
      <c r="LYH1" s="51"/>
      <c r="LYI1" s="51"/>
      <c r="LYJ1" s="51"/>
      <c r="LYK1" s="51"/>
      <c r="LYL1" s="51"/>
      <c r="LYM1" s="51"/>
      <c r="LYN1" s="51"/>
      <c r="LYO1" s="51"/>
      <c r="LYP1" s="51"/>
      <c r="LYQ1" s="51"/>
      <c r="LYR1" s="51"/>
      <c r="LYS1" s="51"/>
      <c r="LYT1" s="51"/>
      <c r="LYU1" s="51"/>
      <c r="LYV1" s="51"/>
      <c r="LYW1" s="51"/>
      <c r="LYX1" s="51"/>
      <c r="LYY1" s="51"/>
      <c r="LYZ1" s="51"/>
      <c r="LZA1" s="51"/>
      <c r="LZB1" s="51"/>
      <c r="LZC1" s="51"/>
      <c r="LZD1" s="51"/>
      <c r="LZE1" s="51"/>
      <c r="LZF1" s="51"/>
      <c r="LZG1" s="51"/>
      <c r="LZH1" s="51"/>
      <c r="LZI1" s="51"/>
      <c r="LZJ1" s="51"/>
      <c r="LZK1" s="51"/>
      <c r="LZL1" s="51"/>
      <c r="LZM1" s="51"/>
      <c r="LZN1" s="51"/>
      <c r="LZO1" s="51"/>
      <c r="LZP1" s="51"/>
      <c r="LZQ1" s="51"/>
      <c r="LZR1" s="51"/>
      <c r="LZS1" s="51"/>
      <c r="LZT1" s="51"/>
      <c r="LZU1" s="51"/>
      <c r="LZV1" s="51"/>
      <c r="LZW1" s="51"/>
      <c r="LZX1" s="51"/>
      <c r="LZY1" s="51"/>
      <c r="LZZ1" s="51"/>
      <c r="MAA1" s="51"/>
      <c r="MAB1" s="51"/>
      <c r="MAC1" s="51"/>
      <c r="MAD1" s="51"/>
      <c r="MAE1" s="51"/>
      <c r="MAF1" s="51"/>
      <c r="MAG1" s="51"/>
      <c r="MAH1" s="51"/>
      <c r="MAI1" s="51"/>
      <c r="MAJ1" s="51"/>
      <c r="MAK1" s="51"/>
      <c r="MAL1" s="51"/>
      <c r="MAM1" s="51"/>
      <c r="MAN1" s="51"/>
      <c r="MAO1" s="51"/>
      <c r="MAP1" s="51"/>
      <c r="MAQ1" s="51"/>
      <c r="MAR1" s="51"/>
      <c r="MAS1" s="51"/>
      <c r="MAT1" s="51"/>
      <c r="MAU1" s="51"/>
      <c r="MAV1" s="51"/>
      <c r="MAW1" s="51"/>
      <c r="MAX1" s="51"/>
      <c r="MAY1" s="51"/>
      <c r="MAZ1" s="51"/>
      <c r="MBA1" s="51"/>
      <c r="MBB1" s="51"/>
      <c r="MBC1" s="51"/>
      <c r="MBD1" s="51"/>
      <c r="MBE1" s="51"/>
      <c r="MBF1" s="51"/>
      <c r="MBG1" s="51"/>
      <c r="MBH1" s="51"/>
      <c r="MBI1" s="51"/>
      <c r="MBJ1" s="51"/>
      <c r="MBK1" s="51"/>
      <c r="MBL1" s="51"/>
      <c r="MBM1" s="51"/>
      <c r="MBN1" s="51"/>
      <c r="MBO1" s="51"/>
      <c r="MBP1" s="51"/>
      <c r="MBQ1" s="51"/>
      <c r="MBR1" s="51"/>
      <c r="MBS1" s="51"/>
      <c r="MBT1" s="51"/>
      <c r="MBU1" s="51"/>
      <c r="MBV1" s="51"/>
      <c r="MBW1" s="51"/>
      <c r="MBX1" s="51"/>
      <c r="MBY1" s="51"/>
      <c r="MBZ1" s="51"/>
      <c r="MCA1" s="51"/>
      <c r="MCB1" s="51"/>
      <c r="MCC1" s="51"/>
      <c r="MCD1" s="51"/>
      <c r="MCE1" s="51"/>
      <c r="MCF1" s="51"/>
      <c r="MCG1" s="51"/>
      <c r="MCH1" s="51"/>
      <c r="MCI1" s="51"/>
      <c r="MCJ1" s="51"/>
      <c r="MCK1" s="51"/>
      <c r="MCL1" s="51"/>
      <c r="MCM1" s="51"/>
      <c r="MCN1" s="51"/>
      <c r="MCO1" s="51"/>
      <c r="MCP1" s="51"/>
      <c r="MCQ1" s="51"/>
      <c r="MCR1" s="51"/>
      <c r="MCS1" s="51"/>
      <c r="MCT1" s="51"/>
      <c r="MCU1" s="51"/>
      <c r="MCV1" s="51"/>
      <c r="MCW1" s="51"/>
      <c r="MCX1" s="51"/>
      <c r="MCY1" s="51"/>
      <c r="MCZ1" s="51"/>
      <c r="MDA1" s="51"/>
      <c r="MDB1" s="51"/>
      <c r="MDC1" s="51"/>
      <c r="MDD1" s="51"/>
      <c r="MDE1" s="51"/>
      <c r="MDF1" s="51"/>
      <c r="MDG1" s="51"/>
      <c r="MDH1" s="51"/>
      <c r="MDI1" s="51"/>
      <c r="MDJ1" s="51"/>
      <c r="MDK1" s="51"/>
      <c r="MDL1" s="51"/>
      <c r="MDM1" s="51"/>
      <c r="MDN1" s="51"/>
      <c r="MDO1" s="51"/>
      <c r="MDP1" s="51"/>
      <c r="MDQ1" s="51"/>
      <c r="MDR1" s="51"/>
      <c r="MDS1" s="51"/>
      <c r="MDT1" s="51"/>
      <c r="MDU1" s="51"/>
      <c r="MDV1" s="51"/>
      <c r="MDW1" s="51"/>
      <c r="MDX1" s="51"/>
      <c r="MDY1" s="51"/>
      <c r="MDZ1" s="51"/>
      <c r="MEA1" s="51"/>
      <c r="MEB1" s="51"/>
      <c r="MEC1" s="51"/>
      <c r="MED1" s="51"/>
      <c r="MEE1" s="51"/>
      <c r="MEF1" s="51"/>
      <c r="MEG1" s="51"/>
      <c r="MEH1" s="51"/>
      <c r="MEI1" s="51"/>
      <c r="MEJ1" s="51"/>
      <c r="MEK1" s="51"/>
      <c r="MEL1" s="51"/>
      <c r="MEM1" s="51"/>
      <c r="MEN1" s="51"/>
      <c r="MEO1" s="51"/>
      <c r="MEP1" s="51"/>
      <c r="MEQ1" s="51"/>
      <c r="MER1" s="51"/>
      <c r="MES1" s="51"/>
      <c r="MET1" s="51"/>
      <c r="MEU1" s="51"/>
      <c r="MEV1" s="51"/>
      <c r="MEW1" s="51"/>
      <c r="MEX1" s="51"/>
      <c r="MEY1" s="51"/>
      <c r="MEZ1" s="51"/>
      <c r="MFA1" s="51"/>
      <c r="MFB1" s="51"/>
      <c r="MFC1" s="51"/>
      <c r="MFD1" s="51"/>
      <c r="MFE1" s="51"/>
      <c r="MFF1" s="51"/>
      <c r="MFG1" s="51"/>
      <c r="MFH1" s="51"/>
      <c r="MFI1" s="51"/>
      <c r="MFJ1" s="51"/>
      <c r="MFK1" s="51"/>
      <c r="MFL1" s="51"/>
      <c r="MFM1" s="51"/>
      <c r="MFN1" s="51"/>
      <c r="MFO1" s="51"/>
      <c r="MFP1" s="51"/>
      <c r="MFQ1" s="51"/>
      <c r="MFR1" s="51"/>
      <c r="MFS1" s="51"/>
      <c r="MFT1" s="51"/>
      <c r="MFU1" s="51"/>
      <c r="MFV1" s="51"/>
      <c r="MFW1" s="51"/>
      <c r="MFX1" s="51"/>
      <c r="MFY1" s="51"/>
      <c r="MFZ1" s="51"/>
      <c r="MGA1" s="51"/>
      <c r="MGB1" s="51"/>
      <c r="MGC1" s="51"/>
      <c r="MGD1" s="51"/>
      <c r="MGE1" s="51"/>
      <c r="MGF1" s="51"/>
      <c r="MGG1" s="51"/>
      <c r="MGH1" s="51"/>
      <c r="MGI1" s="51"/>
      <c r="MGJ1" s="51"/>
      <c r="MGK1" s="51"/>
      <c r="MGL1" s="51"/>
      <c r="MGM1" s="51"/>
      <c r="MGN1" s="51"/>
      <c r="MGO1" s="51"/>
      <c r="MGP1" s="51"/>
      <c r="MGQ1" s="51"/>
      <c r="MGR1" s="51"/>
      <c r="MGS1" s="51"/>
      <c r="MGT1" s="51"/>
      <c r="MGU1" s="51"/>
      <c r="MGV1" s="51"/>
      <c r="MGW1" s="51"/>
      <c r="MGX1" s="51"/>
      <c r="MGY1" s="51"/>
      <c r="MGZ1" s="51"/>
      <c r="MHA1" s="51"/>
      <c r="MHB1" s="51"/>
      <c r="MHC1" s="51"/>
      <c r="MHD1" s="51"/>
      <c r="MHE1" s="51"/>
      <c r="MHF1" s="51"/>
      <c r="MHG1" s="51"/>
      <c r="MHH1" s="51"/>
      <c r="MHI1" s="51"/>
      <c r="MHJ1" s="51"/>
      <c r="MHK1" s="51"/>
      <c r="MHL1" s="51"/>
      <c r="MHM1" s="51"/>
      <c r="MHN1" s="51"/>
      <c r="MHO1" s="51"/>
      <c r="MHP1" s="51"/>
      <c r="MHQ1" s="51"/>
      <c r="MHR1" s="51"/>
      <c r="MHS1" s="51"/>
      <c r="MHT1" s="51"/>
      <c r="MHU1" s="51"/>
      <c r="MHV1" s="51"/>
      <c r="MHW1" s="51"/>
      <c r="MHX1" s="51"/>
      <c r="MHY1" s="51"/>
      <c r="MHZ1" s="51"/>
      <c r="MIA1" s="51"/>
      <c r="MIB1" s="51"/>
      <c r="MIC1" s="51"/>
      <c r="MID1" s="51"/>
      <c r="MIE1" s="51"/>
      <c r="MIF1" s="51"/>
      <c r="MIG1" s="51"/>
      <c r="MIH1" s="51"/>
      <c r="MII1" s="51"/>
      <c r="MIJ1" s="51"/>
      <c r="MIK1" s="51"/>
      <c r="MIL1" s="51"/>
      <c r="MIM1" s="51"/>
      <c r="MIN1" s="51"/>
      <c r="MIO1" s="51"/>
      <c r="MIP1" s="51"/>
      <c r="MIQ1" s="51"/>
      <c r="MIR1" s="51"/>
      <c r="MIS1" s="51"/>
      <c r="MIT1" s="51"/>
      <c r="MIU1" s="51"/>
      <c r="MIV1" s="51"/>
      <c r="MIW1" s="51"/>
      <c r="MIX1" s="51"/>
      <c r="MIY1" s="51"/>
      <c r="MIZ1" s="51"/>
      <c r="MJA1" s="51"/>
      <c r="MJB1" s="51"/>
      <c r="MJC1" s="51"/>
      <c r="MJD1" s="51"/>
      <c r="MJE1" s="51"/>
      <c r="MJF1" s="51"/>
      <c r="MJG1" s="51"/>
      <c r="MJH1" s="51"/>
      <c r="MJI1" s="51"/>
      <c r="MJJ1" s="51"/>
      <c r="MJK1" s="51"/>
      <c r="MJL1" s="51"/>
      <c r="MJM1" s="51"/>
      <c r="MJN1" s="51"/>
      <c r="MJO1" s="51"/>
      <c r="MJP1" s="51"/>
      <c r="MJQ1" s="51"/>
      <c r="MJR1" s="51"/>
      <c r="MJS1" s="51"/>
      <c r="MJT1" s="51"/>
      <c r="MJU1" s="51"/>
      <c r="MJV1" s="51"/>
      <c r="MJW1" s="51"/>
      <c r="MJX1" s="51"/>
      <c r="MJY1" s="51"/>
      <c r="MJZ1" s="51"/>
      <c r="MKA1" s="51"/>
      <c r="MKB1" s="51"/>
      <c r="MKC1" s="51"/>
      <c r="MKD1" s="51"/>
      <c r="MKE1" s="51"/>
      <c r="MKF1" s="51"/>
      <c r="MKG1" s="51"/>
      <c r="MKH1" s="51"/>
      <c r="MKI1" s="51"/>
      <c r="MKJ1" s="51"/>
      <c r="MKK1" s="51"/>
      <c r="MKL1" s="51"/>
      <c r="MKM1" s="51"/>
      <c r="MKN1" s="51"/>
      <c r="MKO1" s="51"/>
      <c r="MKP1" s="51"/>
      <c r="MKQ1" s="51"/>
      <c r="MKR1" s="51"/>
      <c r="MKS1" s="51"/>
      <c r="MKT1" s="51"/>
      <c r="MKU1" s="51"/>
      <c r="MKV1" s="51"/>
      <c r="MKW1" s="51"/>
      <c r="MKX1" s="51"/>
      <c r="MKY1" s="51"/>
      <c r="MKZ1" s="51"/>
      <c r="MLA1" s="51"/>
      <c r="MLB1" s="51"/>
      <c r="MLC1" s="51"/>
      <c r="MLD1" s="51"/>
      <c r="MLE1" s="51"/>
      <c r="MLF1" s="51"/>
      <c r="MLG1" s="51"/>
      <c r="MLH1" s="51"/>
      <c r="MLI1" s="51"/>
      <c r="MLJ1" s="51"/>
      <c r="MLK1" s="51"/>
      <c r="MLL1" s="51"/>
      <c r="MLM1" s="51"/>
      <c r="MLN1" s="51"/>
      <c r="MLO1" s="51"/>
      <c r="MLP1" s="51"/>
      <c r="MLQ1" s="51"/>
      <c r="MLR1" s="51"/>
      <c r="MLS1" s="51"/>
      <c r="MLT1" s="51"/>
      <c r="MLU1" s="51"/>
      <c r="MLV1" s="51"/>
      <c r="MLW1" s="51"/>
      <c r="MLX1" s="51"/>
      <c r="MLY1" s="51"/>
      <c r="MLZ1" s="51"/>
      <c r="MMA1" s="51"/>
      <c r="MMB1" s="51"/>
      <c r="MMC1" s="51"/>
      <c r="MMD1" s="51"/>
      <c r="MME1" s="51"/>
      <c r="MMF1" s="51"/>
      <c r="MMG1" s="51"/>
      <c r="MMH1" s="51"/>
      <c r="MMI1" s="51"/>
      <c r="MMJ1" s="51"/>
      <c r="MMK1" s="51"/>
      <c r="MML1" s="51"/>
      <c r="MMM1" s="51"/>
      <c r="MMN1" s="51"/>
      <c r="MMO1" s="51"/>
      <c r="MMP1" s="51"/>
      <c r="MMQ1" s="51"/>
      <c r="MMR1" s="51"/>
      <c r="MMS1" s="51"/>
      <c r="MMT1" s="51"/>
      <c r="MMU1" s="51"/>
      <c r="MMV1" s="51"/>
      <c r="MMW1" s="51"/>
      <c r="MMX1" s="51"/>
      <c r="MMY1" s="51"/>
      <c r="MMZ1" s="51"/>
      <c r="MNA1" s="51"/>
      <c r="MNB1" s="51"/>
      <c r="MNC1" s="51"/>
      <c r="MND1" s="51"/>
      <c r="MNE1" s="51"/>
      <c r="MNF1" s="51"/>
      <c r="MNG1" s="51"/>
      <c r="MNH1" s="51"/>
      <c r="MNI1" s="51"/>
      <c r="MNJ1" s="51"/>
      <c r="MNK1" s="51"/>
      <c r="MNL1" s="51"/>
      <c r="MNM1" s="51"/>
      <c r="MNN1" s="51"/>
      <c r="MNO1" s="51"/>
      <c r="MNP1" s="51"/>
      <c r="MNQ1" s="51"/>
      <c r="MNR1" s="51"/>
      <c r="MNS1" s="51"/>
      <c r="MNT1" s="51"/>
      <c r="MNU1" s="51"/>
      <c r="MNV1" s="51"/>
      <c r="MNW1" s="51"/>
      <c r="MNX1" s="51"/>
      <c r="MNY1" s="51"/>
      <c r="MNZ1" s="51"/>
      <c r="MOA1" s="51"/>
      <c r="MOB1" s="51"/>
      <c r="MOC1" s="51"/>
      <c r="MOD1" s="51"/>
      <c r="MOE1" s="51"/>
      <c r="MOF1" s="51"/>
      <c r="MOG1" s="51"/>
      <c r="MOH1" s="51"/>
      <c r="MOI1" s="51"/>
      <c r="MOJ1" s="51"/>
      <c r="MOK1" s="51"/>
      <c r="MOL1" s="51"/>
      <c r="MOM1" s="51"/>
      <c r="MON1" s="51"/>
      <c r="MOO1" s="51"/>
      <c r="MOP1" s="51"/>
      <c r="MOQ1" s="51"/>
      <c r="MOR1" s="51"/>
      <c r="MOS1" s="51"/>
      <c r="MOT1" s="51"/>
      <c r="MOU1" s="51"/>
      <c r="MOV1" s="51"/>
      <c r="MOW1" s="51"/>
      <c r="MOX1" s="51"/>
      <c r="MOY1" s="51"/>
      <c r="MOZ1" s="51"/>
      <c r="MPA1" s="51"/>
      <c r="MPB1" s="51"/>
      <c r="MPC1" s="51"/>
      <c r="MPD1" s="51"/>
      <c r="MPE1" s="51"/>
      <c r="MPF1" s="51"/>
      <c r="MPG1" s="51"/>
      <c r="MPH1" s="51"/>
      <c r="MPI1" s="51"/>
      <c r="MPJ1" s="51"/>
      <c r="MPK1" s="51"/>
      <c r="MPL1" s="51"/>
      <c r="MPM1" s="51"/>
      <c r="MPN1" s="51"/>
      <c r="MPO1" s="51"/>
      <c r="MPP1" s="51"/>
      <c r="MPQ1" s="51"/>
      <c r="MPR1" s="51"/>
      <c r="MPS1" s="51"/>
      <c r="MPT1" s="51"/>
      <c r="MPU1" s="51"/>
      <c r="MPV1" s="51"/>
      <c r="MPW1" s="51"/>
      <c r="MPX1" s="51"/>
      <c r="MPY1" s="51"/>
      <c r="MPZ1" s="51"/>
      <c r="MQA1" s="51"/>
      <c r="MQB1" s="51"/>
      <c r="MQC1" s="51"/>
      <c r="MQD1" s="51"/>
      <c r="MQE1" s="51"/>
      <c r="MQF1" s="51"/>
      <c r="MQG1" s="51"/>
      <c r="MQH1" s="51"/>
      <c r="MQI1" s="51"/>
      <c r="MQJ1" s="51"/>
      <c r="MQK1" s="51"/>
      <c r="MQL1" s="51"/>
      <c r="MQM1" s="51"/>
      <c r="MQN1" s="51"/>
      <c r="MQO1" s="51"/>
      <c r="MQP1" s="51"/>
      <c r="MQQ1" s="51"/>
      <c r="MQR1" s="51"/>
      <c r="MQS1" s="51"/>
      <c r="MQT1" s="51"/>
      <c r="MQU1" s="51"/>
      <c r="MQV1" s="51"/>
      <c r="MQW1" s="51"/>
      <c r="MQX1" s="51"/>
      <c r="MQY1" s="51"/>
      <c r="MQZ1" s="51"/>
      <c r="MRA1" s="51"/>
      <c r="MRB1" s="51"/>
      <c r="MRC1" s="51"/>
      <c r="MRD1" s="51"/>
      <c r="MRE1" s="51"/>
      <c r="MRF1" s="51"/>
      <c r="MRG1" s="51"/>
      <c r="MRH1" s="51"/>
      <c r="MRI1" s="51"/>
      <c r="MRJ1" s="51"/>
      <c r="MRK1" s="51"/>
      <c r="MRL1" s="51"/>
      <c r="MRM1" s="51"/>
      <c r="MRN1" s="51"/>
      <c r="MRO1" s="51"/>
      <c r="MRP1" s="51"/>
      <c r="MRQ1" s="51"/>
      <c r="MRR1" s="51"/>
      <c r="MRS1" s="51"/>
      <c r="MRT1" s="51"/>
      <c r="MRU1" s="51"/>
      <c r="MRV1" s="51"/>
      <c r="MRW1" s="51"/>
      <c r="MRX1" s="51"/>
      <c r="MRY1" s="51"/>
      <c r="MRZ1" s="51"/>
      <c r="MSA1" s="51"/>
      <c r="MSB1" s="51"/>
      <c r="MSC1" s="51"/>
      <c r="MSD1" s="51"/>
      <c r="MSE1" s="51"/>
      <c r="MSF1" s="51"/>
      <c r="MSG1" s="51"/>
      <c r="MSH1" s="51"/>
      <c r="MSI1" s="51"/>
      <c r="MSJ1" s="51"/>
      <c r="MSK1" s="51"/>
      <c r="MSL1" s="51"/>
      <c r="MSM1" s="51"/>
      <c r="MSN1" s="51"/>
      <c r="MSO1" s="51"/>
      <c r="MSP1" s="51"/>
      <c r="MSQ1" s="51"/>
      <c r="MSR1" s="51"/>
      <c r="MSS1" s="51"/>
      <c r="MST1" s="51"/>
      <c r="MSU1" s="51"/>
      <c r="MSV1" s="51"/>
      <c r="MSW1" s="51"/>
      <c r="MSX1" s="51"/>
      <c r="MSY1" s="51"/>
      <c r="MSZ1" s="51"/>
      <c r="MTA1" s="51"/>
      <c r="MTB1" s="51"/>
      <c r="MTC1" s="51"/>
      <c r="MTD1" s="51"/>
      <c r="MTE1" s="51"/>
      <c r="MTF1" s="51"/>
      <c r="MTG1" s="51"/>
      <c r="MTH1" s="51"/>
      <c r="MTI1" s="51"/>
      <c r="MTJ1" s="51"/>
      <c r="MTK1" s="51"/>
      <c r="MTL1" s="51"/>
      <c r="MTM1" s="51"/>
      <c r="MTN1" s="51"/>
      <c r="MTO1" s="51"/>
      <c r="MTP1" s="51"/>
      <c r="MTQ1" s="51"/>
      <c r="MTR1" s="51"/>
      <c r="MTS1" s="51"/>
      <c r="MTT1" s="51"/>
      <c r="MTU1" s="51"/>
      <c r="MTV1" s="51"/>
      <c r="MTW1" s="51"/>
      <c r="MTX1" s="51"/>
      <c r="MTY1" s="51"/>
      <c r="MTZ1" s="51"/>
      <c r="MUA1" s="51"/>
      <c r="MUB1" s="51"/>
      <c r="MUC1" s="51"/>
      <c r="MUD1" s="51"/>
      <c r="MUE1" s="51"/>
      <c r="MUF1" s="51"/>
      <c r="MUG1" s="51"/>
      <c r="MUH1" s="51"/>
      <c r="MUI1" s="51"/>
      <c r="MUJ1" s="51"/>
      <c r="MUK1" s="51"/>
      <c r="MUL1" s="51"/>
      <c r="MUM1" s="51"/>
      <c r="MUN1" s="51"/>
      <c r="MUO1" s="51"/>
      <c r="MUP1" s="51"/>
      <c r="MUQ1" s="51"/>
      <c r="MUR1" s="51"/>
      <c r="MUS1" s="51"/>
      <c r="MUT1" s="51"/>
      <c r="MUU1" s="51"/>
      <c r="MUV1" s="51"/>
      <c r="MUW1" s="51"/>
      <c r="MUX1" s="51"/>
      <c r="MUY1" s="51"/>
      <c r="MUZ1" s="51"/>
      <c r="MVA1" s="51"/>
      <c r="MVB1" s="51"/>
      <c r="MVC1" s="51"/>
      <c r="MVD1" s="51"/>
      <c r="MVE1" s="51"/>
      <c r="MVF1" s="51"/>
      <c r="MVG1" s="51"/>
      <c r="MVH1" s="51"/>
      <c r="MVI1" s="51"/>
      <c r="MVJ1" s="51"/>
      <c r="MVK1" s="51"/>
      <c r="MVL1" s="51"/>
      <c r="MVM1" s="51"/>
      <c r="MVN1" s="51"/>
      <c r="MVO1" s="51"/>
      <c r="MVP1" s="51"/>
      <c r="MVQ1" s="51"/>
      <c r="MVR1" s="51"/>
      <c r="MVS1" s="51"/>
      <c r="MVT1" s="51"/>
      <c r="MVU1" s="51"/>
      <c r="MVV1" s="51"/>
      <c r="MVW1" s="51"/>
      <c r="MVX1" s="51"/>
      <c r="MVY1" s="51"/>
      <c r="MVZ1" s="51"/>
      <c r="MWA1" s="51"/>
      <c r="MWB1" s="51"/>
      <c r="MWC1" s="51"/>
      <c r="MWD1" s="51"/>
      <c r="MWE1" s="51"/>
      <c r="MWF1" s="51"/>
      <c r="MWG1" s="51"/>
      <c r="MWH1" s="51"/>
      <c r="MWI1" s="51"/>
      <c r="MWJ1" s="51"/>
      <c r="MWK1" s="51"/>
      <c r="MWL1" s="51"/>
      <c r="MWM1" s="51"/>
      <c r="MWN1" s="51"/>
      <c r="MWO1" s="51"/>
      <c r="MWP1" s="51"/>
      <c r="MWQ1" s="51"/>
      <c r="MWR1" s="51"/>
      <c r="MWS1" s="51"/>
      <c r="MWT1" s="51"/>
      <c r="MWU1" s="51"/>
      <c r="MWV1" s="51"/>
      <c r="MWW1" s="51"/>
      <c r="MWX1" s="51"/>
      <c r="MWY1" s="51"/>
      <c r="MWZ1" s="51"/>
      <c r="MXA1" s="51"/>
      <c r="MXB1" s="51"/>
      <c r="MXC1" s="51"/>
      <c r="MXD1" s="51"/>
      <c r="MXE1" s="51"/>
      <c r="MXF1" s="51"/>
      <c r="MXG1" s="51"/>
      <c r="MXH1" s="51"/>
      <c r="MXI1" s="51"/>
      <c r="MXJ1" s="51"/>
      <c r="MXK1" s="51"/>
      <c r="MXL1" s="51"/>
      <c r="MXM1" s="51"/>
      <c r="MXN1" s="51"/>
      <c r="MXO1" s="51"/>
      <c r="MXP1" s="51"/>
      <c r="MXQ1" s="51"/>
      <c r="MXR1" s="51"/>
      <c r="MXS1" s="51"/>
      <c r="MXT1" s="51"/>
      <c r="MXU1" s="51"/>
      <c r="MXV1" s="51"/>
      <c r="MXW1" s="51"/>
      <c r="MXX1" s="51"/>
      <c r="MXY1" s="51"/>
      <c r="MXZ1" s="51"/>
      <c r="MYA1" s="51"/>
      <c r="MYB1" s="51"/>
      <c r="MYC1" s="51"/>
      <c r="MYD1" s="51"/>
      <c r="MYE1" s="51"/>
      <c r="MYF1" s="51"/>
      <c r="MYG1" s="51"/>
      <c r="MYH1" s="51"/>
      <c r="MYI1" s="51"/>
      <c r="MYJ1" s="51"/>
      <c r="MYK1" s="51"/>
      <c r="MYL1" s="51"/>
      <c r="MYM1" s="51"/>
      <c r="MYN1" s="51"/>
      <c r="MYO1" s="51"/>
      <c r="MYP1" s="51"/>
      <c r="MYQ1" s="51"/>
      <c r="MYR1" s="51"/>
      <c r="MYS1" s="51"/>
      <c r="MYT1" s="51"/>
      <c r="MYU1" s="51"/>
      <c r="MYV1" s="51"/>
      <c r="MYW1" s="51"/>
      <c r="MYX1" s="51"/>
      <c r="MYY1" s="51"/>
      <c r="MYZ1" s="51"/>
      <c r="MZA1" s="51"/>
      <c r="MZB1" s="51"/>
      <c r="MZC1" s="51"/>
      <c r="MZD1" s="51"/>
      <c r="MZE1" s="51"/>
      <c r="MZF1" s="51"/>
      <c r="MZG1" s="51"/>
      <c r="MZH1" s="51"/>
      <c r="MZI1" s="51"/>
      <c r="MZJ1" s="51"/>
      <c r="MZK1" s="51"/>
      <c r="MZL1" s="51"/>
      <c r="MZM1" s="51"/>
      <c r="MZN1" s="51"/>
      <c r="MZO1" s="51"/>
      <c r="MZP1" s="51"/>
      <c r="MZQ1" s="51"/>
      <c r="MZR1" s="51"/>
      <c r="MZS1" s="51"/>
      <c r="MZT1" s="51"/>
      <c r="MZU1" s="51"/>
      <c r="MZV1" s="51"/>
      <c r="MZW1" s="51"/>
      <c r="MZX1" s="51"/>
      <c r="MZY1" s="51"/>
      <c r="MZZ1" s="51"/>
      <c r="NAA1" s="51"/>
      <c r="NAB1" s="51"/>
      <c r="NAC1" s="51"/>
      <c r="NAD1" s="51"/>
      <c r="NAE1" s="51"/>
      <c r="NAF1" s="51"/>
      <c r="NAG1" s="51"/>
      <c r="NAH1" s="51"/>
      <c r="NAI1" s="51"/>
      <c r="NAJ1" s="51"/>
      <c r="NAK1" s="51"/>
      <c r="NAL1" s="51"/>
      <c r="NAM1" s="51"/>
      <c r="NAN1" s="51"/>
      <c r="NAO1" s="51"/>
      <c r="NAP1" s="51"/>
      <c r="NAQ1" s="51"/>
      <c r="NAR1" s="51"/>
      <c r="NAS1" s="51"/>
      <c r="NAT1" s="51"/>
      <c r="NAU1" s="51"/>
      <c r="NAV1" s="51"/>
      <c r="NAW1" s="51"/>
      <c r="NAX1" s="51"/>
      <c r="NAY1" s="51"/>
      <c r="NAZ1" s="51"/>
      <c r="NBA1" s="51"/>
      <c r="NBB1" s="51"/>
      <c r="NBC1" s="51"/>
      <c r="NBD1" s="51"/>
      <c r="NBE1" s="51"/>
      <c r="NBF1" s="51"/>
      <c r="NBG1" s="51"/>
      <c r="NBH1" s="51"/>
      <c r="NBI1" s="51"/>
      <c r="NBJ1" s="51"/>
      <c r="NBK1" s="51"/>
      <c r="NBL1" s="51"/>
      <c r="NBM1" s="51"/>
      <c r="NBN1" s="51"/>
      <c r="NBO1" s="51"/>
      <c r="NBP1" s="51"/>
      <c r="NBQ1" s="51"/>
      <c r="NBR1" s="51"/>
      <c r="NBS1" s="51"/>
      <c r="NBT1" s="51"/>
      <c r="NBU1" s="51"/>
      <c r="NBV1" s="51"/>
      <c r="NBW1" s="51"/>
      <c r="NBX1" s="51"/>
      <c r="NBY1" s="51"/>
      <c r="NBZ1" s="51"/>
      <c r="NCA1" s="51"/>
      <c r="NCB1" s="51"/>
      <c r="NCC1" s="51"/>
      <c r="NCD1" s="51"/>
      <c r="NCE1" s="51"/>
      <c r="NCF1" s="51"/>
      <c r="NCG1" s="51"/>
      <c r="NCH1" s="51"/>
      <c r="NCI1" s="51"/>
      <c r="NCJ1" s="51"/>
      <c r="NCK1" s="51"/>
      <c r="NCL1" s="51"/>
      <c r="NCM1" s="51"/>
      <c r="NCN1" s="51"/>
      <c r="NCO1" s="51"/>
      <c r="NCP1" s="51"/>
      <c r="NCQ1" s="51"/>
      <c r="NCR1" s="51"/>
      <c r="NCS1" s="51"/>
      <c r="NCT1" s="51"/>
      <c r="NCU1" s="51"/>
      <c r="NCV1" s="51"/>
      <c r="NCW1" s="51"/>
      <c r="NCX1" s="51"/>
      <c r="NCY1" s="51"/>
      <c r="NCZ1" s="51"/>
      <c r="NDA1" s="51"/>
      <c r="NDB1" s="51"/>
      <c r="NDC1" s="51"/>
      <c r="NDD1" s="51"/>
      <c r="NDE1" s="51"/>
      <c r="NDF1" s="51"/>
      <c r="NDG1" s="51"/>
      <c r="NDH1" s="51"/>
      <c r="NDI1" s="51"/>
      <c r="NDJ1" s="51"/>
      <c r="NDK1" s="51"/>
      <c r="NDL1" s="51"/>
      <c r="NDM1" s="51"/>
      <c r="NDN1" s="51"/>
      <c r="NDO1" s="51"/>
      <c r="NDP1" s="51"/>
      <c r="NDQ1" s="51"/>
      <c r="NDR1" s="51"/>
      <c r="NDS1" s="51"/>
      <c r="NDT1" s="51"/>
      <c r="NDU1" s="51"/>
      <c r="NDV1" s="51"/>
      <c r="NDW1" s="51"/>
      <c r="NDX1" s="51"/>
      <c r="NDY1" s="51"/>
      <c r="NDZ1" s="51"/>
      <c r="NEA1" s="51"/>
      <c r="NEB1" s="51"/>
      <c r="NEC1" s="51"/>
      <c r="NED1" s="51"/>
      <c r="NEE1" s="51"/>
      <c r="NEF1" s="51"/>
      <c r="NEG1" s="51"/>
      <c r="NEH1" s="51"/>
      <c r="NEI1" s="51"/>
      <c r="NEJ1" s="51"/>
      <c r="NEK1" s="51"/>
      <c r="NEL1" s="51"/>
      <c r="NEM1" s="51"/>
      <c r="NEN1" s="51"/>
      <c r="NEO1" s="51"/>
      <c r="NEP1" s="51"/>
      <c r="NEQ1" s="51"/>
      <c r="NER1" s="51"/>
      <c r="NES1" s="51"/>
      <c r="NET1" s="51"/>
      <c r="NEU1" s="51"/>
      <c r="NEV1" s="51"/>
      <c r="NEW1" s="51"/>
      <c r="NEX1" s="51"/>
      <c r="NEY1" s="51"/>
      <c r="NEZ1" s="51"/>
      <c r="NFA1" s="51"/>
      <c r="NFB1" s="51"/>
      <c r="NFC1" s="51"/>
      <c r="NFD1" s="51"/>
      <c r="NFE1" s="51"/>
      <c r="NFF1" s="51"/>
      <c r="NFG1" s="51"/>
      <c r="NFH1" s="51"/>
      <c r="NFI1" s="51"/>
      <c r="NFJ1" s="51"/>
      <c r="NFK1" s="51"/>
      <c r="NFL1" s="51"/>
      <c r="NFM1" s="51"/>
      <c r="NFN1" s="51"/>
      <c r="NFO1" s="51"/>
      <c r="NFP1" s="51"/>
      <c r="NFQ1" s="51"/>
      <c r="NFR1" s="51"/>
      <c r="NFS1" s="51"/>
      <c r="NFT1" s="51"/>
      <c r="NFU1" s="51"/>
      <c r="NFV1" s="51"/>
      <c r="NFW1" s="51"/>
      <c r="NFX1" s="51"/>
      <c r="NFY1" s="51"/>
      <c r="NFZ1" s="51"/>
      <c r="NGA1" s="51"/>
      <c r="NGB1" s="51"/>
      <c r="NGC1" s="51"/>
      <c r="NGD1" s="51"/>
      <c r="NGE1" s="51"/>
      <c r="NGF1" s="51"/>
      <c r="NGG1" s="51"/>
      <c r="NGH1" s="51"/>
      <c r="NGI1" s="51"/>
      <c r="NGJ1" s="51"/>
      <c r="NGK1" s="51"/>
      <c r="NGL1" s="51"/>
      <c r="NGM1" s="51"/>
      <c r="NGN1" s="51"/>
      <c r="NGO1" s="51"/>
      <c r="NGP1" s="51"/>
      <c r="NGQ1" s="51"/>
      <c r="NGR1" s="51"/>
      <c r="NGS1" s="51"/>
      <c r="NGT1" s="51"/>
      <c r="NGU1" s="51"/>
      <c r="NGV1" s="51"/>
      <c r="NGW1" s="51"/>
      <c r="NGX1" s="51"/>
      <c r="NGY1" s="51"/>
      <c r="NGZ1" s="51"/>
      <c r="NHA1" s="51"/>
      <c r="NHB1" s="51"/>
      <c r="NHC1" s="51"/>
      <c r="NHD1" s="51"/>
      <c r="NHE1" s="51"/>
      <c r="NHF1" s="51"/>
      <c r="NHG1" s="51"/>
      <c r="NHH1" s="51"/>
      <c r="NHI1" s="51"/>
      <c r="NHJ1" s="51"/>
      <c r="NHK1" s="51"/>
      <c r="NHL1" s="51"/>
      <c r="NHM1" s="51"/>
      <c r="NHN1" s="51"/>
      <c r="NHO1" s="51"/>
      <c r="NHP1" s="51"/>
      <c r="NHQ1" s="51"/>
      <c r="NHR1" s="51"/>
      <c r="NHS1" s="51"/>
      <c r="NHT1" s="51"/>
      <c r="NHU1" s="51"/>
      <c r="NHV1" s="51"/>
      <c r="NHW1" s="51"/>
      <c r="NHX1" s="51"/>
      <c r="NHY1" s="51"/>
      <c r="NHZ1" s="51"/>
      <c r="NIA1" s="51"/>
      <c r="NIB1" s="51"/>
      <c r="NIC1" s="51"/>
      <c r="NID1" s="51"/>
      <c r="NIE1" s="51"/>
      <c r="NIF1" s="51"/>
      <c r="NIG1" s="51"/>
      <c r="NIH1" s="51"/>
      <c r="NII1" s="51"/>
      <c r="NIJ1" s="51"/>
      <c r="NIK1" s="51"/>
      <c r="NIL1" s="51"/>
      <c r="NIM1" s="51"/>
      <c r="NIN1" s="51"/>
      <c r="NIO1" s="51"/>
      <c r="NIP1" s="51"/>
      <c r="NIQ1" s="51"/>
      <c r="NIR1" s="51"/>
      <c r="NIS1" s="51"/>
      <c r="NIT1" s="51"/>
      <c r="NIU1" s="51"/>
      <c r="NIV1" s="51"/>
      <c r="NIW1" s="51"/>
      <c r="NIX1" s="51"/>
      <c r="NIY1" s="51"/>
      <c r="NIZ1" s="51"/>
      <c r="NJA1" s="51"/>
      <c r="NJB1" s="51"/>
      <c r="NJC1" s="51"/>
      <c r="NJD1" s="51"/>
      <c r="NJE1" s="51"/>
      <c r="NJF1" s="51"/>
      <c r="NJG1" s="51"/>
      <c r="NJH1" s="51"/>
      <c r="NJI1" s="51"/>
      <c r="NJJ1" s="51"/>
      <c r="NJK1" s="51"/>
      <c r="NJL1" s="51"/>
      <c r="NJM1" s="51"/>
      <c r="NJN1" s="51"/>
      <c r="NJO1" s="51"/>
      <c r="NJP1" s="51"/>
      <c r="NJQ1" s="51"/>
      <c r="NJR1" s="51"/>
      <c r="NJS1" s="51"/>
      <c r="NJT1" s="51"/>
      <c r="NJU1" s="51"/>
      <c r="NJV1" s="51"/>
      <c r="NJW1" s="51"/>
      <c r="NJX1" s="51"/>
      <c r="NJY1" s="51"/>
      <c r="NJZ1" s="51"/>
      <c r="NKA1" s="51"/>
      <c r="NKB1" s="51"/>
      <c r="NKC1" s="51"/>
      <c r="NKD1" s="51"/>
      <c r="NKE1" s="51"/>
      <c r="NKF1" s="51"/>
      <c r="NKG1" s="51"/>
      <c r="NKH1" s="51"/>
      <c r="NKI1" s="51"/>
      <c r="NKJ1" s="51"/>
      <c r="NKK1" s="51"/>
      <c r="NKL1" s="51"/>
      <c r="NKM1" s="51"/>
      <c r="NKN1" s="51"/>
      <c r="NKO1" s="51"/>
      <c r="NKP1" s="51"/>
      <c r="NKQ1" s="51"/>
      <c r="NKR1" s="51"/>
      <c r="NKS1" s="51"/>
      <c r="NKT1" s="51"/>
      <c r="NKU1" s="51"/>
      <c r="NKV1" s="51"/>
      <c r="NKW1" s="51"/>
      <c r="NKX1" s="51"/>
      <c r="NKY1" s="51"/>
      <c r="NKZ1" s="51"/>
      <c r="NLA1" s="51"/>
      <c r="NLB1" s="51"/>
      <c r="NLC1" s="51"/>
      <c r="NLD1" s="51"/>
      <c r="NLE1" s="51"/>
      <c r="NLF1" s="51"/>
      <c r="NLG1" s="51"/>
      <c r="NLH1" s="51"/>
      <c r="NLI1" s="51"/>
      <c r="NLJ1" s="51"/>
      <c r="NLK1" s="51"/>
      <c r="NLL1" s="51"/>
      <c r="NLM1" s="51"/>
      <c r="NLN1" s="51"/>
      <c r="NLO1" s="51"/>
      <c r="NLP1" s="51"/>
      <c r="NLQ1" s="51"/>
      <c r="NLR1" s="51"/>
      <c r="NLS1" s="51"/>
      <c r="NLT1" s="51"/>
      <c r="NLU1" s="51"/>
      <c r="NLV1" s="51"/>
      <c r="NLW1" s="51"/>
      <c r="NLX1" s="51"/>
      <c r="NLY1" s="51"/>
      <c r="NLZ1" s="51"/>
      <c r="NMA1" s="51"/>
      <c r="NMB1" s="51"/>
      <c r="NMC1" s="51"/>
      <c r="NMD1" s="51"/>
      <c r="NME1" s="51"/>
      <c r="NMF1" s="51"/>
      <c r="NMG1" s="51"/>
      <c r="NMH1" s="51"/>
      <c r="NMI1" s="51"/>
      <c r="NMJ1" s="51"/>
      <c r="NMK1" s="51"/>
      <c r="NML1" s="51"/>
      <c r="NMM1" s="51"/>
      <c r="NMN1" s="51"/>
      <c r="NMO1" s="51"/>
      <c r="NMP1" s="51"/>
      <c r="NMQ1" s="51"/>
      <c r="NMR1" s="51"/>
      <c r="NMS1" s="51"/>
      <c r="NMT1" s="51"/>
      <c r="NMU1" s="51"/>
      <c r="NMV1" s="51"/>
      <c r="NMW1" s="51"/>
      <c r="NMX1" s="51"/>
      <c r="NMY1" s="51"/>
      <c r="NMZ1" s="51"/>
      <c r="NNA1" s="51"/>
      <c r="NNB1" s="51"/>
      <c r="NNC1" s="51"/>
      <c r="NND1" s="51"/>
      <c r="NNE1" s="51"/>
      <c r="NNF1" s="51"/>
      <c r="NNG1" s="51"/>
      <c r="NNH1" s="51"/>
      <c r="NNI1" s="51"/>
      <c r="NNJ1" s="51"/>
      <c r="NNK1" s="51"/>
      <c r="NNL1" s="51"/>
      <c r="NNM1" s="51"/>
      <c r="NNN1" s="51"/>
      <c r="NNO1" s="51"/>
      <c r="NNP1" s="51"/>
      <c r="NNQ1" s="51"/>
      <c r="NNR1" s="51"/>
      <c r="NNS1" s="51"/>
      <c r="NNT1" s="51"/>
      <c r="NNU1" s="51"/>
      <c r="NNV1" s="51"/>
      <c r="NNW1" s="51"/>
      <c r="NNX1" s="51"/>
      <c r="NNY1" s="51"/>
      <c r="NNZ1" s="51"/>
      <c r="NOA1" s="51"/>
      <c r="NOB1" s="51"/>
      <c r="NOC1" s="51"/>
      <c r="NOD1" s="51"/>
      <c r="NOE1" s="51"/>
      <c r="NOF1" s="51"/>
      <c r="NOG1" s="51"/>
      <c r="NOH1" s="51"/>
      <c r="NOI1" s="51"/>
      <c r="NOJ1" s="51"/>
      <c r="NOK1" s="51"/>
      <c r="NOL1" s="51"/>
      <c r="NOM1" s="51"/>
      <c r="NON1" s="51"/>
      <c r="NOO1" s="51"/>
      <c r="NOP1" s="51"/>
      <c r="NOQ1" s="51"/>
      <c r="NOR1" s="51"/>
      <c r="NOS1" s="51"/>
      <c r="NOT1" s="51"/>
      <c r="NOU1" s="51"/>
      <c r="NOV1" s="51"/>
      <c r="NOW1" s="51"/>
      <c r="NOX1" s="51"/>
      <c r="NOY1" s="51"/>
      <c r="NOZ1" s="51"/>
      <c r="NPA1" s="51"/>
      <c r="NPB1" s="51"/>
      <c r="NPC1" s="51"/>
      <c r="NPD1" s="51"/>
      <c r="NPE1" s="51"/>
      <c r="NPF1" s="51"/>
      <c r="NPG1" s="51"/>
      <c r="NPH1" s="51"/>
      <c r="NPI1" s="51"/>
      <c r="NPJ1" s="51"/>
      <c r="NPK1" s="51"/>
      <c r="NPL1" s="51"/>
      <c r="NPM1" s="51"/>
      <c r="NPN1" s="51"/>
      <c r="NPO1" s="51"/>
      <c r="NPP1" s="51"/>
      <c r="NPQ1" s="51"/>
      <c r="NPR1" s="51"/>
      <c r="NPS1" s="51"/>
      <c r="NPT1" s="51"/>
      <c r="NPU1" s="51"/>
      <c r="NPV1" s="51"/>
      <c r="NPW1" s="51"/>
      <c r="NPX1" s="51"/>
      <c r="NPY1" s="51"/>
      <c r="NPZ1" s="51"/>
      <c r="NQA1" s="51"/>
      <c r="NQB1" s="51"/>
      <c r="NQC1" s="51"/>
      <c r="NQD1" s="51"/>
      <c r="NQE1" s="51"/>
      <c r="NQF1" s="51"/>
      <c r="NQG1" s="51"/>
      <c r="NQH1" s="51"/>
      <c r="NQI1" s="51"/>
      <c r="NQJ1" s="51"/>
      <c r="NQK1" s="51"/>
      <c r="NQL1" s="51"/>
      <c r="NQM1" s="51"/>
      <c r="NQN1" s="51"/>
      <c r="NQO1" s="51"/>
      <c r="NQP1" s="51"/>
      <c r="NQQ1" s="51"/>
      <c r="NQR1" s="51"/>
      <c r="NQS1" s="51"/>
      <c r="NQT1" s="51"/>
      <c r="NQU1" s="51"/>
      <c r="NQV1" s="51"/>
      <c r="NQW1" s="51"/>
      <c r="NQX1" s="51"/>
      <c r="NQY1" s="51"/>
      <c r="NQZ1" s="51"/>
      <c r="NRA1" s="51"/>
      <c r="NRB1" s="51"/>
      <c r="NRC1" s="51"/>
      <c r="NRD1" s="51"/>
      <c r="NRE1" s="51"/>
      <c r="NRF1" s="51"/>
      <c r="NRG1" s="51"/>
      <c r="NRH1" s="51"/>
      <c r="NRI1" s="51"/>
      <c r="NRJ1" s="51"/>
      <c r="NRK1" s="51"/>
      <c r="NRL1" s="51"/>
      <c r="NRM1" s="51"/>
      <c r="NRN1" s="51"/>
      <c r="NRO1" s="51"/>
      <c r="NRP1" s="51"/>
      <c r="NRQ1" s="51"/>
      <c r="NRR1" s="51"/>
      <c r="NRS1" s="51"/>
      <c r="NRT1" s="51"/>
      <c r="NRU1" s="51"/>
      <c r="NRV1" s="51"/>
      <c r="NRW1" s="51"/>
      <c r="NRX1" s="51"/>
      <c r="NRY1" s="51"/>
      <c r="NRZ1" s="51"/>
      <c r="NSA1" s="51"/>
      <c r="NSB1" s="51"/>
      <c r="NSC1" s="51"/>
      <c r="NSD1" s="51"/>
      <c r="NSE1" s="51"/>
      <c r="NSF1" s="51"/>
      <c r="NSG1" s="51"/>
      <c r="NSH1" s="51"/>
      <c r="NSI1" s="51"/>
      <c r="NSJ1" s="51"/>
      <c r="NSK1" s="51"/>
      <c r="NSL1" s="51"/>
      <c r="NSM1" s="51"/>
      <c r="NSN1" s="51"/>
      <c r="NSO1" s="51"/>
      <c r="NSP1" s="51"/>
      <c r="NSQ1" s="51"/>
      <c r="NSR1" s="51"/>
      <c r="NSS1" s="51"/>
      <c r="NST1" s="51"/>
      <c r="NSU1" s="51"/>
      <c r="NSV1" s="51"/>
      <c r="NSW1" s="51"/>
      <c r="NSX1" s="51"/>
      <c r="NSY1" s="51"/>
      <c r="NSZ1" s="51"/>
      <c r="NTA1" s="51"/>
      <c r="NTB1" s="51"/>
      <c r="NTC1" s="51"/>
      <c r="NTD1" s="51"/>
      <c r="NTE1" s="51"/>
      <c r="NTF1" s="51"/>
      <c r="NTG1" s="51"/>
      <c r="NTH1" s="51"/>
      <c r="NTI1" s="51"/>
      <c r="NTJ1" s="51"/>
      <c r="NTK1" s="51"/>
      <c r="NTL1" s="51"/>
      <c r="NTM1" s="51"/>
      <c r="NTN1" s="51"/>
      <c r="NTO1" s="51"/>
      <c r="NTP1" s="51"/>
      <c r="NTQ1" s="51"/>
      <c r="NTR1" s="51"/>
      <c r="NTS1" s="51"/>
      <c r="NTT1" s="51"/>
      <c r="NTU1" s="51"/>
      <c r="NTV1" s="51"/>
      <c r="NTW1" s="51"/>
      <c r="NTX1" s="51"/>
      <c r="NTY1" s="51"/>
      <c r="NTZ1" s="51"/>
      <c r="NUA1" s="51"/>
      <c r="NUB1" s="51"/>
      <c r="NUC1" s="51"/>
      <c r="NUD1" s="51"/>
      <c r="NUE1" s="51"/>
      <c r="NUF1" s="51"/>
      <c r="NUG1" s="51"/>
      <c r="NUH1" s="51"/>
      <c r="NUI1" s="51"/>
      <c r="NUJ1" s="51"/>
      <c r="NUK1" s="51"/>
      <c r="NUL1" s="51"/>
      <c r="NUM1" s="51"/>
      <c r="NUN1" s="51"/>
      <c r="NUO1" s="51"/>
      <c r="NUP1" s="51"/>
      <c r="NUQ1" s="51"/>
      <c r="NUR1" s="51"/>
      <c r="NUS1" s="51"/>
      <c r="NUT1" s="51"/>
      <c r="NUU1" s="51"/>
      <c r="NUV1" s="51"/>
      <c r="NUW1" s="51"/>
      <c r="NUX1" s="51"/>
      <c r="NUY1" s="51"/>
      <c r="NUZ1" s="51"/>
      <c r="NVA1" s="51"/>
      <c r="NVB1" s="51"/>
      <c r="NVC1" s="51"/>
      <c r="NVD1" s="51"/>
      <c r="NVE1" s="51"/>
      <c r="NVF1" s="51"/>
      <c r="NVG1" s="51"/>
      <c r="NVH1" s="51"/>
      <c r="NVI1" s="51"/>
      <c r="NVJ1" s="51"/>
      <c r="NVK1" s="51"/>
      <c r="NVL1" s="51"/>
      <c r="NVM1" s="51"/>
      <c r="NVN1" s="51"/>
      <c r="NVO1" s="51"/>
      <c r="NVP1" s="51"/>
      <c r="NVQ1" s="51"/>
      <c r="NVR1" s="51"/>
      <c r="NVS1" s="51"/>
      <c r="NVT1" s="51"/>
      <c r="NVU1" s="51"/>
      <c r="NVV1" s="51"/>
      <c r="NVW1" s="51"/>
      <c r="NVX1" s="51"/>
      <c r="NVY1" s="51"/>
      <c r="NVZ1" s="51"/>
      <c r="NWA1" s="51"/>
      <c r="NWB1" s="51"/>
      <c r="NWC1" s="51"/>
      <c r="NWD1" s="51"/>
      <c r="NWE1" s="51"/>
      <c r="NWF1" s="51"/>
      <c r="NWG1" s="51"/>
      <c r="NWH1" s="51"/>
      <c r="NWI1" s="51"/>
      <c r="NWJ1" s="51"/>
      <c r="NWK1" s="51"/>
      <c r="NWL1" s="51"/>
      <c r="NWM1" s="51"/>
      <c r="NWN1" s="51"/>
      <c r="NWO1" s="51"/>
      <c r="NWP1" s="51"/>
      <c r="NWQ1" s="51"/>
      <c r="NWR1" s="51"/>
      <c r="NWS1" s="51"/>
      <c r="NWT1" s="51"/>
      <c r="NWU1" s="51"/>
      <c r="NWV1" s="51"/>
      <c r="NWW1" s="51"/>
      <c r="NWX1" s="51"/>
      <c r="NWY1" s="51"/>
      <c r="NWZ1" s="51"/>
      <c r="NXA1" s="51"/>
      <c r="NXB1" s="51"/>
      <c r="NXC1" s="51"/>
      <c r="NXD1" s="51"/>
      <c r="NXE1" s="51"/>
      <c r="NXF1" s="51"/>
      <c r="NXG1" s="51"/>
      <c r="NXH1" s="51"/>
      <c r="NXI1" s="51"/>
      <c r="NXJ1" s="51"/>
      <c r="NXK1" s="51"/>
      <c r="NXL1" s="51"/>
      <c r="NXM1" s="51"/>
      <c r="NXN1" s="51"/>
      <c r="NXO1" s="51"/>
      <c r="NXP1" s="51"/>
      <c r="NXQ1" s="51"/>
      <c r="NXR1" s="51"/>
      <c r="NXS1" s="51"/>
      <c r="NXT1" s="51"/>
      <c r="NXU1" s="51"/>
      <c r="NXV1" s="51"/>
      <c r="NXW1" s="51"/>
      <c r="NXX1" s="51"/>
      <c r="NXY1" s="51"/>
      <c r="NXZ1" s="51"/>
      <c r="NYA1" s="51"/>
      <c r="NYB1" s="51"/>
      <c r="NYC1" s="51"/>
      <c r="NYD1" s="51"/>
      <c r="NYE1" s="51"/>
      <c r="NYF1" s="51"/>
      <c r="NYG1" s="51"/>
      <c r="NYH1" s="51"/>
      <c r="NYI1" s="51"/>
      <c r="NYJ1" s="51"/>
      <c r="NYK1" s="51"/>
      <c r="NYL1" s="51"/>
      <c r="NYM1" s="51"/>
      <c r="NYN1" s="51"/>
      <c r="NYO1" s="51"/>
      <c r="NYP1" s="51"/>
      <c r="NYQ1" s="51"/>
      <c r="NYR1" s="51"/>
      <c r="NYS1" s="51"/>
      <c r="NYT1" s="51"/>
      <c r="NYU1" s="51"/>
      <c r="NYV1" s="51"/>
      <c r="NYW1" s="51"/>
      <c r="NYX1" s="51"/>
      <c r="NYY1" s="51"/>
      <c r="NYZ1" s="51"/>
      <c r="NZA1" s="51"/>
      <c r="NZB1" s="51"/>
      <c r="NZC1" s="51"/>
      <c r="NZD1" s="51"/>
      <c r="NZE1" s="51"/>
      <c r="NZF1" s="51"/>
      <c r="NZG1" s="51"/>
      <c r="NZH1" s="51"/>
      <c r="NZI1" s="51"/>
      <c r="NZJ1" s="51"/>
      <c r="NZK1" s="51"/>
      <c r="NZL1" s="51"/>
      <c r="NZM1" s="51"/>
      <c r="NZN1" s="51"/>
      <c r="NZO1" s="51"/>
      <c r="NZP1" s="51"/>
      <c r="NZQ1" s="51"/>
      <c r="NZR1" s="51"/>
      <c r="NZS1" s="51"/>
      <c r="NZT1" s="51"/>
      <c r="NZU1" s="51"/>
      <c r="NZV1" s="51"/>
      <c r="NZW1" s="51"/>
      <c r="NZX1" s="51"/>
      <c r="NZY1" s="51"/>
      <c r="NZZ1" s="51"/>
      <c r="OAA1" s="51"/>
      <c r="OAB1" s="51"/>
      <c r="OAC1" s="51"/>
      <c r="OAD1" s="51"/>
      <c r="OAE1" s="51"/>
      <c r="OAF1" s="51"/>
      <c r="OAG1" s="51"/>
      <c r="OAH1" s="51"/>
      <c r="OAI1" s="51"/>
      <c r="OAJ1" s="51"/>
      <c r="OAK1" s="51"/>
      <c r="OAL1" s="51"/>
      <c r="OAM1" s="51"/>
      <c r="OAN1" s="51"/>
      <c r="OAO1" s="51"/>
      <c r="OAP1" s="51"/>
      <c r="OAQ1" s="51"/>
      <c r="OAR1" s="51"/>
      <c r="OAS1" s="51"/>
      <c r="OAT1" s="51"/>
      <c r="OAU1" s="51"/>
      <c r="OAV1" s="51"/>
      <c r="OAW1" s="51"/>
      <c r="OAX1" s="51"/>
      <c r="OAY1" s="51"/>
      <c r="OAZ1" s="51"/>
      <c r="OBA1" s="51"/>
      <c r="OBB1" s="51"/>
      <c r="OBC1" s="51"/>
      <c r="OBD1" s="51"/>
      <c r="OBE1" s="51"/>
      <c r="OBF1" s="51"/>
      <c r="OBG1" s="51"/>
      <c r="OBH1" s="51"/>
      <c r="OBI1" s="51"/>
      <c r="OBJ1" s="51"/>
      <c r="OBK1" s="51"/>
      <c r="OBL1" s="51"/>
      <c r="OBM1" s="51"/>
      <c r="OBN1" s="51"/>
      <c r="OBO1" s="51"/>
      <c r="OBP1" s="51"/>
      <c r="OBQ1" s="51"/>
      <c r="OBR1" s="51"/>
      <c r="OBS1" s="51"/>
      <c r="OBT1" s="51"/>
      <c r="OBU1" s="51"/>
      <c r="OBV1" s="51"/>
      <c r="OBW1" s="51"/>
      <c r="OBX1" s="51"/>
      <c r="OBY1" s="51"/>
      <c r="OBZ1" s="51"/>
      <c r="OCA1" s="51"/>
      <c r="OCB1" s="51"/>
      <c r="OCC1" s="51"/>
      <c r="OCD1" s="51"/>
      <c r="OCE1" s="51"/>
      <c r="OCF1" s="51"/>
      <c r="OCG1" s="51"/>
      <c r="OCH1" s="51"/>
      <c r="OCI1" s="51"/>
      <c r="OCJ1" s="51"/>
      <c r="OCK1" s="51"/>
      <c r="OCL1" s="51"/>
      <c r="OCM1" s="51"/>
      <c r="OCN1" s="51"/>
      <c r="OCO1" s="51"/>
      <c r="OCP1" s="51"/>
      <c r="OCQ1" s="51"/>
      <c r="OCR1" s="51"/>
      <c r="OCS1" s="51"/>
      <c r="OCT1" s="51"/>
      <c r="OCU1" s="51"/>
      <c r="OCV1" s="51"/>
      <c r="OCW1" s="51"/>
      <c r="OCX1" s="51"/>
      <c r="OCY1" s="51"/>
      <c r="OCZ1" s="51"/>
      <c r="ODA1" s="51"/>
      <c r="ODB1" s="51"/>
      <c r="ODC1" s="51"/>
      <c r="ODD1" s="51"/>
      <c r="ODE1" s="51"/>
      <c r="ODF1" s="51"/>
      <c r="ODG1" s="51"/>
      <c r="ODH1" s="51"/>
      <c r="ODI1" s="51"/>
      <c r="ODJ1" s="51"/>
      <c r="ODK1" s="51"/>
      <c r="ODL1" s="51"/>
      <c r="ODM1" s="51"/>
      <c r="ODN1" s="51"/>
      <c r="ODO1" s="51"/>
      <c r="ODP1" s="51"/>
      <c r="ODQ1" s="51"/>
      <c r="ODR1" s="51"/>
      <c r="ODS1" s="51"/>
      <c r="ODT1" s="51"/>
      <c r="ODU1" s="51"/>
      <c r="ODV1" s="51"/>
      <c r="ODW1" s="51"/>
      <c r="ODX1" s="51"/>
      <c r="ODY1" s="51"/>
      <c r="ODZ1" s="51"/>
      <c r="OEA1" s="51"/>
      <c r="OEB1" s="51"/>
      <c r="OEC1" s="51"/>
      <c r="OED1" s="51"/>
      <c r="OEE1" s="51"/>
      <c r="OEF1" s="51"/>
      <c r="OEG1" s="51"/>
      <c r="OEH1" s="51"/>
      <c r="OEI1" s="51"/>
      <c r="OEJ1" s="51"/>
      <c r="OEK1" s="51"/>
      <c r="OEL1" s="51"/>
      <c r="OEM1" s="51"/>
      <c r="OEN1" s="51"/>
      <c r="OEO1" s="51"/>
      <c r="OEP1" s="51"/>
      <c r="OEQ1" s="51"/>
      <c r="OER1" s="51"/>
      <c r="OES1" s="51"/>
      <c r="OET1" s="51"/>
      <c r="OEU1" s="51"/>
      <c r="OEV1" s="51"/>
      <c r="OEW1" s="51"/>
      <c r="OEX1" s="51"/>
      <c r="OEY1" s="51"/>
      <c r="OEZ1" s="51"/>
      <c r="OFA1" s="51"/>
      <c r="OFB1" s="51"/>
      <c r="OFC1" s="51"/>
      <c r="OFD1" s="51"/>
      <c r="OFE1" s="51"/>
      <c r="OFF1" s="51"/>
      <c r="OFG1" s="51"/>
      <c r="OFH1" s="51"/>
      <c r="OFI1" s="51"/>
      <c r="OFJ1" s="51"/>
      <c r="OFK1" s="51"/>
      <c r="OFL1" s="51"/>
      <c r="OFM1" s="51"/>
      <c r="OFN1" s="51"/>
      <c r="OFO1" s="51"/>
      <c r="OFP1" s="51"/>
      <c r="OFQ1" s="51"/>
      <c r="OFR1" s="51"/>
      <c r="OFS1" s="51"/>
      <c r="OFT1" s="51"/>
      <c r="OFU1" s="51"/>
      <c r="OFV1" s="51"/>
      <c r="OFW1" s="51"/>
      <c r="OFX1" s="51"/>
      <c r="OFY1" s="51"/>
      <c r="OFZ1" s="51"/>
      <c r="OGA1" s="51"/>
      <c r="OGB1" s="51"/>
      <c r="OGC1" s="51"/>
      <c r="OGD1" s="51"/>
      <c r="OGE1" s="51"/>
      <c r="OGF1" s="51"/>
      <c r="OGG1" s="51"/>
      <c r="OGH1" s="51"/>
      <c r="OGI1" s="51"/>
      <c r="OGJ1" s="51"/>
      <c r="OGK1" s="51"/>
      <c r="OGL1" s="51"/>
      <c r="OGM1" s="51"/>
      <c r="OGN1" s="51"/>
      <c r="OGO1" s="51"/>
      <c r="OGP1" s="51"/>
      <c r="OGQ1" s="51"/>
      <c r="OGR1" s="51"/>
      <c r="OGS1" s="51"/>
      <c r="OGT1" s="51"/>
      <c r="OGU1" s="51"/>
      <c r="OGV1" s="51"/>
      <c r="OGW1" s="51"/>
      <c r="OGX1" s="51"/>
      <c r="OGY1" s="51"/>
      <c r="OGZ1" s="51"/>
      <c r="OHA1" s="51"/>
      <c r="OHB1" s="51"/>
      <c r="OHC1" s="51"/>
      <c r="OHD1" s="51"/>
      <c r="OHE1" s="51"/>
      <c r="OHF1" s="51"/>
      <c r="OHG1" s="51"/>
      <c r="OHH1" s="51"/>
      <c r="OHI1" s="51"/>
      <c r="OHJ1" s="51"/>
      <c r="OHK1" s="51"/>
      <c r="OHL1" s="51"/>
      <c r="OHM1" s="51"/>
      <c r="OHN1" s="51"/>
      <c r="OHO1" s="51"/>
      <c r="OHP1" s="51"/>
      <c r="OHQ1" s="51"/>
      <c r="OHR1" s="51"/>
      <c r="OHS1" s="51"/>
      <c r="OHT1" s="51"/>
      <c r="OHU1" s="51"/>
      <c r="OHV1" s="51"/>
      <c r="OHW1" s="51"/>
      <c r="OHX1" s="51"/>
      <c r="OHY1" s="51"/>
      <c r="OHZ1" s="51"/>
      <c r="OIA1" s="51"/>
      <c r="OIB1" s="51"/>
      <c r="OIC1" s="51"/>
      <c r="OID1" s="51"/>
      <c r="OIE1" s="51"/>
      <c r="OIF1" s="51"/>
      <c r="OIG1" s="51"/>
      <c r="OIH1" s="51"/>
      <c r="OII1" s="51"/>
      <c r="OIJ1" s="51"/>
      <c r="OIK1" s="51"/>
      <c r="OIL1" s="51"/>
      <c r="OIM1" s="51"/>
      <c r="OIN1" s="51"/>
      <c r="OIO1" s="51"/>
      <c r="OIP1" s="51"/>
      <c r="OIQ1" s="51"/>
      <c r="OIR1" s="51"/>
      <c r="OIS1" s="51"/>
      <c r="OIT1" s="51"/>
      <c r="OIU1" s="51"/>
      <c r="OIV1" s="51"/>
      <c r="OIW1" s="51"/>
      <c r="OIX1" s="51"/>
      <c r="OIY1" s="51"/>
      <c r="OIZ1" s="51"/>
      <c r="OJA1" s="51"/>
      <c r="OJB1" s="51"/>
      <c r="OJC1" s="51"/>
      <c r="OJD1" s="51"/>
      <c r="OJE1" s="51"/>
      <c r="OJF1" s="51"/>
      <c r="OJG1" s="51"/>
      <c r="OJH1" s="51"/>
      <c r="OJI1" s="51"/>
      <c r="OJJ1" s="51"/>
      <c r="OJK1" s="51"/>
      <c r="OJL1" s="51"/>
      <c r="OJM1" s="51"/>
      <c r="OJN1" s="51"/>
      <c r="OJO1" s="51"/>
      <c r="OJP1" s="51"/>
      <c r="OJQ1" s="51"/>
      <c r="OJR1" s="51"/>
      <c r="OJS1" s="51"/>
      <c r="OJT1" s="51"/>
      <c r="OJU1" s="51"/>
      <c r="OJV1" s="51"/>
      <c r="OJW1" s="51"/>
      <c r="OJX1" s="51"/>
      <c r="OJY1" s="51"/>
      <c r="OJZ1" s="51"/>
      <c r="OKA1" s="51"/>
      <c r="OKB1" s="51"/>
      <c r="OKC1" s="51"/>
      <c r="OKD1" s="51"/>
      <c r="OKE1" s="51"/>
      <c r="OKF1" s="51"/>
      <c r="OKG1" s="51"/>
      <c r="OKH1" s="51"/>
      <c r="OKI1" s="51"/>
      <c r="OKJ1" s="51"/>
      <c r="OKK1" s="51"/>
      <c r="OKL1" s="51"/>
      <c r="OKM1" s="51"/>
      <c r="OKN1" s="51"/>
      <c r="OKO1" s="51"/>
      <c r="OKP1" s="51"/>
      <c r="OKQ1" s="51"/>
      <c r="OKR1" s="51"/>
      <c r="OKS1" s="51"/>
      <c r="OKT1" s="51"/>
      <c r="OKU1" s="51"/>
      <c r="OKV1" s="51"/>
      <c r="OKW1" s="51"/>
      <c r="OKX1" s="51"/>
      <c r="OKY1" s="51"/>
      <c r="OKZ1" s="51"/>
      <c r="OLA1" s="51"/>
      <c r="OLB1" s="51"/>
      <c r="OLC1" s="51"/>
      <c r="OLD1" s="51"/>
      <c r="OLE1" s="51"/>
      <c r="OLF1" s="51"/>
      <c r="OLG1" s="51"/>
      <c r="OLH1" s="51"/>
      <c r="OLI1" s="51"/>
      <c r="OLJ1" s="51"/>
      <c r="OLK1" s="51"/>
      <c r="OLL1" s="51"/>
      <c r="OLM1" s="51"/>
      <c r="OLN1" s="51"/>
      <c r="OLO1" s="51"/>
      <c r="OLP1" s="51"/>
      <c r="OLQ1" s="51"/>
      <c r="OLR1" s="51"/>
      <c r="OLS1" s="51"/>
      <c r="OLT1" s="51"/>
      <c r="OLU1" s="51"/>
      <c r="OLV1" s="51"/>
      <c r="OLW1" s="51"/>
      <c r="OLX1" s="51"/>
      <c r="OLY1" s="51"/>
      <c r="OLZ1" s="51"/>
      <c r="OMA1" s="51"/>
      <c r="OMB1" s="51"/>
      <c r="OMC1" s="51"/>
      <c r="OMD1" s="51"/>
      <c r="OME1" s="51"/>
      <c r="OMF1" s="51"/>
      <c r="OMG1" s="51"/>
      <c r="OMH1" s="51"/>
      <c r="OMI1" s="51"/>
      <c r="OMJ1" s="51"/>
      <c r="OMK1" s="51"/>
      <c r="OML1" s="51"/>
      <c r="OMM1" s="51"/>
      <c r="OMN1" s="51"/>
      <c r="OMO1" s="51"/>
      <c r="OMP1" s="51"/>
      <c r="OMQ1" s="51"/>
      <c r="OMR1" s="51"/>
      <c r="OMS1" s="51"/>
      <c r="OMT1" s="51"/>
      <c r="OMU1" s="51"/>
      <c r="OMV1" s="51"/>
      <c r="OMW1" s="51"/>
      <c r="OMX1" s="51"/>
      <c r="OMY1" s="51"/>
      <c r="OMZ1" s="51"/>
      <c r="ONA1" s="51"/>
      <c r="ONB1" s="51"/>
      <c r="ONC1" s="51"/>
      <c r="OND1" s="51"/>
      <c r="ONE1" s="51"/>
      <c r="ONF1" s="51"/>
      <c r="ONG1" s="51"/>
      <c r="ONH1" s="51"/>
      <c r="ONI1" s="51"/>
      <c r="ONJ1" s="51"/>
      <c r="ONK1" s="51"/>
      <c r="ONL1" s="51"/>
      <c r="ONM1" s="51"/>
      <c r="ONN1" s="51"/>
      <c r="ONO1" s="51"/>
      <c r="ONP1" s="51"/>
      <c r="ONQ1" s="51"/>
      <c r="ONR1" s="51"/>
      <c r="ONS1" s="51"/>
      <c r="ONT1" s="51"/>
      <c r="ONU1" s="51"/>
      <c r="ONV1" s="51"/>
      <c r="ONW1" s="51"/>
      <c r="ONX1" s="51"/>
      <c r="ONY1" s="51"/>
      <c r="ONZ1" s="51"/>
      <c r="OOA1" s="51"/>
      <c r="OOB1" s="51"/>
      <c r="OOC1" s="51"/>
      <c r="OOD1" s="51"/>
      <c r="OOE1" s="51"/>
      <c r="OOF1" s="51"/>
      <c r="OOG1" s="51"/>
      <c r="OOH1" s="51"/>
      <c r="OOI1" s="51"/>
      <c r="OOJ1" s="51"/>
      <c r="OOK1" s="51"/>
      <c r="OOL1" s="51"/>
      <c r="OOM1" s="51"/>
      <c r="OON1" s="51"/>
      <c r="OOO1" s="51"/>
      <c r="OOP1" s="51"/>
      <c r="OOQ1" s="51"/>
      <c r="OOR1" s="51"/>
      <c r="OOS1" s="51"/>
      <c r="OOT1" s="51"/>
      <c r="OOU1" s="51"/>
      <c r="OOV1" s="51"/>
      <c r="OOW1" s="51"/>
      <c r="OOX1" s="51"/>
      <c r="OOY1" s="51"/>
      <c r="OOZ1" s="51"/>
      <c r="OPA1" s="51"/>
      <c r="OPB1" s="51"/>
      <c r="OPC1" s="51"/>
      <c r="OPD1" s="51"/>
      <c r="OPE1" s="51"/>
      <c r="OPF1" s="51"/>
      <c r="OPG1" s="51"/>
      <c r="OPH1" s="51"/>
      <c r="OPI1" s="51"/>
      <c r="OPJ1" s="51"/>
      <c r="OPK1" s="51"/>
      <c r="OPL1" s="51"/>
      <c r="OPM1" s="51"/>
      <c r="OPN1" s="51"/>
      <c r="OPO1" s="51"/>
      <c r="OPP1" s="51"/>
      <c r="OPQ1" s="51"/>
      <c r="OPR1" s="51"/>
      <c r="OPS1" s="51"/>
      <c r="OPT1" s="51"/>
      <c r="OPU1" s="51"/>
      <c r="OPV1" s="51"/>
      <c r="OPW1" s="51"/>
      <c r="OPX1" s="51"/>
      <c r="OPY1" s="51"/>
      <c r="OPZ1" s="51"/>
      <c r="OQA1" s="51"/>
      <c r="OQB1" s="51"/>
      <c r="OQC1" s="51"/>
      <c r="OQD1" s="51"/>
      <c r="OQE1" s="51"/>
      <c r="OQF1" s="51"/>
      <c r="OQG1" s="51"/>
      <c r="OQH1" s="51"/>
      <c r="OQI1" s="51"/>
      <c r="OQJ1" s="51"/>
      <c r="OQK1" s="51"/>
      <c r="OQL1" s="51"/>
      <c r="OQM1" s="51"/>
      <c r="OQN1" s="51"/>
      <c r="OQO1" s="51"/>
      <c r="OQP1" s="51"/>
      <c r="OQQ1" s="51"/>
      <c r="OQR1" s="51"/>
      <c r="OQS1" s="51"/>
      <c r="OQT1" s="51"/>
      <c r="OQU1" s="51"/>
      <c r="OQV1" s="51"/>
      <c r="OQW1" s="51"/>
      <c r="OQX1" s="51"/>
      <c r="OQY1" s="51"/>
      <c r="OQZ1" s="51"/>
      <c r="ORA1" s="51"/>
      <c r="ORB1" s="51"/>
      <c r="ORC1" s="51"/>
      <c r="ORD1" s="51"/>
      <c r="ORE1" s="51"/>
      <c r="ORF1" s="51"/>
      <c r="ORG1" s="51"/>
      <c r="ORH1" s="51"/>
      <c r="ORI1" s="51"/>
      <c r="ORJ1" s="51"/>
      <c r="ORK1" s="51"/>
      <c r="ORL1" s="51"/>
      <c r="ORM1" s="51"/>
      <c r="ORN1" s="51"/>
      <c r="ORO1" s="51"/>
      <c r="ORP1" s="51"/>
      <c r="ORQ1" s="51"/>
      <c r="ORR1" s="51"/>
      <c r="ORS1" s="51"/>
      <c r="ORT1" s="51"/>
      <c r="ORU1" s="51"/>
      <c r="ORV1" s="51"/>
      <c r="ORW1" s="51"/>
      <c r="ORX1" s="51"/>
      <c r="ORY1" s="51"/>
      <c r="ORZ1" s="51"/>
      <c r="OSA1" s="51"/>
      <c r="OSB1" s="51"/>
      <c r="OSC1" s="51"/>
      <c r="OSD1" s="51"/>
      <c r="OSE1" s="51"/>
      <c r="OSF1" s="51"/>
      <c r="OSG1" s="51"/>
      <c r="OSH1" s="51"/>
      <c r="OSI1" s="51"/>
      <c r="OSJ1" s="51"/>
      <c r="OSK1" s="51"/>
      <c r="OSL1" s="51"/>
      <c r="OSM1" s="51"/>
      <c r="OSN1" s="51"/>
      <c r="OSO1" s="51"/>
      <c r="OSP1" s="51"/>
      <c r="OSQ1" s="51"/>
      <c r="OSR1" s="51"/>
      <c r="OSS1" s="51"/>
      <c r="OST1" s="51"/>
      <c r="OSU1" s="51"/>
      <c r="OSV1" s="51"/>
      <c r="OSW1" s="51"/>
      <c r="OSX1" s="51"/>
      <c r="OSY1" s="51"/>
      <c r="OSZ1" s="51"/>
      <c r="OTA1" s="51"/>
      <c r="OTB1" s="51"/>
      <c r="OTC1" s="51"/>
      <c r="OTD1" s="51"/>
      <c r="OTE1" s="51"/>
      <c r="OTF1" s="51"/>
      <c r="OTG1" s="51"/>
      <c r="OTH1" s="51"/>
      <c r="OTI1" s="51"/>
      <c r="OTJ1" s="51"/>
      <c r="OTK1" s="51"/>
      <c r="OTL1" s="51"/>
      <c r="OTM1" s="51"/>
      <c r="OTN1" s="51"/>
      <c r="OTO1" s="51"/>
      <c r="OTP1" s="51"/>
      <c r="OTQ1" s="51"/>
      <c r="OTR1" s="51"/>
      <c r="OTS1" s="51"/>
      <c r="OTT1" s="51"/>
      <c r="OTU1" s="51"/>
      <c r="OTV1" s="51"/>
      <c r="OTW1" s="51"/>
      <c r="OTX1" s="51"/>
      <c r="OTY1" s="51"/>
      <c r="OTZ1" s="51"/>
      <c r="OUA1" s="51"/>
      <c r="OUB1" s="51"/>
      <c r="OUC1" s="51"/>
      <c r="OUD1" s="51"/>
      <c r="OUE1" s="51"/>
      <c r="OUF1" s="51"/>
      <c r="OUG1" s="51"/>
      <c r="OUH1" s="51"/>
      <c r="OUI1" s="51"/>
      <c r="OUJ1" s="51"/>
      <c r="OUK1" s="51"/>
      <c r="OUL1" s="51"/>
      <c r="OUM1" s="51"/>
      <c r="OUN1" s="51"/>
      <c r="OUO1" s="51"/>
      <c r="OUP1" s="51"/>
      <c r="OUQ1" s="51"/>
      <c r="OUR1" s="51"/>
      <c r="OUS1" s="51"/>
      <c r="OUT1" s="51"/>
      <c r="OUU1" s="51"/>
      <c r="OUV1" s="51"/>
      <c r="OUW1" s="51"/>
      <c r="OUX1" s="51"/>
      <c r="OUY1" s="51"/>
      <c r="OUZ1" s="51"/>
      <c r="OVA1" s="51"/>
      <c r="OVB1" s="51"/>
      <c r="OVC1" s="51"/>
      <c r="OVD1" s="51"/>
      <c r="OVE1" s="51"/>
      <c r="OVF1" s="51"/>
      <c r="OVG1" s="51"/>
      <c r="OVH1" s="51"/>
      <c r="OVI1" s="51"/>
      <c r="OVJ1" s="51"/>
      <c r="OVK1" s="51"/>
      <c r="OVL1" s="51"/>
      <c r="OVM1" s="51"/>
      <c r="OVN1" s="51"/>
      <c r="OVO1" s="51"/>
      <c r="OVP1" s="51"/>
      <c r="OVQ1" s="51"/>
      <c r="OVR1" s="51"/>
      <c r="OVS1" s="51"/>
      <c r="OVT1" s="51"/>
      <c r="OVU1" s="51"/>
      <c r="OVV1" s="51"/>
      <c r="OVW1" s="51"/>
      <c r="OVX1" s="51"/>
      <c r="OVY1" s="51"/>
      <c r="OVZ1" s="51"/>
      <c r="OWA1" s="51"/>
      <c r="OWB1" s="51"/>
      <c r="OWC1" s="51"/>
      <c r="OWD1" s="51"/>
      <c r="OWE1" s="51"/>
      <c r="OWF1" s="51"/>
      <c r="OWG1" s="51"/>
      <c r="OWH1" s="51"/>
      <c r="OWI1" s="51"/>
      <c r="OWJ1" s="51"/>
      <c r="OWK1" s="51"/>
      <c r="OWL1" s="51"/>
      <c r="OWM1" s="51"/>
      <c r="OWN1" s="51"/>
      <c r="OWO1" s="51"/>
      <c r="OWP1" s="51"/>
      <c r="OWQ1" s="51"/>
      <c r="OWR1" s="51"/>
      <c r="OWS1" s="51"/>
      <c r="OWT1" s="51"/>
      <c r="OWU1" s="51"/>
      <c r="OWV1" s="51"/>
      <c r="OWW1" s="51"/>
      <c r="OWX1" s="51"/>
      <c r="OWY1" s="51"/>
      <c r="OWZ1" s="51"/>
      <c r="OXA1" s="51"/>
      <c r="OXB1" s="51"/>
      <c r="OXC1" s="51"/>
      <c r="OXD1" s="51"/>
      <c r="OXE1" s="51"/>
      <c r="OXF1" s="51"/>
      <c r="OXG1" s="51"/>
      <c r="OXH1" s="51"/>
      <c r="OXI1" s="51"/>
      <c r="OXJ1" s="51"/>
      <c r="OXK1" s="51"/>
      <c r="OXL1" s="51"/>
      <c r="OXM1" s="51"/>
      <c r="OXN1" s="51"/>
      <c r="OXO1" s="51"/>
      <c r="OXP1" s="51"/>
      <c r="OXQ1" s="51"/>
      <c r="OXR1" s="51"/>
      <c r="OXS1" s="51"/>
      <c r="OXT1" s="51"/>
      <c r="OXU1" s="51"/>
      <c r="OXV1" s="51"/>
      <c r="OXW1" s="51"/>
      <c r="OXX1" s="51"/>
      <c r="OXY1" s="51"/>
      <c r="OXZ1" s="51"/>
      <c r="OYA1" s="51"/>
      <c r="OYB1" s="51"/>
      <c r="OYC1" s="51"/>
      <c r="OYD1" s="51"/>
      <c r="OYE1" s="51"/>
      <c r="OYF1" s="51"/>
      <c r="OYG1" s="51"/>
      <c r="OYH1" s="51"/>
      <c r="OYI1" s="51"/>
      <c r="OYJ1" s="51"/>
      <c r="OYK1" s="51"/>
      <c r="OYL1" s="51"/>
      <c r="OYM1" s="51"/>
      <c r="OYN1" s="51"/>
      <c r="OYO1" s="51"/>
      <c r="OYP1" s="51"/>
      <c r="OYQ1" s="51"/>
      <c r="OYR1" s="51"/>
      <c r="OYS1" s="51"/>
      <c r="OYT1" s="51"/>
      <c r="OYU1" s="51"/>
      <c r="OYV1" s="51"/>
      <c r="OYW1" s="51"/>
      <c r="OYX1" s="51"/>
      <c r="OYY1" s="51"/>
      <c r="OYZ1" s="51"/>
      <c r="OZA1" s="51"/>
      <c r="OZB1" s="51"/>
      <c r="OZC1" s="51"/>
      <c r="OZD1" s="51"/>
      <c r="OZE1" s="51"/>
      <c r="OZF1" s="51"/>
      <c r="OZG1" s="51"/>
      <c r="OZH1" s="51"/>
      <c r="OZI1" s="51"/>
      <c r="OZJ1" s="51"/>
      <c r="OZK1" s="51"/>
      <c r="OZL1" s="51"/>
      <c r="OZM1" s="51"/>
      <c r="OZN1" s="51"/>
      <c r="OZO1" s="51"/>
      <c r="OZP1" s="51"/>
      <c r="OZQ1" s="51"/>
      <c r="OZR1" s="51"/>
      <c r="OZS1" s="51"/>
      <c r="OZT1" s="51"/>
      <c r="OZU1" s="51"/>
      <c r="OZV1" s="51"/>
      <c r="OZW1" s="51"/>
      <c r="OZX1" s="51"/>
      <c r="OZY1" s="51"/>
      <c r="OZZ1" s="51"/>
      <c r="PAA1" s="51"/>
      <c r="PAB1" s="51"/>
      <c r="PAC1" s="51"/>
      <c r="PAD1" s="51"/>
      <c r="PAE1" s="51"/>
      <c r="PAF1" s="51"/>
      <c r="PAG1" s="51"/>
      <c r="PAH1" s="51"/>
      <c r="PAI1" s="51"/>
      <c r="PAJ1" s="51"/>
      <c r="PAK1" s="51"/>
      <c r="PAL1" s="51"/>
      <c r="PAM1" s="51"/>
      <c r="PAN1" s="51"/>
      <c r="PAO1" s="51"/>
      <c r="PAP1" s="51"/>
      <c r="PAQ1" s="51"/>
      <c r="PAR1" s="51"/>
      <c r="PAS1" s="51"/>
      <c r="PAT1" s="51"/>
      <c r="PAU1" s="51"/>
      <c r="PAV1" s="51"/>
      <c r="PAW1" s="51"/>
      <c r="PAX1" s="51"/>
      <c r="PAY1" s="51"/>
      <c r="PAZ1" s="51"/>
      <c r="PBA1" s="51"/>
      <c r="PBB1" s="51"/>
      <c r="PBC1" s="51"/>
      <c r="PBD1" s="51"/>
      <c r="PBE1" s="51"/>
      <c r="PBF1" s="51"/>
      <c r="PBG1" s="51"/>
      <c r="PBH1" s="51"/>
      <c r="PBI1" s="51"/>
      <c r="PBJ1" s="51"/>
      <c r="PBK1" s="51"/>
      <c r="PBL1" s="51"/>
      <c r="PBM1" s="51"/>
      <c r="PBN1" s="51"/>
      <c r="PBO1" s="51"/>
      <c r="PBP1" s="51"/>
      <c r="PBQ1" s="51"/>
      <c r="PBR1" s="51"/>
      <c r="PBS1" s="51"/>
      <c r="PBT1" s="51"/>
      <c r="PBU1" s="51"/>
      <c r="PBV1" s="51"/>
      <c r="PBW1" s="51"/>
      <c r="PBX1" s="51"/>
      <c r="PBY1" s="51"/>
      <c r="PBZ1" s="51"/>
      <c r="PCA1" s="51"/>
      <c r="PCB1" s="51"/>
      <c r="PCC1" s="51"/>
      <c r="PCD1" s="51"/>
      <c r="PCE1" s="51"/>
      <c r="PCF1" s="51"/>
      <c r="PCG1" s="51"/>
      <c r="PCH1" s="51"/>
      <c r="PCI1" s="51"/>
      <c r="PCJ1" s="51"/>
      <c r="PCK1" s="51"/>
      <c r="PCL1" s="51"/>
      <c r="PCM1" s="51"/>
      <c r="PCN1" s="51"/>
      <c r="PCO1" s="51"/>
      <c r="PCP1" s="51"/>
      <c r="PCQ1" s="51"/>
      <c r="PCR1" s="51"/>
      <c r="PCS1" s="51"/>
      <c r="PCT1" s="51"/>
      <c r="PCU1" s="51"/>
      <c r="PCV1" s="51"/>
      <c r="PCW1" s="51"/>
      <c r="PCX1" s="51"/>
      <c r="PCY1" s="51"/>
      <c r="PCZ1" s="51"/>
      <c r="PDA1" s="51"/>
      <c r="PDB1" s="51"/>
      <c r="PDC1" s="51"/>
      <c r="PDD1" s="51"/>
      <c r="PDE1" s="51"/>
      <c r="PDF1" s="51"/>
      <c r="PDG1" s="51"/>
      <c r="PDH1" s="51"/>
      <c r="PDI1" s="51"/>
      <c r="PDJ1" s="51"/>
      <c r="PDK1" s="51"/>
      <c r="PDL1" s="51"/>
      <c r="PDM1" s="51"/>
      <c r="PDN1" s="51"/>
      <c r="PDO1" s="51"/>
      <c r="PDP1" s="51"/>
      <c r="PDQ1" s="51"/>
      <c r="PDR1" s="51"/>
      <c r="PDS1" s="51"/>
      <c r="PDT1" s="51"/>
      <c r="PDU1" s="51"/>
      <c r="PDV1" s="51"/>
      <c r="PDW1" s="51"/>
      <c r="PDX1" s="51"/>
      <c r="PDY1" s="51"/>
      <c r="PDZ1" s="51"/>
      <c r="PEA1" s="51"/>
      <c r="PEB1" s="51"/>
      <c r="PEC1" s="51"/>
      <c r="PED1" s="51"/>
      <c r="PEE1" s="51"/>
      <c r="PEF1" s="51"/>
      <c r="PEG1" s="51"/>
      <c r="PEH1" s="51"/>
      <c r="PEI1" s="51"/>
      <c r="PEJ1" s="51"/>
      <c r="PEK1" s="51"/>
      <c r="PEL1" s="51"/>
      <c r="PEM1" s="51"/>
      <c r="PEN1" s="51"/>
      <c r="PEO1" s="51"/>
      <c r="PEP1" s="51"/>
      <c r="PEQ1" s="51"/>
      <c r="PER1" s="51"/>
      <c r="PES1" s="51"/>
      <c r="PET1" s="51"/>
      <c r="PEU1" s="51"/>
      <c r="PEV1" s="51"/>
      <c r="PEW1" s="51"/>
      <c r="PEX1" s="51"/>
      <c r="PEY1" s="51"/>
      <c r="PEZ1" s="51"/>
      <c r="PFA1" s="51"/>
      <c r="PFB1" s="51"/>
      <c r="PFC1" s="51"/>
      <c r="PFD1" s="51"/>
      <c r="PFE1" s="51"/>
      <c r="PFF1" s="51"/>
      <c r="PFG1" s="51"/>
      <c r="PFH1" s="51"/>
      <c r="PFI1" s="51"/>
      <c r="PFJ1" s="51"/>
      <c r="PFK1" s="51"/>
      <c r="PFL1" s="51"/>
      <c r="PFM1" s="51"/>
      <c r="PFN1" s="51"/>
      <c r="PFO1" s="51"/>
      <c r="PFP1" s="51"/>
      <c r="PFQ1" s="51"/>
      <c r="PFR1" s="51"/>
      <c r="PFS1" s="51"/>
      <c r="PFT1" s="51"/>
      <c r="PFU1" s="51"/>
      <c r="PFV1" s="51"/>
      <c r="PFW1" s="51"/>
      <c r="PFX1" s="51"/>
      <c r="PFY1" s="51"/>
      <c r="PFZ1" s="51"/>
      <c r="PGA1" s="51"/>
      <c r="PGB1" s="51"/>
      <c r="PGC1" s="51"/>
      <c r="PGD1" s="51"/>
      <c r="PGE1" s="51"/>
      <c r="PGF1" s="51"/>
      <c r="PGG1" s="51"/>
      <c r="PGH1" s="51"/>
      <c r="PGI1" s="51"/>
      <c r="PGJ1" s="51"/>
      <c r="PGK1" s="51"/>
      <c r="PGL1" s="51"/>
      <c r="PGM1" s="51"/>
      <c r="PGN1" s="51"/>
      <c r="PGO1" s="51"/>
      <c r="PGP1" s="51"/>
      <c r="PGQ1" s="51"/>
      <c r="PGR1" s="51"/>
      <c r="PGS1" s="51"/>
      <c r="PGT1" s="51"/>
      <c r="PGU1" s="51"/>
      <c r="PGV1" s="51"/>
      <c r="PGW1" s="51"/>
      <c r="PGX1" s="51"/>
      <c r="PGY1" s="51"/>
      <c r="PGZ1" s="51"/>
      <c r="PHA1" s="51"/>
      <c r="PHB1" s="51"/>
      <c r="PHC1" s="51"/>
      <c r="PHD1" s="51"/>
      <c r="PHE1" s="51"/>
      <c r="PHF1" s="51"/>
      <c r="PHG1" s="51"/>
      <c r="PHH1" s="51"/>
      <c r="PHI1" s="51"/>
      <c r="PHJ1" s="51"/>
      <c r="PHK1" s="51"/>
      <c r="PHL1" s="51"/>
      <c r="PHM1" s="51"/>
      <c r="PHN1" s="51"/>
      <c r="PHO1" s="51"/>
      <c r="PHP1" s="51"/>
      <c r="PHQ1" s="51"/>
      <c r="PHR1" s="51"/>
      <c r="PHS1" s="51"/>
      <c r="PHT1" s="51"/>
      <c r="PHU1" s="51"/>
      <c r="PHV1" s="51"/>
      <c r="PHW1" s="51"/>
      <c r="PHX1" s="51"/>
      <c r="PHY1" s="51"/>
      <c r="PHZ1" s="51"/>
      <c r="PIA1" s="51"/>
      <c r="PIB1" s="51"/>
      <c r="PIC1" s="51"/>
      <c r="PID1" s="51"/>
      <c r="PIE1" s="51"/>
      <c r="PIF1" s="51"/>
      <c r="PIG1" s="51"/>
      <c r="PIH1" s="51"/>
      <c r="PII1" s="51"/>
      <c r="PIJ1" s="51"/>
      <c r="PIK1" s="51"/>
      <c r="PIL1" s="51"/>
      <c r="PIM1" s="51"/>
      <c r="PIN1" s="51"/>
      <c r="PIO1" s="51"/>
      <c r="PIP1" s="51"/>
      <c r="PIQ1" s="51"/>
      <c r="PIR1" s="51"/>
      <c r="PIS1" s="51"/>
      <c r="PIT1" s="51"/>
      <c r="PIU1" s="51"/>
      <c r="PIV1" s="51"/>
      <c r="PIW1" s="51"/>
      <c r="PIX1" s="51"/>
      <c r="PIY1" s="51"/>
      <c r="PIZ1" s="51"/>
      <c r="PJA1" s="51"/>
      <c r="PJB1" s="51"/>
      <c r="PJC1" s="51"/>
      <c r="PJD1" s="51"/>
      <c r="PJE1" s="51"/>
      <c r="PJF1" s="51"/>
      <c r="PJG1" s="51"/>
      <c r="PJH1" s="51"/>
      <c r="PJI1" s="51"/>
      <c r="PJJ1" s="51"/>
      <c r="PJK1" s="51"/>
      <c r="PJL1" s="51"/>
      <c r="PJM1" s="51"/>
      <c r="PJN1" s="51"/>
      <c r="PJO1" s="51"/>
      <c r="PJP1" s="51"/>
      <c r="PJQ1" s="51"/>
      <c r="PJR1" s="51"/>
      <c r="PJS1" s="51"/>
      <c r="PJT1" s="51"/>
      <c r="PJU1" s="51"/>
      <c r="PJV1" s="51"/>
      <c r="PJW1" s="51"/>
      <c r="PJX1" s="51"/>
      <c r="PJY1" s="51"/>
      <c r="PJZ1" s="51"/>
      <c r="PKA1" s="51"/>
      <c r="PKB1" s="51"/>
      <c r="PKC1" s="51"/>
      <c r="PKD1" s="51"/>
      <c r="PKE1" s="51"/>
      <c r="PKF1" s="51"/>
      <c r="PKG1" s="51"/>
      <c r="PKH1" s="51"/>
      <c r="PKI1" s="51"/>
      <c r="PKJ1" s="51"/>
      <c r="PKK1" s="51"/>
      <c r="PKL1" s="51"/>
      <c r="PKM1" s="51"/>
      <c r="PKN1" s="51"/>
      <c r="PKO1" s="51"/>
      <c r="PKP1" s="51"/>
      <c r="PKQ1" s="51"/>
      <c r="PKR1" s="51"/>
      <c r="PKS1" s="51"/>
      <c r="PKT1" s="51"/>
      <c r="PKU1" s="51"/>
      <c r="PKV1" s="51"/>
      <c r="PKW1" s="51"/>
      <c r="PKX1" s="51"/>
      <c r="PKY1" s="51"/>
      <c r="PKZ1" s="51"/>
      <c r="PLA1" s="51"/>
      <c r="PLB1" s="51"/>
      <c r="PLC1" s="51"/>
      <c r="PLD1" s="51"/>
      <c r="PLE1" s="51"/>
      <c r="PLF1" s="51"/>
      <c r="PLG1" s="51"/>
      <c r="PLH1" s="51"/>
      <c r="PLI1" s="51"/>
      <c r="PLJ1" s="51"/>
      <c r="PLK1" s="51"/>
      <c r="PLL1" s="51"/>
      <c r="PLM1" s="51"/>
      <c r="PLN1" s="51"/>
      <c r="PLO1" s="51"/>
      <c r="PLP1" s="51"/>
      <c r="PLQ1" s="51"/>
      <c r="PLR1" s="51"/>
      <c r="PLS1" s="51"/>
      <c r="PLT1" s="51"/>
      <c r="PLU1" s="51"/>
      <c r="PLV1" s="51"/>
      <c r="PLW1" s="51"/>
      <c r="PLX1" s="51"/>
      <c r="PLY1" s="51"/>
      <c r="PLZ1" s="51"/>
      <c r="PMA1" s="51"/>
      <c r="PMB1" s="51"/>
      <c r="PMC1" s="51"/>
      <c r="PMD1" s="51"/>
      <c r="PME1" s="51"/>
      <c r="PMF1" s="51"/>
      <c r="PMG1" s="51"/>
      <c r="PMH1" s="51"/>
      <c r="PMI1" s="51"/>
      <c r="PMJ1" s="51"/>
      <c r="PMK1" s="51"/>
      <c r="PML1" s="51"/>
      <c r="PMM1" s="51"/>
      <c r="PMN1" s="51"/>
      <c r="PMO1" s="51"/>
      <c r="PMP1" s="51"/>
      <c r="PMQ1" s="51"/>
      <c r="PMR1" s="51"/>
      <c r="PMS1" s="51"/>
      <c r="PMT1" s="51"/>
      <c r="PMU1" s="51"/>
      <c r="PMV1" s="51"/>
      <c r="PMW1" s="51"/>
      <c r="PMX1" s="51"/>
      <c r="PMY1" s="51"/>
      <c r="PMZ1" s="51"/>
      <c r="PNA1" s="51"/>
      <c r="PNB1" s="51"/>
      <c r="PNC1" s="51"/>
      <c r="PND1" s="51"/>
      <c r="PNE1" s="51"/>
      <c r="PNF1" s="51"/>
      <c r="PNG1" s="51"/>
      <c r="PNH1" s="51"/>
      <c r="PNI1" s="51"/>
      <c r="PNJ1" s="51"/>
      <c r="PNK1" s="51"/>
      <c r="PNL1" s="51"/>
      <c r="PNM1" s="51"/>
      <c r="PNN1" s="51"/>
      <c r="PNO1" s="51"/>
      <c r="PNP1" s="51"/>
      <c r="PNQ1" s="51"/>
      <c r="PNR1" s="51"/>
      <c r="PNS1" s="51"/>
      <c r="PNT1" s="51"/>
      <c r="PNU1" s="51"/>
      <c r="PNV1" s="51"/>
      <c r="PNW1" s="51"/>
      <c r="PNX1" s="51"/>
      <c r="PNY1" s="51"/>
      <c r="PNZ1" s="51"/>
      <c r="POA1" s="51"/>
      <c r="POB1" s="51"/>
      <c r="POC1" s="51"/>
      <c r="POD1" s="51"/>
      <c r="POE1" s="51"/>
      <c r="POF1" s="51"/>
      <c r="POG1" s="51"/>
      <c r="POH1" s="51"/>
      <c r="POI1" s="51"/>
      <c r="POJ1" s="51"/>
      <c r="POK1" s="51"/>
      <c r="POL1" s="51"/>
      <c r="POM1" s="51"/>
      <c r="PON1" s="51"/>
      <c r="POO1" s="51"/>
      <c r="POP1" s="51"/>
      <c r="POQ1" s="51"/>
      <c r="POR1" s="51"/>
      <c r="POS1" s="51"/>
      <c r="POT1" s="51"/>
      <c r="POU1" s="51"/>
      <c r="POV1" s="51"/>
      <c r="POW1" s="51"/>
      <c r="POX1" s="51"/>
      <c r="POY1" s="51"/>
      <c r="POZ1" s="51"/>
      <c r="PPA1" s="51"/>
      <c r="PPB1" s="51"/>
      <c r="PPC1" s="51"/>
      <c r="PPD1" s="51"/>
      <c r="PPE1" s="51"/>
      <c r="PPF1" s="51"/>
      <c r="PPG1" s="51"/>
      <c r="PPH1" s="51"/>
      <c r="PPI1" s="51"/>
      <c r="PPJ1" s="51"/>
      <c r="PPK1" s="51"/>
      <c r="PPL1" s="51"/>
      <c r="PPM1" s="51"/>
      <c r="PPN1" s="51"/>
      <c r="PPO1" s="51"/>
      <c r="PPP1" s="51"/>
      <c r="PPQ1" s="51"/>
      <c r="PPR1" s="51"/>
      <c r="PPS1" s="51"/>
      <c r="PPT1" s="51"/>
      <c r="PPU1" s="51"/>
      <c r="PPV1" s="51"/>
      <c r="PPW1" s="51"/>
      <c r="PPX1" s="51"/>
      <c r="PPY1" s="51"/>
      <c r="PPZ1" s="51"/>
      <c r="PQA1" s="51"/>
      <c r="PQB1" s="51"/>
      <c r="PQC1" s="51"/>
      <c r="PQD1" s="51"/>
      <c r="PQE1" s="51"/>
      <c r="PQF1" s="51"/>
      <c r="PQG1" s="51"/>
      <c r="PQH1" s="51"/>
      <c r="PQI1" s="51"/>
      <c r="PQJ1" s="51"/>
      <c r="PQK1" s="51"/>
      <c r="PQL1" s="51"/>
      <c r="PQM1" s="51"/>
      <c r="PQN1" s="51"/>
      <c r="PQO1" s="51"/>
      <c r="PQP1" s="51"/>
      <c r="PQQ1" s="51"/>
      <c r="PQR1" s="51"/>
      <c r="PQS1" s="51"/>
      <c r="PQT1" s="51"/>
      <c r="PQU1" s="51"/>
      <c r="PQV1" s="51"/>
      <c r="PQW1" s="51"/>
      <c r="PQX1" s="51"/>
      <c r="PQY1" s="51"/>
      <c r="PQZ1" s="51"/>
      <c r="PRA1" s="51"/>
      <c r="PRB1" s="51"/>
      <c r="PRC1" s="51"/>
      <c r="PRD1" s="51"/>
      <c r="PRE1" s="51"/>
      <c r="PRF1" s="51"/>
      <c r="PRG1" s="51"/>
      <c r="PRH1" s="51"/>
      <c r="PRI1" s="51"/>
      <c r="PRJ1" s="51"/>
      <c r="PRK1" s="51"/>
      <c r="PRL1" s="51"/>
      <c r="PRM1" s="51"/>
      <c r="PRN1" s="51"/>
      <c r="PRO1" s="51"/>
      <c r="PRP1" s="51"/>
      <c r="PRQ1" s="51"/>
      <c r="PRR1" s="51"/>
      <c r="PRS1" s="51"/>
      <c r="PRT1" s="51"/>
      <c r="PRU1" s="51"/>
      <c r="PRV1" s="51"/>
      <c r="PRW1" s="51"/>
      <c r="PRX1" s="51"/>
      <c r="PRY1" s="51"/>
      <c r="PRZ1" s="51"/>
      <c r="PSA1" s="51"/>
      <c r="PSB1" s="51"/>
      <c r="PSC1" s="51"/>
      <c r="PSD1" s="51"/>
      <c r="PSE1" s="51"/>
      <c r="PSF1" s="51"/>
      <c r="PSG1" s="51"/>
      <c r="PSH1" s="51"/>
      <c r="PSI1" s="51"/>
      <c r="PSJ1" s="51"/>
      <c r="PSK1" s="51"/>
      <c r="PSL1" s="51"/>
      <c r="PSM1" s="51"/>
      <c r="PSN1" s="51"/>
      <c r="PSO1" s="51"/>
      <c r="PSP1" s="51"/>
      <c r="PSQ1" s="51"/>
      <c r="PSR1" s="51"/>
      <c r="PSS1" s="51"/>
      <c r="PST1" s="51"/>
      <c r="PSU1" s="51"/>
      <c r="PSV1" s="51"/>
      <c r="PSW1" s="51"/>
      <c r="PSX1" s="51"/>
      <c r="PSY1" s="51"/>
      <c r="PSZ1" s="51"/>
      <c r="PTA1" s="51"/>
      <c r="PTB1" s="51"/>
      <c r="PTC1" s="51"/>
      <c r="PTD1" s="51"/>
      <c r="PTE1" s="51"/>
      <c r="PTF1" s="51"/>
      <c r="PTG1" s="51"/>
      <c r="PTH1" s="51"/>
      <c r="PTI1" s="51"/>
      <c r="PTJ1" s="51"/>
      <c r="PTK1" s="51"/>
      <c r="PTL1" s="51"/>
      <c r="PTM1" s="51"/>
      <c r="PTN1" s="51"/>
      <c r="PTO1" s="51"/>
      <c r="PTP1" s="51"/>
      <c r="PTQ1" s="51"/>
      <c r="PTR1" s="51"/>
      <c r="PTS1" s="51"/>
      <c r="PTT1" s="51"/>
      <c r="PTU1" s="51"/>
      <c r="PTV1" s="51"/>
      <c r="PTW1" s="51"/>
      <c r="PTX1" s="51"/>
      <c r="PTY1" s="51"/>
      <c r="PTZ1" s="51"/>
      <c r="PUA1" s="51"/>
      <c r="PUB1" s="51"/>
      <c r="PUC1" s="51"/>
      <c r="PUD1" s="51"/>
      <c r="PUE1" s="51"/>
      <c r="PUF1" s="51"/>
      <c r="PUG1" s="51"/>
      <c r="PUH1" s="51"/>
      <c r="PUI1" s="51"/>
      <c r="PUJ1" s="51"/>
      <c r="PUK1" s="51"/>
      <c r="PUL1" s="51"/>
      <c r="PUM1" s="51"/>
      <c r="PUN1" s="51"/>
      <c r="PUO1" s="51"/>
      <c r="PUP1" s="51"/>
      <c r="PUQ1" s="51"/>
      <c r="PUR1" s="51"/>
      <c r="PUS1" s="51"/>
      <c r="PUT1" s="51"/>
      <c r="PUU1" s="51"/>
      <c r="PUV1" s="51"/>
      <c r="PUW1" s="51"/>
      <c r="PUX1" s="51"/>
      <c r="PUY1" s="51"/>
      <c r="PUZ1" s="51"/>
      <c r="PVA1" s="51"/>
      <c r="PVB1" s="51"/>
      <c r="PVC1" s="51"/>
      <c r="PVD1" s="51"/>
      <c r="PVE1" s="51"/>
      <c r="PVF1" s="51"/>
      <c r="PVG1" s="51"/>
      <c r="PVH1" s="51"/>
      <c r="PVI1" s="51"/>
      <c r="PVJ1" s="51"/>
      <c r="PVK1" s="51"/>
      <c r="PVL1" s="51"/>
      <c r="PVM1" s="51"/>
      <c r="PVN1" s="51"/>
      <c r="PVO1" s="51"/>
      <c r="PVP1" s="51"/>
      <c r="PVQ1" s="51"/>
      <c r="PVR1" s="51"/>
      <c r="PVS1" s="51"/>
      <c r="PVT1" s="51"/>
      <c r="PVU1" s="51"/>
      <c r="PVV1" s="51"/>
      <c r="PVW1" s="51"/>
      <c r="PVX1" s="51"/>
      <c r="PVY1" s="51"/>
      <c r="PVZ1" s="51"/>
      <c r="PWA1" s="51"/>
      <c r="PWB1" s="51"/>
      <c r="PWC1" s="51"/>
      <c r="PWD1" s="51"/>
      <c r="PWE1" s="51"/>
      <c r="PWF1" s="51"/>
      <c r="PWG1" s="51"/>
      <c r="PWH1" s="51"/>
      <c r="PWI1" s="51"/>
      <c r="PWJ1" s="51"/>
      <c r="PWK1" s="51"/>
      <c r="PWL1" s="51"/>
      <c r="PWM1" s="51"/>
      <c r="PWN1" s="51"/>
      <c r="PWO1" s="51"/>
      <c r="PWP1" s="51"/>
      <c r="PWQ1" s="51"/>
      <c r="PWR1" s="51"/>
      <c r="PWS1" s="51"/>
      <c r="PWT1" s="51"/>
      <c r="PWU1" s="51"/>
      <c r="PWV1" s="51"/>
      <c r="PWW1" s="51"/>
      <c r="PWX1" s="51"/>
      <c r="PWY1" s="51"/>
      <c r="PWZ1" s="51"/>
      <c r="PXA1" s="51"/>
      <c r="PXB1" s="51"/>
      <c r="PXC1" s="51"/>
      <c r="PXD1" s="51"/>
      <c r="PXE1" s="51"/>
      <c r="PXF1" s="51"/>
      <c r="PXG1" s="51"/>
      <c r="PXH1" s="51"/>
      <c r="PXI1" s="51"/>
      <c r="PXJ1" s="51"/>
      <c r="PXK1" s="51"/>
      <c r="PXL1" s="51"/>
      <c r="PXM1" s="51"/>
      <c r="PXN1" s="51"/>
      <c r="PXO1" s="51"/>
      <c r="PXP1" s="51"/>
      <c r="PXQ1" s="51"/>
      <c r="PXR1" s="51"/>
      <c r="PXS1" s="51"/>
      <c r="PXT1" s="51"/>
      <c r="PXU1" s="51"/>
      <c r="PXV1" s="51"/>
      <c r="PXW1" s="51"/>
      <c r="PXX1" s="51"/>
      <c r="PXY1" s="51"/>
      <c r="PXZ1" s="51"/>
      <c r="PYA1" s="51"/>
      <c r="PYB1" s="51"/>
      <c r="PYC1" s="51"/>
      <c r="PYD1" s="51"/>
      <c r="PYE1" s="51"/>
      <c r="PYF1" s="51"/>
      <c r="PYG1" s="51"/>
      <c r="PYH1" s="51"/>
      <c r="PYI1" s="51"/>
      <c r="PYJ1" s="51"/>
      <c r="PYK1" s="51"/>
      <c r="PYL1" s="51"/>
      <c r="PYM1" s="51"/>
      <c r="PYN1" s="51"/>
      <c r="PYO1" s="51"/>
      <c r="PYP1" s="51"/>
      <c r="PYQ1" s="51"/>
      <c r="PYR1" s="51"/>
      <c r="PYS1" s="51"/>
      <c r="PYT1" s="51"/>
      <c r="PYU1" s="51"/>
      <c r="PYV1" s="51"/>
      <c r="PYW1" s="51"/>
      <c r="PYX1" s="51"/>
      <c r="PYY1" s="51"/>
      <c r="PYZ1" s="51"/>
      <c r="PZA1" s="51"/>
      <c r="PZB1" s="51"/>
      <c r="PZC1" s="51"/>
      <c r="PZD1" s="51"/>
      <c r="PZE1" s="51"/>
      <c r="PZF1" s="51"/>
      <c r="PZG1" s="51"/>
      <c r="PZH1" s="51"/>
      <c r="PZI1" s="51"/>
      <c r="PZJ1" s="51"/>
      <c r="PZK1" s="51"/>
      <c r="PZL1" s="51"/>
      <c r="PZM1" s="51"/>
      <c r="PZN1" s="51"/>
      <c r="PZO1" s="51"/>
      <c r="PZP1" s="51"/>
      <c r="PZQ1" s="51"/>
      <c r="PZR1" s="51"/>
      <c r="PZS1" s="51"/>
      <c r="PZT1" s="51"/>
      <c r="PZU1" s="51"/>
      <c r="PZV1" s="51"/>
      <c r="PZW1" s="51"/>
      <c r="PZX1" s="51"/>
      <c r="PZY1" s="51"/>
      <c r="PZZ1" s="51"/>
      <c r="QAA1" s="51"/>
      <c r="QAB1" s="51"/>
      <c r="QAC1" s="51"/>
      <c r="QAD1" s="51"/>
      <c r="QAE1" s="51"/>
      <c r="QAF1" s="51"/>
      <c r="QAG1" s="51"/>
      <c r="QAH1" s="51"/>
      <c r="QAI1" s="51"/>
      <c r="QAJ1" s="51"/>
      <c r="QAK1" s="51"/>
      <c r="QAL1" s="51"/>
      <c r="QAM1" s="51"/>
      <c r="QAN1" s="51"/>
      <c r="QAO1" s="51"/>
      <c r="QAP1" s="51"/>
      <c r="QAQ1" s="51"/>
      <c r="QAR1" s="51"/>
      <c r="QAS1" s="51"/>
      <c r="QAT1" s="51"/>
      <c r="QAU1" s="51"/>
      <c r="QAV1" s="51"/>
      <c r="QAW1" s="51"/>
      <c r="QAX1" s="51"/>
      <c r="QAY1" s="51"/>
      <c r="QAZ1" s="51"/>
      <c r="QBA1" s="51"/>
      <c r="QBB1" s="51"/>
      <c r="QBC1" s="51"/>
      <c r="QBD1" s="51"/>
      <c r="QBE1" s="51"/>
      <c r="QBF1" s="51"/>
      <c r="QBG1" s="51"/>
      <c r="QBH1" s="51"/>
      <c r="QBI1" s="51"/>
      <c r="QBJ1" s="51"/>
      <c r="QBK1" s="51"/>
      <c r="QBL1" s="51"/>
      <c r="QBM1" s="51"/>
      <c r="QBN1" s="51"/>
      <c r="QBO1" s="51"/>
      <c r="QBP1" s="51"/>
      <c r="QBQ1" s="51"/>
      <c r="QBR1" s="51"/>
      <c r="QBS1" s="51"/>
      <c r="QBT1" s="51"/>
      <c r="QBU1" s="51"/>
      <c r="QBV1" s="51"/>
      <c r="QBW1" s="51"/>
      <c r="QBX1" s="51"/>
      <c r="QBY1" s="51"/>
      <c r="QBZ1" s="51"/>
      <c r="QCA1" s="51"/>
      <c r="QCB1" s="51"/>
      <c r="QCC1" s="51"/>
      <c r="QCD1" s="51"/>
      <c r="QCE1" s="51"/>
      <c r="QCF1" s="51"/>
      <c r="QCG1" s="51"/>
      <c r="QCH1" s="51"/>
      <c r="QCI1" s="51"/>
      <c r="QCJ1" s="51"/>
      <c r="QCK1" s="51"/>
      <c r="QCL1" s="51"/>
      <c r="QCM1" s="51"/>
      <c r="QCN1" s="51"/>
      <c r="QCO1" s="51"/>
      <c r="QCP1" s="51"/>
      <c r="QCQ1" s="51"/>
      <c r="QCR1" s="51"/>
      <c r="QCS1" s="51"/>
      <c r="QCT1" s="51"/>
      <c r="QCU1" s="51"/>
      <c r="QCV1" s="51"/>
      <c r="QCW1" s="51"/>
      <c r="QCX1" s="51"/>
      <c r="QCY1" s="51"/>
      <c r="QCZ1" s="51"/>
      <c r="QDA1" s="51"/>
      <c r="QDB1" s="51"/>
      <c r="QDC1" s="51"/>
      <c r="QDD1" s="51"/>
      <c r="QDE1" s="51"/>
      <c r="QDF1" s="51"/>
      <c r="QDG1" s="51"/>
      <c r="QDH1" s="51"/>
      <c r="QDI1" s="51"/>
      <c r="QDJ1" s="51"/>
      <c r="QDK1" s="51"/>
      <c r="QDL1" s="51"/>
      <c r="QDM1" s="51"/>
      <c r="QDN1" s="51"/>
      <c r="QDO1" s="51"/>
      <c r="QDP1" s="51"/>
      <c r="QDQ1" s="51"/>
      <c r="QDR1" s="51"/>
      <c r="QDS1" s="51"/>
      <c r="QDT1" s="51"/>
      <c r="QDU1" s="51"/>
      <c r="QDV1" s="51"/>
      <c r="QDW1" s="51"/>
      <c r="QDX1" s="51"/>
      <c r="QDY1" s="51"/>
      <c r="QDZ1" s="51"/>
      <c r="QEA1" s="51"/>
      <c r="QEB1" s="51"/>
      <c r="QEC1" s="51"/>
      <c r="QED1" s="51"/>
      <c r="QEE1" s="51"/>
      <c r="QEF1" s="51"/>
      <c r="QEG1" s="51"/>
      <c r="QEH1" s="51"/>
      <c r="QEI1" s="51"/>
      <c r="QEJ1" s="51"/>
      <c r="QEK1" s="51"/>
      <c r="QEL1" s="51"/>
      <c r="QEM1" s="51"/>
      <c r="QEN1" s="51"/>
      <c r="QEO1" s="51"/>
      <c r="QEP1" s="51"/>
      <c r="QEQ1" s="51"/>
      <c r="QER1" s="51"/>
      <c r="QES1" s="51"/>
      <c r="QET1" s="51"/>
      <c r="QEU1" s="51"/>
      <c r="QEV1" s="51"/>
      <c r="QEW1" s="51"/>
      <c r="QEX1" s="51"/>
      <c r="QEY1" s="51"/>
      <c r="QEZ1" s="51"/>
      <c r="QFA1" s="51"/>
      <c r="QFB1" s="51"/>
      <c r="QFC1" s="51"/>
      <c r="QFD1" s="51"/>
      <c r="QFE1" s="51"/>
      <c r="QFF1" s="51"/>
      <c r="QFG1" s="51"/>
      <c r="QFH1" s="51"/>
      <c r="QFI1" s="51"/>
      <c r="QFJ1" s="51"/>
      <c r="QFK1" s="51"/>
      <c r="QFL1" s="51"/>
      <c r="QFM1" s="51"/>
      <c r="QFN1" s="51"/>
      <c r="QFO1" s="51"/>
      <c r="QFP1" s="51"/>
      <c r="QFQ1" s="51"/>
      <c r="QFR1" s="51"/>
      <c r="QFS1" s="51"/>
      <c r="QFT1" s="51"/>
      <c r="QFU1" s="51"/>
      <c r="QFV1" s="51"/>
      <c r="QFW1" s="51"/>
      <c r="QFX1" s="51"/>
      <c r="QFY1" s="51"/>
      <c r="QFZ1" s="51"/>
      <c r="QGA1" s="51"/>
      <c r="QGB1" s="51"/>
      <c r="QGC1" s="51"/>
      <c r="QGD1" s="51"/>
      <c r="QGE1" s="51"/>
      <c r="QGF1" s="51"/>
      <c r="QGG1" s="51"/>
      <c r="QGH1" s="51"/>
      <c r="QGI1" s="51"/>
      <c r="QGJ1" s="51"/>
      <c r="QGK1" s="51"/>
      <c r="QGL1" s="51"/>
      <c r="QGM1" s="51"/>
      <c r="QGN1" s="51"/>
      <c r="QGO1" s="51"/>
      <c r="QGP1" s="51"/>
      <c r="QGQ1" s="51"/>
      <c r="QGR1" s="51"/>
      <c r="QGS1" s="51"/>
      <c r="QGT1" s="51"/>
      <c r="QGU1" s="51"/>
      <c r="QGV1" s="51"/>
      <c r="QGW1" s="51"/>
      <c r="QGX1" s="51"/>
      <c r="QGY1" s="51"/>
      <c r="QGZ1" s="51"/>
      <c r="QHA1" s="51"/>
      <c r="QHB1" s="51"/>
      <c r="QHC1" s="51"/>
      <c r="QHD1" s="51"/>
      <c r="QHE1" s="51"/>
      <c r="QHF1" s="51"/>
      <c r="QHG1" s="51"/>
      <c r="QHH1" s="51"/>
      <c r="QHI1" s="51"/>
      <c r="QHJ1" s="51"/>
      <c r="QHK1" s="51"/>
      <c r="QHL1" s="51"/>
      <c r="QHM1" s="51"/>
      <c r="QHN1" s="51"/>
      <c r="QHO1" s="51"/>
      <c r="QHP1" s="51"/>
      <c r="QHQ1" s="51"/>
      <c r="QHR1" s="51"/>
      <c r="QHS1" s="51"/>
      <c r="QHT1" s="51"/>
      <c r="QHU1" s="51"/>
      <c r="QHV1" s="51"/>
      <c r="QHW1" s="51"/>
      <c r="QHX1" s="51"/>
      <c r="QHY1" s="51"/>
      <c r="QHZ1" s="51"/>
      <c r="QIA1" s="51"/>
      <c r="QIB1" s="51"/>
      <c r="QIC1" s="51"/>
      <c r="QID1" s="51"/>
      <c r="QIE1" s="51"/>
      <c r="QIF1" s="51"/>
      <c r="QIG1" s="51"/>
      <c r="QIH1" s="51"/>
      <c r="QII1" s="51"/>
      <c r="QIJ1" s="51"/>
      <c r="QIK1" s="51"/>
      <c r="QIL1" s="51"/>
      <c r="QIM1" s="51"/>
      <c r="QIN1" s="51"/>
      <c r="QIO1" s="51"/>
      <c r="QIP1" s="51"/>
      <c r="QIQ1" s="51"/>
      <c r="QIR1" s="51"/>
      <c r="QIS1" s="51"/>
      <c r="QIT1" s="51"/>
      <c r="QIU1" s="51"/>
      <c r="QIV1" s="51"/>
      <c r="QIW1" s="51"/>
      <c r="QIX1" s="51"/>
      <c r="QIY1" s="51"/>
      <c r="QIZ1" s="51"/>
      <c r="QJA1" s="51"/>
      <c r="QJB1" s="51"/>
      <c r="QJC1" s="51"/>
      <c r="QJD1" s="51"/>
      <c r="QJE1" s="51"/>
      <c r="QJF1" s="51"/>
      <c r="QJG1" s="51"/>
      <c r="QJH1" s="51"/>
      <c r="QJI1" s="51"/>
      <c r="QJJ1" s="51"/>
      <c r="QJK1" s="51"/>
      <c r="QJL1" s="51"/>
      <c r="QJM1" s="51"/>
      <c r="QJN1" s="51"/>
      <c r="QJO1" s="51"/>
      <c r="QJP1" s="51"/>
      <c r="QJQ1" s="51"/>
      <c r="QJR1" s="51"/>
      <c r="QJS1" s="51"/>
      <c r="QJT1" s="51"/>
      <c r="QJU1" s="51"/>
      <c r="QJV1" s="51"/>
      <c r="QJW1" s="51"/>
      <c r="QJX1" s="51"/>
      <c r="QJY1" s="51"/>
      <c r="QJZ1" s="51"/>
      <c r="QKA1" s="51"/>
      <c r="QKB1" s="51"/>
      <c r="QKC1" s="51"/>
      <c r="QKD1" s="51"/>
      <c r="QKE1" s="51"/>
      <c r="QKF1" s="51"/>
      <c r="QKG1" s="51"/>
      <c r="QKH1" s="51"/>
      <c r="QKI1" s="51"/>
      <c r="QKJ1" s="51"/>
      <c r="QKK1" s="51"/>
      <c r="QKL1" s="51"/>
      <c r="QKM1" s="51"/>
      <c r="QKN1" s="51"/>
      <c r="QKO1" s="51"/>
      <c r="QKP1" s="51"/>
      <c r="QKQ1" s="51"/>
      <c r="QKR1" s="51"/>
      <c r="QKS1" s="51"/>
      <c r="QKT1" s="51"/>
      <c r="QKU1" s="51"/>
      <c r="QKV1" s="51"/>
      <c r="QKW1" s="51"/>
      <c r="QKX1" s="51"/>
      <c r="QKY1" s="51"/>
      <c r="QKZ1" s="51"/>
      <c r="QLA1" s="51"/>
      <c r="QLB1" s="51"/>
      <c r="QLC1" s="51"/>
      <c r="QLD1" s="51"/>
      <c r="QLE1" s="51"/>
      <c r="QLF1" s="51"/>
      <c r="QLG1" s="51"/>
      <c r="QLH1" s="51"/>
      <c r="QLI1" s="51"/>
      <c r="QLJ1" s="51"/>
      <c r="QLK1" s="51"/>
      <c r="QLL1" s="51"/>
      <c r="QLM1" s="51"/>
      <c r="QLN1" s="51"/>
      <c r="QLO1" s="51"/>
      <c r="QLP1" s="51"/>
      <c r="QLQ1" s="51"/>
      <c r="QLR1" s="51"/>
      <c r="QLS1" s="51"/>
      <c r="QLT1" s="51"/>
      <c r="QLU1" s="51"/>
      <c r="QLV1" s="51"/>
      <c r="QLW1" s="51"/>
      <c r="QLX1" s="51"/>
      <c r="QLY1" s="51"/>
      <c r="QLZ1" s="51"/>
      <c r="QMA1" s="51"/>
      <c r="QMB1" s="51"/>
      <c r="QMC1" s="51"/>
      <c r="QMD1" s="51"/>
      <c r="QME1" s="51"/>
      <c r="QMF1" s="51"/>
      <c r="QMG1" s="51"/>
      <c r="QMH1" s="51"/>
      <c r="QMI1" s="51"/>
      <c r="QMJ1" s="51"/>
      <c r="QMK1" s="51"/>
      <c r="QML1" s="51"/>
      <c r="QMM1" s="51"/>
      <c r="QMN1" s="51"/>
      <c r="QMO1" s="51"/>
      <c r="QMP1" s="51"/>
      <c r="QMQ1" s="51"/>
      <c r="QMR1" s="51"/>
      <c r="QMS1" s="51"/>
      <c r="QMT1" s="51"/>
      <c r="QMU1" s="51"/>
      <c r="QMV1" s="51"/>
      <c r="QMW1" s="51"/>
      <c r="QMX1" s="51"/>
      <c r="QMY1" s="51"/>
      <c r="QMZ1" s="51"/>
      <c r="QNA1" s="51"/>
      <c r="QNB1" s="51"/>
      <c r="QNC1" s="51"/>
      <c r="QND1" s="51"/>
      <c r="QNE1" s="51"/>
      <c r="QNF1" s="51"/>
      <c r="QNG1" s="51"/>
      <c r="QNH1" s="51"/>
      <c r="QNI1" s="51"/>
      <c r="QNJ1" s="51"/>
      <c r="QNK1" s="51"/>
      <c r="QNL1" s="51"/>
      <c r="QNM1" s="51"/>
      <c r="QNN1" s="51"/>
      <c r="QNO1" s="51"/>
      <c r="QNP1" s="51"/>
      <c r="QNQ1" s="51"/>
      <c r="QNR1" s="51"/>
      <c r="QNS1" s="51"/>
      <c r="QNT1" s="51"/>
      <c r="QNU1" s="51"/>
      <c r="QNV1" s="51"/>
      <c r="QNW1" s="51"/>
      <c r="QNX1" s="51"/>
      <c r="QNY1" s="51"/>
      <c r="QNZ1" s="51"/>
      <c r="QOA1" s="51"/>
      <c r="QOB1" s="51"/>
      <c r="QOC1" s="51"/>
      <c r="QOD1" s="51"/>
      <c r="QOE1" s="51"/>
      <c r="QOF1" s="51"/>
      <c r="QOG1" s="51"/>
      <c r="QOH1" s="51"/>
      <c r="QOI1" s="51"/>
      <c r="QOJ1" s="51"/>
      <c r="QOK1" s="51"/>
      <c r="QOL1" s="51"/>
      <c r="QOM1" s="51"/>
      <c r="QON1" s="51"/>
      <c r="QOO1" s="51"/>
      <c r="QOP1" s="51"/>
      <c r="QOQ1" s="51"/>
      <c r="QOR1" s="51"/>
      <c r="QOS1" s="51"/>
      <c r="QOT1" s="51"/>
      <c r="QOU1" s="51"/>
      <c r="QOV1" s="51"/>
      <c r="QOW1" s="51"/>
      <c r="QOX1" s="51"/>
      <c r="QOY1" s="51"/>
      <c r="QOZ1" s="51"/>
      <c r="QPA1" s="51"/>
      <c r="QPB1" s="51"/>
      <c r="QPC1" s="51"/>
      <c r="QPD1" s="51"/>
      <c r="QPE1" s="51"/>
      <c r="QPF1" s="51"/>
      <c r="QPG1" s="51"/>
      <c r="QPH1" s="51"/>
      <c r="QPI1" s="51"/>
      <c r="QPJ1" s="51"/>
      <c r="QPK1" s="51"/>
      <c r="QPL1" s="51"/>
      <c r="QPM1" s="51"/>
      <c r="QPN1" s="51"/>
      <c r="QPO1" s="51"/>
      <c r="QPP1" s="51"/>
      <c r="QPQ1" s="51"/>
      <c r="QPR1" s="51"/>
      <c r="QPS1" s="51"/>
      <c r="QPT1" s="51"/>
      <c r="QPU1" s="51"/>
      <c r="QPV1" s="51"/>
      <c r="QPW1" s="51"/>
      <c r="QPX1" s="51"/>
      <c r="QPY1" s="51"/>
      <c r="QPZ1" s="51"/>
      <c r="QQA1" s="51"/>
      <c r="QQB1" s="51"/>
      <c r="QQC1" s="51"/>
      <c r="QQD1" s="51"/>
      <c r="QQE1" s="51"/>
      <c r="QQF1" s="51"/>
      <c r="QQG1" s="51"/>
      <c r="QQH1" s="51"/>
      <c r="QQI1" s="51"/>
      <c r="QQJ1" s="51"/>
      <c r="QQK1" s="51"/>
      <c r="QQL1" s="51"/>
      <c r="QQM1" s="51"/>
      <c r="QQN1" s="51"/>
      <c r="QQO1" s="51"/>
      <c r="QQP1" s="51"/>
      <c r="QQQ1" s="51"/>
      <c r="QQR1" s="51"/>
      <c r="QQS1" s="51"/>
      <c r="QQT1" s="51"/>
      <c r="QQU1" s="51"/>
      <c r="QQV1" s="51"/>
      <c r="QQW1" s="51"/>
      <c r="QQX1" s="51"/>
      <c r="QQY1" s="51"/>
      <c r="QQZ1" s="51"/>
      <c r="QRA1" s="51"/>
      <c r="QRB1" s="51"/>
      <c r="QRC1" s="51"/>
      <c r="QRD1" s="51"/>
      <c r="QRE1" s="51"/>
      <c r="QRF1" s="51"/>
      <c r="QRG1" s="51"/>
      <c r="QRH1" s="51"/>
      <c r="QRI1" s="51"/>
      <c r="QRJ1" s="51"/>
      <c r="QRK1" s="51"/>
      <c r="QRL1" s="51"/>
      <c r="QRM1" s="51"/>
      <c r="QRN1" s="51"/>
      <c r="QRO1" s="51"/>
      <c r="QRP1" s="51"/>
      <c r="QRQ1" s="51"/>
      <c r="QRR1" s="51"/>
      <c r="QRS1" s="51"/>
      <c r="QRT1" s="51"/>
      <c r="QRU1" s="51"/>
      <c r="QRV1" s="51"/>
      <c r="QRW1" s="51"/>
      <c r="QRX1" s="51"/>
      <c r="QRY1" s="51"/>
      <c r="QRZ1" s="51"/>
      <c r="QSA1" s="51"/>
      <c r="QSB1" s="51"/>
      <c r="QSC1" s="51"/>
      <c r="QSD1" s="51"/>
      <c r="QSE1" s="51"/>
      <c r="QSF1" s="51"/>
      <c r="QSG1" s="51"/>
      <c r="QSH1" s="51"/>
      <c r="QSI1" s="51"/>
      <c r="QSJ1" s="51"/>
      <c r="QSK1" s="51"/>
      <c r="QSL1" s="51"/>
      <c r="QSM1" s="51"/>
      <c r="QSN1" s="51"/>
      <c r="QSO1" s="51"/>
      <c r="QSP1" s="51"/>
      <c r="QSQ1" s="51"/>
      <c r="QSR1" s="51"/>
      <c r="QSS1" s="51"/>
      <c r="QST1" s="51"/>
      <c r="QSU1" s="51"/>
      <c r="QSV1" s="51"/>
      <c r="QSW1" s="51"/>
      <c r="QSX1" s="51"/>
      <c r="QSY1" s="51"/>
      <c r="QSZ1" s="51"/>
      <c r="QTA1" s="51"/>
      <c r="QTB1" s="51"/>
      <c r="QTC1" s="51"/>
      <c r="QTD1" s="51"/>
      <c r="QTE1" s="51"/>
      <c r="QTF1" s="51"/>
      <c r="QTG1" s="51"/>
      <c r="QTH1" s="51"/>
      <c r="QTI1" s="51"/>
      <c r="QTJ1" s="51"/>
      <c r="QTK1" s="51"/>
      <c r="QTL1" s="51"/>
      <c r="QTM1" s="51"/>
      <c r="QTN1" s="51"/>
      <c r="QTO1" s="51"/>
      <c r="QTP1" s="51"/>
      <c r="QTQ1" s="51"/>
      <c r="QTR1" s="51"/>
      <c r="QTS1" s="51"/>
      <c r="QTT1" s="51"/>
      <c r="QTU1" s="51"/>
      <c r="QTV1" s="51"/>
      <c r="QTW1" s="51"/>
      <c r="QTX1" s="51"/>
      <c r="QTY1" s="51"/>
      <c r="QTZ1" s="51"/>
      <c r="QUA1" s="51"/>
      <c r="QUB1" s="51"/>
      <c r="QUC1" s="51"/>
      <c r="QUD1" s="51"/>
      <c r="QUE1" s="51"/>
      <c r="QUF1" s="51"/>
      <c r="QUG1" s="51"/>
      <c r="QUH1" s="51"/>
      <c r="QUI1" s="51"/>
      <c r="QUJ1" s="51"/>
      <c r="QUK1" s="51"/>
      <c r="QUL1" s="51"/>
      <c r="QUM1" s="51"/>
      <c r="QUN1" s="51"/>
      <c r="QUO1" s="51"/>
      <c r="QUP1" s="51"/>
      <c r="QUQ1" s="51"/>
      <c r="QUR1" s="51"/>
      <c r="QUS1" s="51"/>
      <c r="QUT1" s="51"/>
      <c r="QUU1" s="51"/>
      <c r="QUV1" s="51"/>
      <c r="QUW1" s="51"/>
      <c r="QUX1" s="51"/>
      <c r="QUY1" s="51"/>
      <c r="QUZ1" s="51"/>
      <c r="QVA1" s="51"/>
      <c r="QVB1" s="51"/>
      <c r="QVC1" s="51"/>
      <c r="QVD1" s="51"/>
      <c r="QVE1" s="51"/>
      <c r="QVF1" s="51"/>
      <c r="QVG1" s="51"/>
      <c r="QVH1" s="51"/>
      <c r="QVI1" s="51"/>
      <c r="QVJ1" s="51"/>
      <c r="QVK1" s="51"/>
      <c r="QVL1" s="51"/>
      <c r="QVM1" s="51"/>
      <c r="QVN1" s="51"/>
      <c r="QVO1" s="51"/>
      <c r="QVP1" s="51"/>
      <c r="QVQ1" s="51"/>
      <c r="QVR1" s="51"/>
      <c r="QVS1" s="51"/>
      <c r="QVT1" s="51"/>
      <c r="QVU1" s="51"/>
      <c r="QVV1" s="51"/>
      <c r="QVW1" s="51"/>
      <c r="QVX1" s="51"/>
      <c r="QVY1" s="51"/>
      <c r="QVZ1" s="51"/>
      <c r="QWA1" s="51"/>
      <c r="QWB1" s="51"/>
      <c r="QWC1" s="51"/>
      <c r="QWD1" s="51"/>
      <c r="QWE1" s="51"/>
      <c r="QWF1" s="51"/>
      <c r="QWG1" s="51"/>
      <c r="QWH1" s="51"/>
      <c r="QWI1" s="51"/>
      <c r="QWJ1" s="51"/>
      <c r="QWK1" s="51"/>
      <c r="QWL1" s="51"/>
      <c r="QWM1" s="51"/>
      <c r="QWN1" s="51"/>
      <c r="QWO1" s="51"/>
      <c r="QWP1" s="51"/>
      <c r="QWQ1" s="51"/>
      <c r="QWR1" s="51"/>
      <c r="QWS1" s="51"/>
      <c r="QWT1" s="51"/>
      <c r="QWU1" s="51"/>
      <c r="QWV1" s="51"/>
      <c r="QWW1" s="51"/>
      <c r="QWX1" s="51"/>
      <c r="QWY1" s="51"/>
      <c r="QWZ1" s="51"/>
      <c r="QXA1" s="51"/>
      <c r="QXB1" s="51"/>
      <c r="QXC1" s="51"/>
      <c r="QXD1" s="51"/>
      <c r="QXE1" s="51"/>
      <c r="QXF1" s="51"/>
      <c r="QXG1" s="51"/>
      <c r="QXH1" s="51"/>
      <c r="QXI1" s="51"/>
      <c r="QXJ1" s="51"/>
      <c r="QXK1" s="51"/>
      <c r="QXL1" s="51"/>
      <c r="QXM1" s="51"/>
      <c r="QXN1" s="51"/>
      <c r="QXO1" s="51"/>
      <c r="QXP1" s="51"/>
      <c r="QXQ1" s="51"/>
      <c r="QXR1" s="51"/>
      <c r="QXS1" s="51"/>
      <c r="QXT1" s="51"/>
      <c r="QXU1" s="51"/>
      <c r="QXV1" s="51"/>
      <c r="QXW1" s="51"/>
      <c r="QXX1" s="51"/>
      <c r="QXY1" s="51"/>
      <c r="QXZ1" s="51"/>
      <c r="QYA1" s="51"/>
      <c r="QYB1" s="51"/>
      <c r="QYC1" s="51"/>
      <c r="QYD1" s="51"/>
      <c r="QYE1" s="51"/>
      <c r="QYF1" s="51"/>
      <c r="QYG1" s="51"/>
      <c r="QYH1" s="51"/>
      <c r="QYI1" s="51"/>
      <c r="QYJ1" s="51"/>
      <c r="QYK1" s="51"/>
      <c r="QYL1" s="51"/>
      <c r="QYM1" s="51"/>
      <c r="QYN1" s="51"/>
      <c r="QYO1" s="51"/>
      <c r="QYP1" s="51"/>
      <c r="QYQ1" s="51"/>
      <c r="QYR1" s="51"/>
      <c r="QYS1" s="51"/>
      <c r="QYT1" s="51"/>
      <c r="QYU1" s="51"/>
      <c r="QYV1" s="51"/>
      <c r="QYW1" s="51"/>
      <c r="QYX1" s="51"/>
      <c r="QYY1" s="51"/>
      <c r="QYZ1" s="51"/>
      <c r="QZA1" s="51"/>
      <c r="QZB1" s="51"/>
      <c r="QZC1" s="51"/>
      <c r="QZD1" s="51"/>
      <c r="QZE1" s="51"/>
      <c r="QZF1" s="51"/>
      <c r="QZG1" s="51"/>
      <c r="QZH1" s="51"/>
      <c r="QZI1" s="51"/>
      <c r="QZJ1" s="51"/>
      <c r="QZK1" s="51"/>
      <c r="QZL1" s="51"/>
      <c r="QZM1" s="51"/>
      <c r="QZN1" s="51"/>
      <c r="QZO1" s="51"/>
      <c r="QZP1" s="51"/>
      <c r="QZQ1" s="51"/>
      <c r="QZR1" s="51"/>
      <c r="QZS1" s="51"/>
      <c r="QZT1" s="51"/>
      <c r="QZU1" s="51"/>
      <c r="QZV1" s="51"/>
      <c r="QZW1" s="51"/>
      <c r="QZX1" s="51"/>
      <c r="QZY1" s="51"/>
      <c r="QZZ1" s="51"/>
      <c r="RAA1" s="51"/>
      <c r="RAB1" s="51"/>
      <c r="RAC1" s="51"/>
      <c r="RAD1" s="51"/>
      <c r="RAE1" s="51"/>
      <c r="RAF1" s="51"/>
      <c r="RAG1" s="51"/>
      <c r="RAH1" s="51"/>
      <c r="RAI1" s="51"/>
      <c r="RAJ1" s="51"/>
      <c r="RAK1" s="51"/>
      <c r="RAL1" s="51"/>
      <c r="RAM1" s="51"/>
      <c r="RAN1" s="51"/>
      <c r="RAO1" s="51"/>
      <c r="RAP1" s="51"/>
      <c r="RAQ1" s="51"/>
      <c r="RAR1" s="51"/>
      <c r="RAS1" s="51"/>
      <c r="RAT1" s="51"/>
      <c r="RAU1" s="51"/>
      <c r="RAV1" s="51"/>
      <c r="RAW1" s="51"/>
      <c r="RAX1" s="51"/>
      <c r="RAY1" s="51"/>
      <c r="RAZ1" s="51"/>
      <c r="RBA1" s="51"/>
      <c r="RBB1" s="51"/>
      <c r="RBC1" s="51"/>
      <c r="RBD1" s="51"/>
      <c r="RBE1" s="51"/>
      <c r="RBF1" s="51"/>
      <c r="RBG1" s="51"/>
      <c r="RBH1" s="51"/>
      <c r="RBI1" s="51"/>
      <c r="RBJ1" s="51"/>
      <c r="RBK1" s="51"/>
      <c r="RBL1" s="51"/>
      <c r="RBM1" s="51"/>
      <c r="RBN1" s="51"/>
      <c r="RBO1" s="51"/>
      <c r="RBP1" s="51"/>
      <c r="RBQ1" s="51"/>
      <c r="RBR1" s="51"/>
      <c r="RBS1" s="51"/>
      <c r="RBT1" s="51"/>
      <c r="RBU1" s="51"/>
      <c r="RBV1" s="51"/>
      <c r="RBW1" s="51"/>
      <c r="RBX1" s="51"/>
      <c r="RBY1" s="51"/>
      <c r="RBZ1" s="51"/>
      <c r="RCA1" s="51"/>
      <c r="RCB1" s="51"/>
      <c r="RCC1" s="51"/>
      <c r="RCD1" s="51"/>
      <c r="RCE1" s="51"/>
      <c r="RCF1" s="51"/>
      <c r="RCG1" s="51"/>
      <c r="RCH1" s="51"/>
      <c r="RCI1" s="51"/>
      <c r="RCJ1" s="51"/>
      <c r="RCK1" s="51"/>
      <c r="RCL1" s="51"/>
      <c r="RCM1" s="51"/>
      <c r="RCN1" s="51"/>
      <c r="RCO1" s="51"/>
      <c r="RCP1" s="51"/>
      <c r="RCQ1" s="51"/>
      <c r="RCR1" s="51"/>
      <c r="RCS1" s="51"/>
      <c r="RCT1" s="51"/>
      <c r="RCU1" s="51"/>
      <c r="RCV1" s="51"/>
      <c r="RCW1" s="51"/>
      <c r="RCX1" s="51"/>
      <c r="RCY1" s="51"/>
      <c r="RCZ1" s="51"/>
      <c r="RDA1" s="51"/>
      <c r="RDB1" s="51"/>
      <c r="RDC1" s="51"/>
      <c r="RDD1" s="51"/>
      <c r="RDE1" s="51"/>
      <c r="RDF1" s="51"/>
      <c r="RDG1" s="51"/>
      <c r="RDH1" s="51"/>
      <c r="RDI1" s="51"/>
      <c r="RDJ1" s="51"/>
      <c r="RDK1" s="51"/>
      <c r="RDL1" s="51"/>
      <c r="RDM1" s="51"/>
      <c r="RDN1" s="51"/>
      <c r="RDO1" s="51"/>
      <c r="RDP1" s="51"/>
      <c r="RDQ1" s="51"/>
      <c r="RDR1" s="51"/>
      <c r="RDS1" s="51"/>
      <c r="RDT1" s="51"/>
      <c r="RDU1" s="51"/>
      <c r="RDV1" s="51"/>
      <c r="RDW1" s="51"/>
      <c r="RDX1" s="51"/>
      <c r="RDY1" s="51"/>
      <c r="RDZ1" s="51"/>
      <c r="REA1" s="51"/>
      <c r="REB1" s="51"/>
      <c r="REC1" s="51"/>
      <c r="RED1" s="51"/>
      <c r="REE1" s="51"/>
      <c r="REF1" s="51"/>
      <c r="REG1" s="51"/>
      <c r="REH1" s="51"/>
      <c r="REI1" s="51"/>
      <c r="REJ1" s="51"/>
      <c r="REK1" s="51"/>
      <c r="REL1" s="51"/>
      <c r="REM1" s="51"/>
      <c r="REN1" s="51"/>
      <c r="REO1" s="51"/>
      <c r="REP1" s="51"/>
      <c r="REQ1" s="51"/>
      <c r="RER1" s="51"/>
      <c r="RES1" s="51"/>
      <c r="RET1" s="51"/>
      <c r="REU1" s="51"/>
      <c r="REV1" s="51"/>
      <c r="REW1" s="51"/>
      <c r="REX1" s="51"/>
      <c r="REY1" s="51"/>
      <c r="REZ1" s="51"/>
      <c r="RFA1" s="51"/>
      <c r="RFB1" s="51"/>
      <c r="RFC1" s="51"/>
      <c r="RFD1" s="51"/>
      <c r="RFE1" s="51"/>
      <c r="RFF1" s="51"/>
      <c r="RFG1" s="51"/>
      <c r="RFH1" s="51"/>
      <c r="RFI1" s="51"/>
      <c r="RFJ1" s="51"/>
      <c r="RFK1" s="51"/>
      <c r="RFL1" s="51"/>
      <c r="RFM1" s="51"/>
      <c r="RFN1" s="51"/>
      <c r="RFO1" s="51"/>
      <c r="RFP1" s="51"/>
      <c r="RFQ1" s="51"/>
      <c r="RFR1" s="51"/>
      <c r="RFS1" s="51"/>
      <c r="RFT1" s="51"/>
      <c r="RFU1" s="51"/>
      <c r="RFV1" s="51"/>
      <c r="RFW1" s="51"/>
      <c r="RFX1" s="51"/>
      <c r="RFY1" s="51"/>
      <c r="RFZ1" s="51"/>
      <c r="RGA1" s="51"/>
      <c r="RGB1" s="51"/>
      <c r="RGC1" s="51"/>
      <c r="RGD1" s="51"/>
      <c r="RGE1" s="51"/>
      <c r="RGF1" s="51"/>
      <c r="RGG1" s="51"/>
      <c r="RGH1" s="51"/>
      <c r="RGI1" s="51"/>
      <c r="RGJ1" s="51"/>
      <c r="RGK1" s="51"/>
      <c r="RGL1" s="51"/>
      <c r="RGM1" s="51"/>
      <c r="RGN1" s="51"/>
      <c r="RGO1" s="51"/>
      <c r="RGP1" s="51"/>
      <c r="RGQ1" s="51"/>
      <c r="RGR1" s="51"/>
      <c r="RGS1" s="51"/>
      <c r="RGT1" s="51"/>
      <c r="RGU1" s="51"/>
      <c r="RGV1" s="51"/>
      <c r="RGW1" s="51"/>
      <c r="RGX1" s="51"/>
      <c r="RGY1" s="51"/>
      <c r="RGZ1" s="51"/>
      <c r="RHA1" s="51"/>
      <c r="RHB1" s="51"/>
      <c r="RHC1" s="51"/>
      <c r="RHD1" s="51"/>
      <c r="RHE1" s="51"/>
      <c r="RHF1" s="51"/>
      <c r="RHG1" s="51"/>
      <c r="RHH1" s="51"/>
      <c r="RHI1" s="51"/>
      <c r="RHJ1" s="51"/>
      <c r="RHK1" s="51"/>
      <c r="RHL1" s="51"/>
      <c r="RHM1" s="51"/>
      <c r="RHN1" s="51"/>
      <c r="RHO1" s="51"/>
      <c r="RHP1" s="51"/>
      <c r="RHQ1" s="51"/>
      <c r="RHR1" s="51"/>
      <c r="RHS1" s="51"/>
      <c r="RHT1" s="51"/>
      <c r="RHU1" s="51"/>
      <c r="RHV1" s="51"/>
      <c r="RHW1" s="51"/>
      <c r="RHX1" s="51"/>
      <c r="RHY1" s="51"/>
      <c r="RHZ1" s="51"/>
      <c r="RIA1" s="51"/>
      <c r="RIB1" s="51"/>
      <c r="RIC1" s="51"/>
      <c r="RID1" s="51"/>
      <c r="RIE1" s="51"/>
      <c r="RIF1" s="51"/>
      <c r="RIG1" s="51"/>
      <c r="RIH1" s="51"/>
      <c r="RII1" s="51"/>
      <c r="RIJ1" s="51"/>
      <c r="RIK1" s="51"/>
      <c r="RIL1" s="51"/>
      <c r="RIM1" s="51"/>
      <c r="RIN1" s="51"/>
      <c r="RIO1" s="51"/>
      <c r="RIP1" s="51"/>
      <c r="RIQ1" s="51"/>
      <c r="RIR1" s="51"/>
      <c r="RIS1" s="51"/>
      <c r="RIT1" s="51"/>
      <c r="RIU1" s="51"/>
      <c r="RIV1" s="51"/>
      <c r="RIW1" s="51"/>
      <c r="RIX1" s="51"/>
      <c r="RIY1" s="51"/>
      <c r="RIZ1" s="51"/>
      <c r="RJA1" s="51"/>
      <c r="RJB1" s="51"/>
      <c r="RJC1" s="51"/>
      <c r="RJD1" s="51"/>
      <c r="RJE1" s="51"/>
      <c r="RJF1" s="51"/>
      <c r="RJG1" s="51"/>
      <c r="RJH1" s="51"/>
      <c r="RJI1" s="51"/>
      <c r="RJJ1" s="51"/>
      <c r="RJK1" s="51"/>
      <c r="RJL1" s="51"/>
      <c r="RJM1" s="51"/>
      <c r="RJN1" s="51"/>
      <c r="RJO1" s="51"/>
      <c r="RJP1" s="51"/>
      <c r="RJQ1" s="51"/>
      <c r="RJR1" s="51"/>
      <c r="RJS1" s="51"/>
      <c r="RJT1" s="51"/>
      <c r="RJU1" s="51"/>
      <c r="RJV1" s="51"/>
      <c r="RJW1" s="51"/>
      <c r="RJX1" s="51"/>
      <c r="RJY1" s="51"/>
      <c r="RJZ1" s="51"/>
      <c r="RKA1" s="51"/>
      <c r="RKB1" s="51"/>
      <c r="RKC1" s="51"/>
      <c r="RKD1" s="51"/>
      <c r="RKE1" s="51"/>
      <c r="RKF1" s="51"/>
      <c r="RKG1" s="51"/>
      <c r="RKH1" s="51"/>
      <c r="RKI1" s="51"/>
      <c r="RKJ1" s="51"/>
      <c r="RKK1" s="51"/>
      <c r="RKL1" s="51"/>
      <c r="RKM1" s="51"/>
      <c r="RKN1" s="51"/>
      <c r="RKO1" s="51"/>
      <c r="RKP1" s="51"/>
      <c r="RKQ1" s="51"/>
      <c r="RKR1" s="51"/>
      <c r="RKS1" s="51"/>
      <c r="RKT1" s="51"/>
      <c r="RKU1" s="51"/>
      <c r="RKV1" s="51"/>
      <c r="RKW1" s="51"/>
      <c r="RKX1" s="51"/>
      <c r="RKY1" s="51"/>
      <c r="RKZ1" s="51"/>
      <c r="RLA1" s="51"/>
      <c r="RLB1" s="51"/>
      <c r="RLC1" s="51"/>
      <c r="RLD1" s="51"/>
      <c r="RLE1" s="51"/>
      <c r="RLF1" s="51"/>
      <c r="RLG1" s="51"/>
      <c r="RLH1" s="51"/>
      <c r="RLI1" s="51"/>
      <c r="RLJ1" s="51"/>
      <c r="RLK1" s="51"/>
      <c r="RLL1" s="51"/>
      <c r="RLM1" s="51"/>
      <c r="RLN1" s="51"/>
      <c r="RLO1" s="51"/>
      <c r="RLP1" s="51"/>
      <c r="RLQ1" s="51"/>
      <c r="RLR1" s="51"/>
      <c r="RLS1" s="51"/>
      <c r="RLT1" s="51"/>
      <c r="RLU1" s="51"/>
      <c r="RLV1" s="51"/>
      <c r="RLW1" s="51"/>
      <c r="RLX1" s="51"/>
      <c r="RLY1" s="51"/>
      <c r="RLZ1" s="51"/>
      <c r="RMA1" s="51"/>
      <c r="RMB1" s="51"/>
      <c r="RMC1" s="51"/>
      <c r="RMD1" s="51"/>
      <c r="RME1" s="51"/>
      <c r="RMF1" s="51"/>
      <c r="RMG1" s="51"/>
      <c r="RMH1" s="51"/>
      <c r="RMI1" s="51"/>
      <c r="RMJ1" s="51"/>
      <c r="RMK1" s="51"/>
      <c r="RML1" s="51"/>
      <c r="RMM1" s="51"/>
      <c r="RMN1" s="51"/>
      <c r="RMO1" s="51"/>
      <c r="RMP1" s="51"/>
      <c r="RMQ1" s="51"/>
      <c r="RMR1" s="51"/>
      <c r="RMS1" s="51"/>
      <c r="RMT1" s="51"/>
      <c r="RMU1" s="51"/>
      <c r="RMV1" s="51"/>
      <c r="RMW1" s="51"/>
      <c r="RMX1" s="51"/>
      <c r="RMY1" s="51"/>
      <c r="RMZ1" s="51"/>
      <c r="RNA1" s="51"/>
      <c r="RNB1" s="51"/>
      <c r="RNC1" s="51"/>
      <c r="RND1" s="51"/>
      <c r="RNE1" s="51"/>
      <c r="RNF1" s="51"/>
      <c r="RNG1" s="51"/>
      <c r="RNH1" s="51"/>
      <c r="RNI1" s="51"/>
      <c r="RNJ1" s="51"/>
      <c r="RNK1" s="51"/>
      <c r="RNL1" s="51"/>
      <c r="RNM1" s="51"/>
      <c r="RNN1" s="51"/>
      <c r="RNO1" s="51"/>
      <c r="RNP1" s="51"/>
      <c r="RNQ1" s="51"/>
      <c r="RNR1" s="51"/>
      <c r="RNS1" s="51"/>
      <c r="RNT1" s="51"/>
      <c r="RNU1" s="51"/>
      <c r="RNV1" s="51"/>
      <c r="RNW1" s="51"/>
      <c r="RNX1" s="51"/>
      <c r="RNY1" s="51"/>
      <c r="RNZ1" s="51"/>
      <c r="ROA1" s="51"/>
      <c r="ROB1" s="51"/>
      <c r="ROC1" s="51"/>
      <c r="ROD1" s="51"/>
      <c r="ROE1" s="51"/>
      <c r="ROF1" s="51"/>
      <c r="ROG1" s="51"/>
      <c r="ROH1" s="51"/>
      <c r="ROI1" s="51"/>
      <c r="ROJ1" s="51"/>
      <c r="ROK1" s="51"/>
      <c r="ROL1" s="51"/>
      <c r="ROM1" s="51"/>
      <c r="RON1" s="51"/>
      <c r="ROO1" s="51"/>
      <c r="ROP1" s="51"/>
      <c r="ROQ1" s="51"/>
      <c r="ROR1" s="51"/>
      <c r="ROS1" s="51"/>
      <c r="ROT1" s="51"/>
      <c r="ROU1" s="51"/>
      <c r="ROV1" s="51"/>
      <c r="ROW1" s="51"/>
      <c r="ROX1" s="51"/>
      <c r="ROY1" s="51"/>
      <c r="ROZ1" s="51"/>
      <c r="RPA1" s="51"/>
      <c r="RPB1" s="51"/>
      <c r="RPC1" s="51"/>
      <c r="RPD1" s="51"/>
      <c r="RPE1" s="51"/>
      <c r="RPF1" s="51"/>
      <c r="RPG1" s="51"/>
      <c r="RPH1" s="51"/>
      <c r="RPI1" s="51"/>
      <c r="RPJ1" s="51"/>
      <c r="RPK1" s="51"/>
      <c r="RPL1" s="51"/>
      <c r="RPM1" s="51"/>
      <c r="RPN1" s="51"/>
      <c r="RPO1" s="51"/>
      <c r="RPP1" s="51"/>
      <c r="RPQ1" s="51"/>
      <c r="RPR1" s="51"/>
      <c r="RPS1" s="51"/>
      <c r="RPT1" s="51"/>
      <c r="RPU1" s="51"/>
      <c r="RPV1" s="51"/>
      <c r="RPW1" s="51"/>
      <c r="RPX1" s="51"/>
      <c r="RPY1" s="51"/>
      <c r="RPZ1" s="51"/>
      <c r="RQA1" s="51"/>
      <c r="RQB1" s="51"/>
      <c r="RQC1" s="51"/>
      <c r="RQD1" s="51"/>
      <c r="RQE1" s="51"/>
      <c r="RQF1" s="51"/>
      <c r="RQG1" s="51"/>
      <c r="RQH1" s="51"/>
      <c r="RQI1" s="51"/>
      <c r="RQJ1" s="51"/>
      <c r="RQK1" s="51"/>
      <c r="RQL1" s="51"/>
      <c r="RQM1" s="51"/>
      <c r="RQN1" s="51"/>
      <c r="RQO1" s="51"/>
      <c r="RQP1" s="51"/>
      <c r="RQQ1" s="51"/>
      <c r="RQR1" s="51"/>
      <c r="RQS1" s="51"/>
      <c r="RQT1" s="51"/>
      <c r="RQU1" s="51"/>
      <c r="RQV1" s="51"/>
      <c r="RQW1" s="51"/>
      <c r="RQX1" s="51"/>
      <c r="RQY1" s="51"/>
      <c r="RQZ1" s="51"/>
      <c r="RRA1" s="51"/>
      <c r="RRB1" s="51"/>
      <c r="RRC1" s="51"/>
      <c r="RRD1" s="51"/>
      <c r="RRE1" s="51"/>
      <c r="RRF1" s="51"/>
      <c r="RRG1" s="51"/>
      <c r="RRH1" s="51"/>
      <c r="RRI1" s="51"/>
      <c r="RRJ1" s="51"/>
      <c r="RRK1" s="51"/>
      <c r="RRL1" s="51"/>
      <c r="RRM1" s="51"/>
      <c r="RRN1" s="51"/>
      <c r="RRO1" s="51"/>
      <c r="RRP1" s="51"/>
      <c r="RRQ1" s="51"/>
      <c r="RRR1" s="51"/>
      <c r="RRS1" s="51"/>
      <c r="RRT1" s="51"/>
      <c r="RRU1" s="51"/>
      <c r="RRV1" s="51"/>
      <c r="RRW1" s="51"/>
      <c r="RRX1" s="51"/>
      <c r="RRY1" s="51"/>
      <c r="RRZ1" s="51"/>
      <c r="RSA1" s="51"/>
      <c r="RSB1" s="51"/>
      <c r="RSC1" s="51"/>
      <c r="RSD1" s="51"/>
      <c r="RSE1" s="51"/>
      <c r="RSF1" s="51"/>
      <c r="RSG1" s="51"/>
      <c r="RSH1" s="51"/>
      <c r="RSI1" s="51"/>
      <c r="RSJ1" s="51"/>
      <c r="RSK1" s="51"/>
      <c r="RSL1" s="51"/>
      <c r="RSM1" s="51"/>
      <c r="RSN1" s="51"/>
      <c r="RSO1" s="51"/>
      <c r="RSP1" s="51"/>
      <c r="RSQ1" s="51"/>
      <c r="RSR1" s="51"/>
      <c r="RSS1" s="51"/>
      <c r="RST1" s="51"/>
      <c r="RSU1" s="51"/>
      <c r="RSV1" s="51"/>
      <c r="RSW1" s="51"/>
      <c r="RSX1" s="51"/>
      <c r="RSY1" s="51"/>
      <c r="RSZ1" s="51"/>
      <c r="RTA1" s="51"/>
      <c r="RTB1" s="51"/>
      <c r="RTC1" s="51"/>
      <c r="RTD1" s="51"/>
      <c r="RTE1" s="51"/>
      <c r="RTF1" s="51"/>
      <c r="RTG1" s="51"/>
      <c r="RTH1" s="51"/>
      <c r="RTI1" s="51"/>
      <c r="RTJ1" s="51"/>
      <c r="RTK1" s="51"/>
      <c r="RTL1" s="51"/>
      <c r="RTM1" s="51"/>
      <c r="RTN1" s="51"/>
      <c r="RTO1" s="51"/>
      <c r="RTP1" s="51"/>
      <c r="RTQ1" s="51"/>
      <c r="RTR1" s="51"/>
      <c r="RTS1" s="51"/>
      <c r="RTT1" s="51"/>
      <c r="RTU1" s="51"/>
      <c r="RTV1" s="51"/>
      <c r="RTW1" s="51"/>
      <c r="RTX1" s="51"/>
      <c r="RTY1" s="51"/>
      <c r="RTZ1" s="51"/>
      <c r="RUA1" s="51"/>
      <c r="RUB1" s="51"/>
      <c r="RUC1" s="51"/>
      <c r="RUD1" s="51"/>
      <c r="RUE1" s="51"/>
      <c r="RUF1" s="51"/>
      <c r="RUG1" s="51"/>
      <c r="RUH1" s="51"/>
      <c r="RUI1" s="51"/>
      <c r="RUJ1" s="51"/>
      <c r="RUK1" s="51"/>
      <c r="RUL1" s="51"/>
      <c r="RUM1" s="51"/>
      <c r="RUN1" s="51"/>
      <c r="RUO1" s="51"/>
      <c r="RUP1" s="51"/>
      <c r="RUQ1" s="51"/>
      <c r="RUR1" s="51"/>
      <c r="RUS1" s="51"/>
      <c r="RUT1" s="51"/>
      <c r="RUU1" s="51"/>
      <c r="RUV1" s="51"/>
      <c r="RUW1" s="51"/>
      <c r="RUX1" s="51"/>
      <c r="RUY1" s="51"/>
      <c r="RUZ1" s="51"/>
      <c r="RVA1" s="51"/>
      <c r="RVB1" s="51"/>
      <c r="RVC1" s="51"/>
      <c r="RVD1" s="51"/>
      <c r="RVE1" s="51"/>
      <c r="RVF1" s="51"/>
      <c r="RVG1" s="51"/>
      <c r="RVH1" s="51"/>
      <c r="RVI1" s="51"/>
      <c r="RVJ1" s="51"/>
      <c r="RVK1" s="51"/>
      <c r="RVL1" s="51"/>
      <c r="RVM1" s="51"/>
      <c r="RVN1" s="51"/>
      <c r="RVO1" s="51"/>
      <c r="RVP1" s="51"/>
      <c r="RVQ1" s="51"/>
      <c r="RVR1" s="51"/>
      <c r="RVS1" s="51"/>
      <c r="RVT1" s="51"/>
      <c r="RVU1" s="51"/>
      <c r="RVV1" s="51"/>
      <c r="RVW1" s="51"/>
      <c r="RVX1" s="51"/>
      <c r="RVY1" s="51"/>
      <c r="RVZ1" s="51"/>
      <c r="RWA1" s="51"/>
      <c r="RWB1" s="51"/>
      <c r="RWC1" s="51"/>
      <c r="RWD1" s="51"/>
      <c r="RWE1" s="51"/>
      <c r="RWF1" s="51"/>
      <c r="RWG1" s="51"/>
      <c r="RWH1" s="51"/>
      <c r="RWI1" s="51"/>
      <c r="RWJ1" s="51"/>
      <c r="RWK1" s="51"/>
      <c r="RWL1" s="51"/>
      <c r="RWM1" s="51"/>
      <c r="RWN1" s="51"/>
      <c r="RWO1" s="51"/>
      <c r="RWP1" s="51"/>
      <c r="RWQ1" s="51"/>
      <c r="RWR1" s="51"/>
      <c r="RWS1" s="51"/>
      <c r="RWT1" s="51"/>
      <c r="RWU1" s="51"/>
      <c r="RWV1" s="51"/>
      <c r="RWW1" s="51"/>
      <c r="RWX1" s="51"/>
      <c r="RWY1" s="51"/>
      <c r="RWZ1" s="51"/>
      <c r="RXA1" s="51"/>
      <c r="RXB1" s="51"/>
      <c r="RXC1" s="51"/>
      <c r="RXD1" s="51"/>
      <c r="RXE1" s="51"/>
      <c r="RXF1" s="51"/>
      <c r="RXG1" s="51"/>
      <c r="RXH1" s="51"/>
      <c r="RXI1" s="51"/>
      <c r="RXJ1" s="51"/>
      <c r="RXK1" s="51"/>
      <c r="RXL1" s="51"/>
      <c r="RXM1" s="51"/>
      <c r="RXN1" s="51"/>
      <c r="RXO1" s="51"/>
      <c r="RXP1" s="51"/>
      <c r="RXQ1" s="51"/>
      <c r="RXR1" s="51"/>
      <c r="RXS1" s="51"/>
      <c r="RXT1" s="51"/>
      <c r="RXU1" s="51"/>
      <c r="RXV1" s="51"/>
      <c r="RXW1" s="51"/>
      <c r="RXX1" s="51"/>
      <c r="RXY1" s="51"/>
      <c r="RXZ1" s="51"/>
      <c r="RYA1" s="51"/>
      <c r="RYB1" s="51"/>
      <c r="RYC1" s="51"/>
      <c r="RYD1" s="51"/>
      <c r="RYE1" s="51"/>
      <c r="RYF1" s="51"/>
      <c r="RYG1" s="51"/>
      <c r="RYH1" s="51"/>
      <c r="RYI1" s="51"/>
      <c r="RYJ1" s="51"/>
      <c r="RYK1" s="51"/>
      <c r="RYL1" s="51"/>
      <c r="RYM1" s="51"/>
      <c r="RYN1" s="51"/>
      <c r="RYO1" s="51"/>
      <c r="RYP1" s="51"/>
      <c r="RYQ1" s="51"/>
      <c r="RYR1" s="51"/>
      <c r="RYS1" s="51"/>
      <c r="RYT1" s="51"/>
      <c r="RYU1" s="51"/>
      <c r="RYV1" s="51"/>
      <c r="RYW1" s="51"/>
      <c r="RYX1" s="51"/>
      <c r="RYY1" s="51"/>
      <c r="RYZ1" s="51"/>
      <c r="RZA1" s="51"/>
      <c r="RZB1" s="51"/>
      <c r="RZC1" s="51"/>
      <c r="RZD1" s="51"/>
      <c r="RZE1" s="51"/>
      <c r="RZF1" s="51"/>
      <c r="RZG1" s="51"/>
      <c r="RZH1" s="51"/>
      <c r="RZI1" s="51"/>
      <c r="RZJ1" s="51"/>
      <c r="RZK1" s="51"/>
      <c r="RZL1" s="51"/>
      <c r="RZM1" s="51"/>
      <c r="RZN1" s="51"/>
      <c r="RZO1" s="51"/>
      <c r="RZP1" s="51"/>
      <c r="RZQ1" s="51"/>
      <c r="RZR1" s="51"/>
      <c r="RZS1" s="51"/>
      <c r="RZT1" s="51"/>
      <c r="RZU1" s="51"/>
      <c r="RZV1" s="51"/>
      <c r="RZW1" s="51"/>
      <c r="RZX1" s="51"/>
      <c r="RZY1" s="51"/>
      <c r="RZZ1" s="51"/>
      <c r="SAA1" s="51"/>
      <c r="SAB1" s="51"/>
      <c r="SAC1" s="51"/>
      <c r="SAD1" s="51"/>
      <c r="SAE1" s="51"/>
      <c r="SAF1" s="51"/>
      <c r="SAG1" s="51"/>
      <c r="SAH1" s="51"/>
      <c r="SAI1" s="51"/>
      <c r="SAJ1" s="51"/>
      <c r="SAK1" s="51"/>
      <c r="SAL1" s="51"/>
      <c r="SAM1" s="51"/>
      <c r="SAN1" s="51"/>
      <c r="SAO1" s="51"/>
      <c r="SAP1" s="51"/>
      <c r="SAQ1" s="51"/>
      <c r="SAR1" s="51"/>
      <c r="SAS1" s="51"/>
      <c r="SAT1" s="51"/>
      <c r="SAU1" s="51"/>
      <c r="SAV1" s="51"/>
      <c r="SAW1" s="51"/>
      <c r="SAX1" s="51"/>
      <c r="SAY1" s="51"/>
      <c r="SAZ1" s="51"/>
      <c r="SBA1" s="51"/>
      <c r="SBB1" s="51"/>
      <c r="SBC1" s="51"/>
      <c r="SBD1" s="51"/>
      <c r="SBE1" s="51"/>
      <c r="SBF1" s="51"/>
      <c r="SBG1" s="51"/>
      <c r="SBH1" s="51"/>
      <c r="SBI1" s="51"/>
      <c r="SBJ1" s="51"/>
      <c r="SBK1" s="51"/>
      <c r="SBL1" s="51"/>
      <c r="SBM1" s="51"/>
      <c r="SBN1" s="51"/>
      <c r="SBO1" s="51"/>
      <c r="SBP1" s="51"/>
      <c r="SBQ1" s="51"/>
      <c r="SBR1" s="51"/>
      <c r="SBS1" s="51"/>
      <c r="SBT1" s="51"/>
      <c r="SBU1" s="51"/>
      <c r="SBV1" s="51"/>
      <c r="SBW1" s="51"/>
      <c r="SBX1" s="51"/>
      <c r="SBY1" s="51"/>
      <c r="SBZ1" s="51"/>
      <c r="SCA1" s="51"/>
      <c r="SCB1" s="51"/>
      <c r="SCC1" s="51"/>
      <c r="SCD1" s="51"/>
      <c r="SCE1" s="51"/>
      <c r="SCF1" s="51"/>
      <c r="SCG1" s="51"/>
      <c r="SCH1" s="51"/>
      <c r="SCI1" s="51"/>
      <c r="SCJ1" s="51"/>
      <c r="SCK1" s="51"/>
      <c r="SCL1" s="51"/>
      <c r="SCM1" s="51"/>
      <c r="SCN1" s="51"/>
      <c r="SCO1" s="51"/>
      <c r="SCP1" s="51"/>
      <c r="SCQ1" s="51"/>
      <c r="SCR1" s="51"/>
      <c r="SCS1" s="51"/>
      <c r="SCT1" s="51"/>
      <c r="SCU1" s="51"/>
      <c r="SCV1" s="51"/>
      <c r="SCW1" s="51"/>
      <c r="SCX1" s="51"/>
      <c r="SCY1" s="51"/>
      <c r="SCZ1" s="51"/>
      <c r="SDA1" s="51"/>
      <c r="SDB1" s="51"/>
      <c r="SDC1" s="51"/>
      <c r="SDD1" s="51"/>
      <c r="SDE1" s="51"/>
      <c r="SDF1" s="51"/>
      <c r="SDG1" s="51"/>
      <c r="SDH1" s="51"/>
      <c r="SDI1" s="51"/>
      <c r="SDJ1" s="51"/>
      <c r="SDK1" s="51"/>
      <c r="SDL1" s="51"/>
      <c r="SDM1" s="51"/>
      <c r="SDN1" s="51"/>
      <c r="SDO1" s="51"/>
      <c r="SDP1" s="51"/>
      <c r="SDQ1" s="51"/>
      <c r="SDR1" s="51"/>
      <c r="SDS1" s="51"/>
      <c r="SDT1" s="51"/>
      <c r="SDU1" s="51"/>
      <c r="SDV1" s="51"/>
      <c r="SDW1" s="51"/>
      <c r="SDX1" s="51"/>
      <c r="SDY1" s="51"/>
      <c r="SDZ1" s="51"/>
      <c r="SEA1" s="51"/>
      <c r="SEB1" s="51"/>
      <c r="SEC1" s="51"/>
      <c r="SED1" s="51"/>
      <c r="SEE1" s="51"/>
      <c r="SEF1" s="51"/>
      <c r="SEG1" s="51"/>
      <c r="SEH1" s="51"/>
      <c r="SEI1" s="51"/>
      <c r="SEJ1" s="51"/>
      <c r="SEK1" s="51"/>
      <c r="SEL1" s="51"/>
      <c r="SEM1" s="51"/>
      <c r="SEN1" s="51"/>
      <c r="SEO1" s="51"/>
      <c r="SEP1" s="51"/>
      <c r="SEQ1" s="51"/>
      <c r="SER1" s="51"/>
      <c r="SES1" s="51"/>
      <c r="SET1" s="51"/>
      <c r="SEU1" s="51"/>
      <c r="SEV1" s="51"/>
      <c r="SEW1" s="51"/>
      <c r="SEX1" s="51"/>
      <c r="SEY1" s="51"/>
      <c r="SEZ1" s="51"/>
      <c r="SFA1" s="51"/>
      <c r="SFB1" s="51"/>
      <c r="SFC1" s="51"/>
      <c r="SFD1" s="51"/>
      <c r="SFE1" s="51"/>
      <c r="SFF1" s="51"/>
      <c r="SFG1" s="51"/>
      <c r="SFH1" s="51"/>
      <c r="SFI1" s="51"/>
      <c r="SFJ1" s="51"/>
      <c r="SFK1" s="51"/>
      <c r="SFL1" s="51"/>
      <c r="SFM1" s="51"/>
      <c r="SFN1" s="51"/>
      <c r="SFO1" s="51"/>
      <c r="SFP1" s="51"/>
      <c r="SFQ1" s="51"/>
      <c r="SFR1" s="51"/>
      <c r="SFS1" s="51"/>
      <c r="SFT1" s="51"/>
      <c r="SFU1" s="51"/>
      <c r="SFV1" s="51"/>
      <c r="SFW1" s="51"/>
      <c r="SFX1" s="51"/>
      <c r="SFY1" s="51"/>
      <c r="SFZ1" s="51"/>
      <c r="SGA1" s="51"/>
      <c r="SGB1" s="51"/>
      <c r="SGC1" s="51"/>
      <c r="SGD1" s="51"/>
      <c r="SGE1" s="51"/>
      <c r="SGF1" s="51"/>
      <c r="SGG1" s="51"/>
      <c r="SGH1" s="51"/>
      <c r="SGI1" s="51"/>
      <c r="SGJ1" s="51"/>
      <c r="SGK1" s="51"/>
      <c r="SGL1" s="51"/>
      <c r="SGM1" s="51"/>
      <c r="SGN1" s="51"/>
      <c r="SGO1" s="51"/>
      <c r="SGP1" s="51"/>
      <c r="SGQ1" s="51"/>
      <c r="SGR1" s="51"/>
      <c r="SGS1" s="51"/>
      <c r="SGT1" s="51"/>
      <c r="SGU1" s="51"/>
      <c r="SGV1" s="51"/>
      <c r="SGW1" s="51"/>
      <c r="SGX1" s="51"/>
      <c r="SGY1" s="51"/>
      <c r="SGZ1" s="51"/>
      <c r="SHA1" s="51"/>
      <c r="SHB1" s="51"/>
      <c r="SHC1" s="51"/>
      <c r="SHD1" s="51"/>
      <c r="SHE1" s="51"/>
      <c r="SHF1" s="51"/>
      <c r="SHG1" s="51"/>
      <c r="SHH1" s="51"/>
      <c r="SHI1" s="51"/>
      <c r="SHJ1" s="51"/>
      <c r="SHK1" s="51"/>
      <c r="SHL1" s="51"/>
      <c r="SHM1" s="51"/>
      <c r="SHN1" s="51"/>
      <c r="SHO1" s="51"/>
      <c r="SHP1" s="51"/>
      <c r="SHQ1" s="51"/>
      <c r="SHR1" s="51"/>
      <c r="SHS1" s="51"/>
      <c r="SHT1" s="51"/>
      <c r="SHU1" s="51"/>
      <c r="SHV1" s="51"/>
      <c r="SHW1" s="51"/>
      <c r="SHX1" s="51"/>
      <c r="SHY1" s="51"/>
      <c r="SHZ1" s="51"/>
      <c r="SIA1" s="51"/>
      <c r="SIB1" s="51"/>
      <c r="SIC1" s="51"/>
      <c r="SID1" s="51"/>
      <c r="SIE1" s="51"/>
      <c r="SIF1" s="51"/>
      <c r="SIG1" s="51"/>
      <c r="SIH1" s="51"/>
      <c r="SII1" s="51"/>
      <c r="SIJ1" s="51"/>
      <c r="SIK1" s="51"/>
      <c r="SIL1" s="51"/>
      <c r="SIM1" s="51"/>
      <c r="SIN1" s="51"/>
      <c r="SIO1" s="51"/>
      <c r="SIP1" s="51"/>
      <c r="SIQ1" s="51"/>
      <c r="SIR1" s="51"/>
      <c r="SIS1" s="51"/>
      <c r="SIT1" s="51"/>
      <c r="SIU1" s="51"/>
      <c r="SIV1" s="51"/>
      <c r="SIW1" s="51"/>
      <c r="SIX1" s="51"/>
      <c r="SIY1" s="51"/>
      <c r="SIZ1" s="51"/>
      <c r="SJA1" s="51"/>
      <c r="SJB1" s="51"/>
      <c r="SJC1" s="51"/>
      <c r="SJD1" s="51"/>
      <c r="SJE1" s="51"/>
      <c r="SJF1" s="51"/>
      <c r="SJG1" s="51"/>
      <c r="SJH1" s="51"/>
      <c r="SJI1" s="51"/>
      <c r="SJJ1" s="51"/>
      <c r="SJK1" s="51"/>
      <c r="SJL1" s="51"/>
      <c r="SJM1" s="51"/>
      <c r="SJN1" s="51"/>
      <c r="SJO1" s="51"/>
      <c r="SJP1" s="51"/>
      <c r="SJQ1" s="51"/>
      <c r="SJR1" s="51"/>
      <c r="SJS1" s="51"/>
      <c r="SJT1" s="51"/>
      <c r="SJU1" s="51"/>
      <c r="SJV1" s="51"/>
      <c r="SJW1" s="51"/>
      <c r="SJX1" s="51"/>
      <c r="SJY1" s="51"/>
      <c r="SJZ1" s="51"/>
      <c r="SKA1" s="51"/>
      <c r="SKB1" s="51"/>
      <c r="SKC1" s="51"/>
      <c r="SKD1" s="51"/>
      <c r="SKE1" s="51"/>
      <c r="SKF1" s="51"/>
      <c r="SKG1" s="51"/>
      <c r="SKH1" s="51"/>
      <c r="SKI1" s="51"/>
      <c r="SKJ1" s="51"/>
      <c r="SKK1" s="51"/>
      <c r="SKL1" s="51"/>
      <c r="SKM1" s="51"/>
      <c r="SKN1" s="51"/>
      <c r="SKO1" s="51"/>
      <c r="SKP1" s="51"/>
      <c r="SKQ1" s="51"/>
      <c r="SKR1" s="51"/>
      <c r="SKS1" s="51"/>
      <c r="SKT1" s="51"/>
      <c r="SKU1" s="51"/>
      <c r="SKV1" s="51"/>
      <c r="SKW1" s="51"/>
      <c r="SKX1" s="51"/>
      <c r="SKY1" s="51"/>
      <c r="SKZ1" s="51"/>
      <c r="SLA1" s="51"/>
      <c r="SLB1" s="51"/>
      <c r="SLC1" s="51"/>
      <c r="SLD1" s="51"/>
      <c r="SLE1" s="51"/>
      <c r="SLF1" s="51"/>
      <c r="SLG1" s="51"/>
      <c r="SLH1" s="51"/>
      <c r="SLI1" s="51"/>
      <c r="SLJ1" s="51"/>
      <c r="SLK1" s="51"/>
      <c r="SLL1" s="51"/>
      <c r="SLM1" s="51"/>
      <c r="SLN1" s="51"/>
      <c r="SLO1" s="51"/>
      <c r="SLP1" s="51"/>
      <c r="SLQ1" s="51"/>
      <c r="SLR1" s="51"/>
      <c r="SLS1" s="51"/>
      <c r="SLT1" s="51"/>
      <c r="SLU1" s="51"/>
      <c r="SLV1" s="51"/>
      <c r="SLW1" s="51"/>
      <c r="SLX1" s="51"/>
      <c r="SLY1" s="51"/>
      <c r="SLZ1" s="51"/>
      <c r="SMA1" s="51"/>
      <c r="SMB1" s="51"/>
      <c r="SMC1" s="51"/>
      <c r="SMD1" s="51"/>
      <c r="SME1" s="51"/>
      <c r="SMF1" s="51"/>
      <c r="SMG1" s="51"/>
      <c r="SMH1" s="51"/>
      <c r="SMI1" s="51"/>
      <c r="SMJ1" s="51"/>
      <c r="SMK1" s="51"/>
      <c r="SML1" s="51"/>
      <c r="SMM1" s="51"/>
      <c r="SMN1" s="51"/>
      <c r="SMO1" s="51"/>
      <c r="SMP1" s="51"/>
      <c r="SMQ1" s="51"/>
      <c r="SMR1" s="51"/>
      <c r="SMS1" s="51"/>
      <c r="SMT1" s="51"/>
      <c r="SMU1" s="51"/>
      <c r="SMV1" s="51"/>
      <c r="SMW1" s="51"/>
      <c r="SMX1" s="51"/>
      <c r="SMY1" s="51"/>
      <c r="SMZ1" s="51"/>
      <c r="SNA1" s="51"/>
      <c r="SNB1" s="51"/>
      <c r="SNC1" s="51"/>
      <c r="SND1" s="51"/>
      <c r="SNE1" s="51"/>
      <c r="SNF1" s="51"/>
      <c r="SNG1" s="51"/>
      <c r="SNH1" s="51"/>
      <c r="SNI1" s="51"/>
      <c r="SNJ1" s="51"/>
      <c r="SNK1" s="51"/>
      <c r="SNL1" s="51"/>
      <c r="SNM1" s="51"/>
      <c r="SNN1" s="51"/>
      <c r="SNO1" s="51"/>
      <c r="SNP1" s="51"/>
      <c r="SNQ1" s="51"/>
      <c r="SNR1" s="51"/>
      <c r="SNS1" s="51"/>
      <c r="SNT1" s="51"/>
      <c r="SNU1" s="51"/>
      <c r="SNV1" s="51"/>
      <c r="SNW1" s="51"/>
      <c r="SNX1" s="51"/>
      <c r="SNY1" s="51"/>
      <c r="SNZ1" s="51"/>
      <c r="SOA1" s="51"/>
      <c r="SOB1" s="51"/>
      <c r="SOC1" s="51"/>
      <c r="SOD1" s="51"/>
      <c r="SOE1" s="51"/>
      <c r="SOF1" s="51"/>
      <c r="SOG1" s="51"/>
      <c r="SOH1" s="51"/>
      <c r="SOI1" s="51"/>
      <c r="SOJ1" s="51"/>
      <c r="SOK1" s="51"/>
      <c r="SOL1" s="51"/>
      <c r="SOM1" s="51"/>
      <c r="SON1" s="51"/>
      <c r="SOO1" s="51"/>
      <c r="SOP1" s="51"/>
      <c r="SOQ1" s="51"/>
      <c r="SOR1" s="51"/>
      <c r="SOS1" s="51"/>
      <c r="SOT1" s="51"/>
      <c r="SOU1" s="51"/>
      <c r="SOV1" s="51"/>
      <c r="SOW1" s="51"/>
      <c r="SOX1" s="51"/>
      <c r="SOY1" s="51"/>
      <c r="SOZ1" s="51"/>
      <c r="SPA1" s="51"/>
      <c r="SPB1" s="51"/>
      <c r="SPC1" s="51"/>
      <c r="SPD1" s="51"/>
      <c r="SPE1" s="51"/>
      <c r="SPF1" s="51"/>
      <c r="SPG1" s="51"/>
      <c r="SPH1" s="51"/>
      <c r="SPI1" s="51"/>
      <c r="SPJ1" s="51"/>
      <c r="SPK1" s="51"/>
      <c r="SPL1" s="51"/>
      <c r="SPM1" s="51"/>
      <c r="SPN1" s="51"/>
      <c r="SPO1" s="51"/>
      <c r="SPP1" s="51"/>
      <c r="SPQ1" s="51"/>
      <c r="SPR1" s="51"/>
      <c r="SPS1" s="51"/>
      <c r="SPT1" s="51"/>
      <c r="SPU1" s="51"/>
      <c r="SPV1" s="51"/>
      <c r="SPW1" s="51"/>
      <c r="SPX1" s="51"/>
      <c r="SPY1" s="51"/>
      <c r="SPZ1" s="51"/>
      <c r="SQA1" s="51"/>
      <c r="SQB1" s="51"/>
      <c r="SQC1" s="51"/>
      <c r="SQD1" s="51"/>
      <c r="SQE1" s="51"/>
      <c r="SQF1" s="51"/>
      <c r="SQG1" s="51"/>
      <c r="SQH1" s="51"/>
      <c r="SQI1" s="51"/>
      <c r="SQJ1" s="51"/>
      <c r="SQK1" s="51"/>
      <c r="SQL1" s="51"/>
      <c r="SQM1" s="51"/>
      <c r="SQN1" s="51"/>
      <c r="SQO1" s="51"/>
      <c r="SQP1" s="51"/>
      <c r="SQQ1" s="51"/>
      <c r="SQR1" s="51"/>
      <c r="SQS1" s="51"/>
      <c r="SQT1" s="51"/>
      <c r="SQU1" s="51"/>
      <c r="SQV1" s="51"/>
      <c r="SQW1" s="51"/>
      <c r="SQX1" s="51"/>
      <c r="SQY1" s="51"/>
      <c r="SQZ1" s="51"/>
      <c r="SRA1" s="51"/>
      <c r="SRB1" s="51"/>
      <c r="SRC1" s="51"/>
      <c r="SRD1" s="51"/>
      <c r="SRE1" s="51"/>
      <c r="SRF1" s="51"/>
      <c r="SRG1" s="51"/>
      <c r="SRH1" s="51"/>
      <c r="SRI1" s="51"/>
      <c r="SRJ1" s="51"/>
      <c r="SRK1" s="51"/>
      <c r="SRL1" s="51"/>
      <c r="SRM1" s="51"/>
      <c r="SRN1" s="51"/>
      <c r="SRO1" s="51"/>
      <c r="SRP1" s="51"/>
      <c r="SRQ1" s="51"/>
      <c r="SRR1" s="51"/>
      <c r="SRS1" s="51"/>
      <c r="SRT1" s="51"/>
      <c r="SRU1" s="51"/>
      <c r="SRV1" s="51"/>
      <c r="SRW1" s="51"/>
      <c r="SRX1" s="51"/>
      <c r="SRY1" s="51"/>
      <c r="SRZ1" s="51"/>
      <c r="SSA1" s="51"/>
      <c r="SSB1" s="51"/>
      <c r="SSC1" s="51"/>
      <c r="SSD1" s="51"/>
      <c r="SSE1" s="51"/>
      <c r="SSF1" s="51"/>
      <c r="SSG1" s="51"/>
      <c r="SSH1" s="51"/>
      <c r="SSI1" s="51"/>
      <c r="SSJ1" s="51"/>
      <c r="SSK1" s="51"/>
      <c r="SSL1" s="51"/>
      <c r="SSM1" s="51"/>
      <c r="SSN1" s="51"/>
      <c r="SSO1" s="51"/>
      <c r="SSP1" s="51"/>
      <c r="SSQ1" s="51"/>
      <c r="SSR1" s="51"/>
      <c r="SSS1" s="51"/>
      <c r="SST1" s="51"/>
      <c r="SSU1" s="51"/>
      <c r="SSV1" s="51"/>
      <c r="SSW1" s="51"/>
      <c r="SSX1" s="51"/>
      <c r="SSY1" s="51"/>
      <c r="SSZ1" s="51"/>
      <c r="STA1" s="51"/>
      <c r="STB1" s="51"/>
      <c r="STC1" s="51"/>
      <c r="STD1" s="51"/>
      <c r="STE1" s="51"/>
      <c r="STF1" s="51"/>
      <c r="STG1" s="51"/>
      <c r="STH1" s="51"/>
      <c r="STI1" s="51"/>
      <c r="STJ1" s="51"/>
      <c r="STK1" s="51"/>
      <c r="STL1" s="51"/>
      <c r="STM1" s="51"/>
      <c r="STN1" s="51"/>
      <c r="STO1" s="51"/>
      <c r="STP1" s="51"/>
      <c r="STQ1" s="51"/>
      <c r="STR1" s="51"/>
      <c r="STS1" s="51"/>
      <c r="STT1" s="51"/>
      <c r="STU1" s="51"/>
      <c r="STV1" s="51"/>
      <c r="STW1" s="51"/>
      <c r="STX1" s="51"/>
      <c r="STY1" s="51"/>
      <c r="STZ1" s="51"/>
      <c r="SUA1" s="51"/>
      <c r="SUB1" s="51"/>
      <c r="SUC1" s="51"/>
      <c r="SUD1" s="51"/>
      <c r="SUE1" s="51"/>
      <c r="SUF1" s="51"/>
      <c r="SUG1" s="51"/>
      <c r="SUH1" s="51"/>
      <c r="SUI1" s="51"/>
      <c r="SUJ1" s="51"/>
      <c r="SUK1" s="51"/>
      <c r="SUL1" s="51"/>
      <c r="SUM1" s="51"/>
      <c r="SUN1" s="51"/>
      <c r="SUO1" s="51"/>
      <c r="SUP1" s="51"/>
      <c r="SUQ1" s="51"/>
      <c r="SUR1" s="51"/>
      <c r="SUS1" s="51"/>
      <c r="SUT1" s="51"/>
      <c r="SUU1" s="51"/>
      <c r="SUV1" s="51"/>
      <c r="SUW1" s="51"/>
      <c r="SUX1" s="51"/>
      <c r="SUY1" s="51"/>
      <c r="SUZ1" s="51"/>
      <c r="SVA1" s="51"/>
      <c r="SVB1" s="51"/>
      <c r="SVC1" s="51"/>
      <c r="SVD1" s="51"/>
      <c r="SVE1" s="51"/>
      <c r="SVF1" s="51"/>
      <c r="SVG1" s="51"/>
      <c r="SVH1" s="51"/>
      <c r="SVI1" s="51"/>
      <c r="SVJ1" s="51"/>
      <c r="SVK1" s="51"/>
      <c r="SVL1" s="51"/>
      <c r="SVM1" s="51"/>
      <c r="SVN1" s="51"/>
      <c r="SVO1" s="51"/>
      <c r="SVP1" s="51"/>
      <c r="SVQ1" s="51"/>
      <c r="SVR1" s="51"/>
      <c r="SVS1" s="51"/>
      <c r="SVT1" s="51"/>
      <c r="SVU1" s="51"/>
      <c r="SVV1" s="51"/>
      <c r="SVW1" s="51"/>
      <c r="SVX1" s="51"/>
      <c r="SVY1" s="51"/>
      <c r="SVZ1" s="51"/>
      <c r="SWA1" s="51"/>
      <c r="SWB1" s="51"/>
      <c r="SWC1" s="51"/>
      <c r="SWD1" s="51"/>
      <c r="SWE1" s="51"/>
      <c r="SWF1" s="51"/>
      <c r="SWG1" s="51"/>
      <c r="SWH1" s="51"/>
      <c r="SWI1" s="51"/>
      <c r="SWJ1" s="51"/>
      <c r="SWK1" s="51"/>
      <c r="SWL1" s="51"/>
      <c r="SWM1" s="51"/>
      <c r="SWN1" s="51"/>
      <c r="SWO1" s="51"/>
      <c r="SWP1" s="51"/>
      <c r="SWQ1" s="51"/>
      <c r="SWR1" s="51"/>
      <c r="SWS1" s="51"/>
      <c r="SWT1" s="51"/>
      <c r="SWU1" s="51"/>
      <c r="SWV1" s="51"/>
      <c r="SWW1" s="51"/>
      <c r="SWX1" s="51"/>
      <c r="SWY1" s="51"/>
      <c r="SWZ1" s="51"/>
      <c r="SXA1" s="51"/>
      <c r="SXB1" s="51"/>
      <c r="SXC1" s="51"/>
      <c r="SXD1" s="51"/>
      <c r="SXE1" s="51"/>
      <c r="SXF1" s="51"/>
      <c r="SXG1" s="51"/>
      <c r="SXH1" s="51"/>
      <c r="SXI1" s="51"/>
      <c r="SXJ1" s="51"/>
      <c r="SXK1" s="51"/>
      <c r="SXL1" s="51"/>
      <c r="SXM1" s="51"/>
      <c r="SXN1" s="51"/>
      <c r="SXO1" s="51"/>
      <c r="SXP1" s="51"/>
      <c r="SXQ1" s="51"/>
      <c r="SXR1" s="51"/>
      <c r="SXS1" s="51"/>
      <c r="SXT1" s="51"/>
      <c r="SXU1" s="51"/>
      <c r="SXV1" s="51"/>
      <c r="SXW1" s="51"/>
      <c r="SXX1" s="51"/>
      <c r="SXY1" s="51"/>
      <c r="SXZ1" s="51"/>
      <c r="SYA1" s="51"/>
      <c r="SYB1" s="51"/>
      <c r="SYC1" s="51"/>
      <c r="SYD1" s="51"/>
      <c r="SYE1" s="51"/>
      <c r="SYF1" s="51"/>
      <c r="SYG1" s="51"/>
      <c r="SYH1" s="51"/>
      <c r="SYI1" s="51"/>
      <c r="SYJ1" s="51"/>
      <c r="SYK1" s="51"/>
      <c r="SYL1" s="51"/>
      <c r="SYM1" s="51"/>
      <c r="SYN1" s="51"/>
      <c r="SYO1" s="51"/>
      <c r="SYP1" s="51"/>
      <c r="SYQ1" s="51"/>
      <c r="SYR1" s="51"/>
      <c r="SYS1" s="51"/>
      <c r="SYT1" s="51"/>
      <c r="SYU1" s="51"/>
      <c r="SYV1" s="51"/>
      <c r="SYW1" s="51"/>
      <c r="SYX1" s="51"/>
      <c r="SYY1" s="51"/>
      <c r="SYZ1" s="51"/>
      <c r="SZA1" s="51"/>
      <c r="SZB1" s="51"/>
      <c r="SZC1" s="51"/>
      <c r="SZD1" s="51"/>
      <c r="SZE1" s="51"/>
      <c r="SZF1" s="51"/>
      <c r="SZG1" s="51"/>
      <c r="SZH1" s="51"/>
      <c r="SZI1" s="51"/>
      <c r="SZJ1" s="51"/>
      <c r="SZK1" s="51"/>
      <c r="SZL1" s="51"/>
      <c r="SZM1" s="51"/>
      <c r="SZN1" s="51"/>
      <c r="SZO1" s="51"/>
      <c r="SZP1" s="51"/>
      <c r="SZQ1" s="51"/>
      <c r="SZR1" s="51"/>
      <c r="SZS1" s="51"/>
      <c r="SZT1" s="51"/>
      <c r="SZU1" s="51"/>
      <c r="SZV1" s="51"/>
      <c r="SZW1" s="51"/>
      <c r="SZX1" s="51"/>
      <c r="SZY1" s="51"/>
      <c r="SZZ1" s="51"/>
      <c r="TAA1" s="51"/>
      <c r="TAB1" s="51"/>
      <c r="TAC1" s="51"/>
      <c r="TAD1" s="51"/>
      <c r="TAE1" s="51"/>
      <c r="TAF1" s="51"/>
      <c r="TAG1" s="51"/>
      <c r="TAH1" s="51"/>
      <c r="TAI1" s="51"/>
      <c r="TAJ1" s="51"/>
      <c r="TAK1" s="51"/>
      <c r="TAL1" s="51"/>
      <c r="TAM1" s="51"/>
      <c r="TAN1" s="51"/>
      <c r="TAO1" s="51"/>
      <c r="TAP1" s="51"/>
      <c r="TAQ1" s="51"/>
      <c r="TAR1" s="51"/>
      <c r="TAS1" s="51"/>
      <c r="TAT1" s="51"/>
      <c r="TAU1" s="51"/>
      <c r="TAV1" s="51"/>
      <c r="TAW1" s="51"/>
      <c r="TAX1" s="51"/>
      <c r="TAY1" s="51"/>
      <c r="TAZ1" s="51"/>
      <c r="TBA1" s="51"/>
      <c r="TBB1" s="51"/>
      <c r="TBC1" s="51"/>
      <c r="TBD1" s="51"/>
      <c r="TBE1" s="51"/>
      <c r="TBF1" s="51"/>
      <c r="TBG1" s="51"/>
      <c r="TBH1" s="51"/>
      <c r="TBI1" s="51"/>
      <c r="TBJ1" s="51"/>
      <c r="TBK1" s="51"/>
      <c r="TBL1" s="51"/>
      <c r="TBM1" s="51"/>
      <c r="TBN1" s="51"/>
      <c r="TBO1" s="51"/>
      <c r="TBP1" s="51"/>
      <c r="TBQ1" s="51"/>
      <c r="TBR1" s="51"/>
      <c r="TBS1" s="51"/>
      <c r="TBT1" s="51"/>
      <c r="TBU1" s="51"/>
      <c r="TBV1" s="51"/>
      <c r="TBW1" s="51"/>
      <c r="TBX1" s="51"/>
      <c r="TBY1" s="51"/>
      <c r="TBZ1" s="51"/>
      <c r="TCA1" s="51"/>
      <c r="TCB1" s="51"/>
      <c r="TCC1" s="51"/>
      <c r="TCD1" s="51"/>
      <c r="TCE1" s="51"/>
      <c r="TCF1" s="51"/>
      <c r="TCG1" s="51"/>
      <c r="TCH1" s="51"/>
      <c r="TCI1" s="51"/>
      <c r="TCJ1" s="51"/>
      <c r="TCK1" s="51"/>
      <c r="TCL1" s="51"/>
      <c r="TCM1" s="51"/>
      <c r="TCN1" s="51"/>
      <c r="TCO1" s="51"/>
      <c r="TCP1" s="51"/>
      <c r="TCQ1" s="51"/>
      <c r="TCR1" s="51"/>
      <c r="TCS1" s="51"/>
      <c r="TCT1" s="51"/>
      <c r="TCU1" s="51"/>
      <c r="TCV1" s="51"/>
      <c r="TCW1" s="51"/>
      <c r="TCX1" s="51"/>
      <c r="TCY1" s="51"/>
      <c r="TCZ1" s="51"/>
      <c r="TDA1" s="51"/>
      <c r="TDB1" s="51"/>
      <c r="TDC1" s="51"/>
      <c r="TDD1" s="51"/>
      <c r="TDE1" s="51"/>
      <c r="TDF1" s="51"/>
      <c r="TDG1" s="51"/>
      <c r="TDH1" s="51"/>
      <c r="TDI1" s="51"/>
      <c r="TDJ1" s="51"/>
      <c r="TDK1" s="51"/>
      <c r="TDL1" s="51"/>
      <c r="TDM1" s="51"/>
      <c r="TDN1" s="51"/>
      <c r="TDO1" s="51"/>
      <c r="TDP1" s="51"/>
      <c r="TDQ1" s="51"/>
      <c r="TDR1" s="51"/>
      <c r="TDS1" s="51"/>
      <c r="TDT1" s="51"/>
      <c r="TDU1" s="51"/>
      <c r="TDV1" s="51"/>
      <c r="TDW1" s="51"/>
      <c r="TDX1" s="51"/>
      <c r="TDY1" s="51"/>
      <c r="TDZ1" s="51"/>
      <c r="TEA1" s="51"/>
      <c r="TEB1" s="51"/>
      <c r="TEC1" s="51"/>
      <c r="TED1" s="51"/>
      <c r="TEE1" s="51"/>
      <c r="TEF1" s="51"/>
      <c r="TEG1" s="51"/>
      <c r="TEH1" s="51"/>
      <c r="TEI1" s="51"/>
      <c r="TEJ1" s="51"/>
      <c r="TEK1" s="51"/>
      <c r="TEL1" s="51"/>
      <c r="TEM1" s="51"/>
      <c r="TEN1" s="51"/>
      <c r="TEO1" s="51"/>
      <c r="TEP1" s="51"/>
      <c r="TEQ1" s="51"/>
      <c r="TER1" s="51"/>
      <c r="TES1" s="51"/>
      <c r="TET1" s="51"/>
      <c r="TEU1" s="51"/>
      <c r="TEV1" s="51"/>
      <c r="TEW1" s="51"/>
      <c r="TEX1" s="51"/>
      <c r="TEY1" s="51"/>
      <c r="TEZ1" s="51"/>
      <c r="TFA1" s="51"/>
      <c r="TFB1" s="51"/>
      <c r="TFC1" s="51"/>
      <c r="TFD1" s="51"/>
      <c r="TFE1" s="51"/>
      <c r="TFF1" s="51"/>
      <c r="TFG1" s="51"/>
      <c r="TFH1" s="51"/>
      <c r="TFI1" s="51"/>
      <c r="TFJ1" s="51"/>
      <c r="TFK1" s="51"/>
      <c r="TFL1" s="51"/>
      <c r="TFM1" s="51"/>
      <c r="TFN1" s="51"/>
      <c r="TFO1" s="51"/>
      <c r="TFP1" s="51"/>
      <c r="TFQ1" s="51"/>
      <c r="TFR1" s="51"/>
      <c r="TFS1" s="51"/>
      <c r="TFT1" s="51"/>
      <c r="TFU1" s="51"/>
      <c r="TFV1" s="51"/>
      <c r="TFW1" s="51"/>
      <c r="TFX1" s="51"/>
      <c r="TFY1" s="51"/>
      <c r="TFZ1" s="51"/>
      <c r="TGA1" s="51"/>
      <c r="TGB1" s="51"/>
      <c r="TGC1" s="51"/>
      <c r="TGD1" s="51"/>
      <c r="TGE1" s="51"/>
      <c r="TGF1" s="51"/>
      <c r="TGG1" s="51"/>
      <c r="TGH1" s="51"/>
      <c r="TGI1" s="51"/>
      <c r="TGJ1" s="51"/>
      <c r="TGK1" s="51"/>
      <c r="TGL1" s="51"/>
      <c r="TGM1" s="51"/>
      <c r="TGN1" s="51"/>
      <c r="TGO1" s="51"/>
      <c r="TGP1" s="51"/>
      <c r="TGQ1" s="51"/>
      <c r="TGR1" s="51"/>
      <c r="TGS1" s="51"/>
      <c r="TGT1" s="51"/>
      <c r="TGU1" s="51"/>
      <c r="TGV1" s="51"/>
      <c r="TGW1" s="51"/>
      <c r="TGX1" s="51"/>
      <c r="TGY1" s="51"/>
      <c r="TGZ1" s="51"/>
      <c r="THA1" s="51"/>
      <c r="THB1" s="51"/>
      <c r="THC1" s="51"/>
      <c r="THD1" s="51"/>
      <c r="THE1" s="51"/>
      <c r="THF1" s="51"/>
      <c r="THG1" s="51"/>
      <c r="THH1" s="51"/>
      <c r="THI1" s="51"/>
      <c r="THJ1" s="51"/>
      <c r="THK1" s="51"/>
      <c r="THL1" s="51"/>
      <c r="THM1" s="51"/>
      <c r="THN1" s="51"/>
      <c r="THO1" s="51"/>
      <c r="THP1" s="51"/>
      <c r="THQ1" s="51"/>
      <c r="THR1" s="51"/>
      <c r="THS1" s="51"/>
      <c r="THT1" s="51"/>
      <c r="THU1" s="51"/>
      <c r="THV1" s="51"/>
      <c r="THW1" s="51"/>
      <c r="THX1" s="51"/>
      <c r="THY1" s="51"/>
      <c r="THZ1" s="51"/>
      <c r="TIA1" s="51"/>
      <c r="TIB1" s="51"/>
      <c r="TIC1" s="51"/>
      <c r="TID1" s="51"/>
      <c r="TIE1" s="51"/>
      <c r="TIF1" s="51"/>
      <c r="TIG1" s="51"/>
      <c r="TIH1" s="51"/>
      <c r="TII1" s="51"/>
      <c r="TIJ1" s="51"/>
      <c r="TIK1" s="51"/>
      <c r="TIL1" s="51"/>
      <c r="TIM1" s="51"/>
      <c r="TIN1" s="51"/>
      <c r="TIO1" s="51"/>
      <c r="TIP1" s="51"/>
      <c r="TIQ1" s="51"/>
      <c r="TIR1" s="51"/>
      <c r="TIS1" s="51"/>
      <c r="TIT1" s="51"/>
      <c r="TIU1" s="51"/>
      <c r="TIV1" s="51"/>
      <c r="TIW1" s="51"/>
      <c r="TIX1" s="51"/>
      <c r="TIY1" s="51"/>
      <c r="TIZ1" s="51"/>
      <c r="TJA1" s="51"/>
      <c r="TJB1" s="51"/>
      <c r="TJC1" s="51"/>
      <c r="TJD1" s="51"/>
      <c r="TJE1" s="51"/>
      <c r="TJF1" s="51"/>
      <c r="TJG1" s="51"/>
      <c r="TJH1" s="51"/>
      <c r="TJI1" s="51"/>
      <c r="TJJ1" s="51"/>
      <c r="TJK1" s="51"/>
      <c r="TJL1" s="51"/>
      <c r="TJM1" s="51"/>
      <c r="TJN1" s="51"/>
      <c r="TJO1" s="51"/>
      <c r="TJP1" s="51"/>
      <c r="TJQ1" s="51"/>
      <c r="TJR1" s="51"/>
      <c r="TJS1" s="51"/>
      <c r="TJT1" s="51"/>
      <c r="TJU1" s="51"/>
      <c r="TJV1" s="51"/>
      <c r="TJW1" s="51"/>
      <c r="TJX1" s="51"/>
      <c r="TJY1" s="51"/>
      <c r="TJZ1" s="51"/>
      <c r="TKA1" s="51"/>
      <c r="TKB1" s="51"/>
      <c r="TKC1" s="51"/>
      <c r="TKD1" s="51"/>
      <c r="TKE1" s="51"/>
      <c r="TKF1" s="51"/>
      <c r="TKG1" s="51"/>
      <c r="TKH1" s="51"/>
      <c r="TKI1" s="51"/>
      <c r="TKJ1" s="51"/>
      <c r="TKK1" s="51"/>
      <c r="TKL1" s="51"/>
      <c r="TKM1" s="51"/>
      <c r="TKN1" s="51"/>
      <c r="TKO1" s="51"/>
      <c r="TKP1" s="51"/>
      <c r="TKQ1" s="51"/>
      <c r="TKR1" s="51"/>
      <c r="TKS1" s="51"/>
      <c r="TKT1" s="51"/>
      <c r="TKU1" s="51"/>
      <c r="TKV1" s="51"/>
      <c r="TKW1" s="51"/>
      <c r="TKX1" s="51"/>
      <c r="TKY1" s="51"/>
      <c r="TKZ1" s="51"/>
      <c r="TLA1" s="51"/>
      <c r="TLB1" s="51"/>
      <c r="TLC1" s="51"/>
      <c r="TLD1" s="51"/>
      <c r="TLE1" s="51"/>
      <c r="TLF1" s="51"/>
      <c r="TLG1" s="51"/>
      <c r="TLH1" s="51"/>
      <c r="TLI1" s="51"/>
      <c r="TLJ1" s="51"/>
      <c r="TLK1" s="51"/>
      <c r="TLL1" s="51"/>
      <c r="TLM1" s="51"/>
      <c r="TLN1" s="51"/>
      <c r="TLO1" s="51"/>
      <c r="TLP1" s="51"/>
      <c r="TLQ1" s="51"/>
      <c r="TLR1" s="51"/>
      <c r="TLS1" s="51"/>
      <c r="TLT1" s="51"/>
      <c r="TLU1" s="51"/>
      <c r="TLV1" s="51"/>
      <c r="TLW1" s="51"/>
      <c r="TLX1" s="51"/>
      <c r="TLY1" s="51"/>
      <c r="TLZ1" s="51"/>
      <c r="TMA1" s="51"/>
      <c r="TMB1" s="51"/>
      <c r="TMC1" s="51"/>
      <c r="TMD1" s="51"/>
      <c r="TME1" s="51"/>
      <c r="TMF1" s="51"/>
      <c r="TMG1" s="51"/>
      <c r="TMH1" s="51"/>
      <c r="TMI1" s="51"/>
      <c r="TMJ1" s="51"/>
      <c r="TMK1" s="51"/>
      <c r="TML1" s="51"/>
      <c r="TMM1" s="51"/>
      <c r="TMN1" s="51"/>
      <c r="TMO1" s="51"/>
      <c r="TMP1" s="51"/>
      <c r="TMQ1" s="51"/>
      <c r="TMR1" s="51"/>
      <c r="TMS1" s="51"/>
      <c r="TMT1" s="51"/>
      <c r="TMU1" s="51"/>
      <c r="TMV1" s="51"/>
      <c r="TMW1" s="51"/>
      <c r="TMX1" s="51"/>
      <c r="TMY1" s="51"/>
      <c r="TMZ1" s="51"/>
      <c r="TNA1" s="51"/>
      <c r="TNB1" s="51"/>
      <c r="TNC1" s="51"/>
      <c r="TND1" s="51"/>
      <c r="TNE1" s="51"/>
      <c r="TNF1" s="51"/>
      <c r="TNG1" s="51"/>
      <c r="TNH1" s="51"/>
      <c r="TNI1" s="51"/>
      <c r="TNJ1" s="51"/>
      <c r="TNK1" s="51"/>
      <c r="TNL1" s="51"/>
      <c r="TNM1" s="51"/>
      <c r="TNN1" s="51"/>
      <c r="TNO1" s="51"/>
      <c r="TNP1" s="51"/>
      <c r="TNQ1" s="51"/>
      <c r="TNR1" s="51"/>
      <c r="TNS1" s="51"/>
      <c r="TNT1" s="51"/>
      <c r="TNU1" s="51"/>
      <c r="TNV1" s="51"/>
      <c r="TNW1" s="51"/>
      <c r="TNX1" s="51"/>
      <c r="TNY1" s="51"/>
      <c r="TNZ1" s="51"/>
      <c r="TOA1" s="51"/>
      <c r="TOB1" s="51"/>
      <c r="TOC1" s="51"/>
      <c r="TOD1" s="51"/>
      <c r="TOE1" s="51"/>
      <c r="TOF1" s="51"/>
      <c r="TOG1" s="51"/>
      <c r="TOH1" s="51"/>
      <c r="TOI1" s="51"/>
      <c r="TOJ1" s="51"/>
      <c r="TOK1" s="51"/>
      <c r="TOL1" s="51"/>
      <c r="TOM1" s="51"/>
      <c r="TON1" s="51"/>
      <c r="TOO1" s="51"/>
      <c r="TOP1" s="51"/>
      <c r="TOQ1" s="51"/>
      <c r="TOR1" s="51"/>
      <c r="TOS1" s="51"/>
      <c r="TOT1" s="51"/>
      <c r="TOU1" s="51"/>
      <c r="TOV1" s="51"/>
      <c r="TOW1" s="51"/>
      <c r="TOX1" s="51"/>
      <c r="TOY1" s="51"/>
      <c r="TOZ1" s="51"/>
      <c r="TPA1" s="51"/>
      <c r="TPB1" s="51"/>
      <c r="TPC1" s="51"/>
      <c r="TPD1" s="51"/>
      <c r="TPE1" s="51"/>
      <c r="TPF1" s="51"/>
      <c r="TPG1" s="51"/>
      <c r="TPH1" s="51"/>
      <c r="TPI1" s="51"/>
      <c r="TPJ1" s="51"/>
      <c r="TPK1" s="51"/>
      <c r="TPL1" s="51"/>
      <c r="TPM1" s="51"/>
      <c r="TPN1" s="51"/>
      <c r="TPO1" s="51"/>
      <c r="TPP1" s="51"/>
      <c r="TPQ1" s="51"/>
      <c r="TPR1" s="51"/>
      <c r="TPS1" s="51"/>
      <c r="TPT1" s="51"/>
      <c r="TPU1" s="51"/>
      <c r="TPV1" s="51"/>
      <c r="TPW1" s="51"/>
      <c r="TPX1" s="51"/>
      <c r="TPY1" s="51"/>
      <c r="TPZ1" s="51"/>
      <c r="TQA1" s="51"/>
      <c r="TQB1" s="51"/>
      <c r="TQC1" s="51"/>
      <c r="TQD1" s="51"/>
      <c r="TQE1" s="51"/>
      <c r="TQF1" s="51"/>
      <c r="TQG1" s="51"/>
      <c r="TQH1" s="51"/>
      <c r="TQI1" s="51"/>
      <c r="TQJ1" s="51"/>
      <c r="TQK1" s="51"/>
      <c r="TQL1" s="51"/>
      <c r="TQM1" s="51"/>
      <c r="TQN1" s="51"/>
      <c r="TQO1" s="51"/>
      <c r="TQP1" s="51"/>
      <c r="TQQ1" s="51"/>
      <c r="TQR1" s="51"/>
      <c r="TQS1" s="51"/>
      <c r="TQT1" s="51"/>
      <c r="TQU1" s="51"/>
      <c r="TQV1" s="51"/>
      <c r="TQW1" s="51"/>
      <c r="TQX1" s="51"/>
      <c r="TQY1" s="51"/>
      <c r="TQZ1" s="51"/>
      <c r="TRA1" s="51"/>
      <c r="TRB1" s="51"/>
      <c r="TRC1" s="51"/>
      <c r="TRD1" s="51"/>
      <c r="TRE1" s="51"/>
      <c r="TRF1" s="51"/>
      <c r="TRG1" s="51"/>
      <c r="TRH1" s="51"/>
      <c r="TRI1" s="51"/>
      <c r="TRJ1" s="51"/>
      <c r="TRK1" s="51"/>
      <c r="TRL1" s="51"/>
      <c r="TRM1" s="51"/>
      <c r="TRN1" s="51"/>
      <c r="TRO1" s="51"/>
      <c r="TRP1" s="51"/>
      <c r="TRQ1" s="51"/>
      <c r="TRR1" s="51"/>
      <c r="TRS1" s="51"/>
      <c r="TRT1" s="51"/>
      <c r="TRU1" s="51"/>
      <c r="TRV1" s="51"/>
      <c r="TRW1" s="51"/>
      <c r="TRX1" s="51"/>
      <c r="TRY1" s="51"/>
      <c r="TRZ1" s="51"/>
      <c r="TSA1" s="51"/>
      <c r="TSB1" s="51"/>
      <c r="TSC1" s="51"/>
      <c r="TSD1" s="51"/>
      <c r="TSE1" s="51"/>
      <c r="TSF1" s="51"/>
      <c r="TSG1" s="51"/>
      <c r="TSH1" s="51"/>
      <c r="TSI1" s="51"/>
      <c r="TSJ1" s="51"/>
      <c r="TSK1" s="51"/>
      <c r="TSL1" s="51"/>
      <c r="TSM1" s="51"/>
      <c r="TSN1" s="51"/>
      <c r="TSO1" s="51"/>
      <c r="TSP1" s="51"/>
      <c r="TSQ1" s="51"/>
      <c r="TSR1" s="51"/>
      <c r="TSS1" s="51"/>
      <c r="TST1" s="51"/>
      <c r="TSU1" s="51"/>
      <c r="TSV1" s="51"/>
      <c r="TSW1" s="51"/>
      <c r="TSX1" s="51"/>
      <c r="TSY1" s="51"/>
      <c r="TSZ1" s="51"/>
      <c r="TTA1" s="51"/>
      <c r="TTB1" s="51"/>
      <c r="TTC1" s="51"/>
      <c r="TTD1" s="51"/>
      <c r="TTE1" s="51"/>
      <c r="TTF1" s="51"/>
      <c r="TTG1" s="51"/>
      <c r="TTH1" s="51"/>
      <c r="TTI1" s="51"/>
      <c r="TTJ1" s="51"/>
      <c r="TTK1" s="51"/>
      <c r="TTL1" s="51"/>
      <c r="TTM1" s="51"/>
      <c r="TTN1" s="51"/>
      <c r="TTO1" s="51"/>
      <c r="TTP1" s="51"/>
      <c r="TTQ1" s="51"/>
      <c r="TTR1" s="51"/>
      <c r="TTS1" s="51"/>
      <c r="TTT1" s="51"/>
      <c r="TTU1" s="51"/>
      <c r="TTV1" s="51"/>
      <c r="TTW1" s="51"/>
      <c r="TTX1" s="51"/>
      <c r="TTY1" s="51"/>
      <c r="TTZ1" s="51"/>
      <c r="TUA1" s="51"/>
      <c r="TUB1" s="51"/>
      <c r="TUC1" s="51"/>
      <c r="TUD1" s="51"/>
      <c r="TUE1" s="51"/>
      <c r="TUF1" s="51"/>
      <c r="TUG1" s="51"/>
      <c r="TUH1" s="51"/>
      <c r="TUI1" s="51"/>
      <c r="TUJ1" s="51"/>
      <c r="TUK1" s="51"/>
      <c r="TUL1" s="51"/>
      <c r="TUM1" s="51"/>
      <c r="TUN1" s="51"/>
      <c r="TUO1" s="51"/>
      <c r="TUP1" s="51"/>
      <c r="TUQ1" s="51"/>
      <c r="TUR1" s="51"/>
      <c r="TUS1" s="51"/>
      <c r="TUT1" s="51"/>
      <c r="TUU1" s="51"/>
      <c r="TUV1" s="51"/>
      <c r="TUW1" s="51"/>
      <c r="TUX1" s="51"/>
      <c r="TUY1" s="51"/>
      <c r="TUZ1" s="51"/>
      <c r="TVA1" s="51"/>
      <c r="TVB1" s="51"/>
      <c r="TVC1" s="51"/>
      <c r="TVD1" s="51"/>
      <c r="TVE1" s="51"/>
      <c r="TVF1" s="51"/>
      <c r="TVG1" s="51"/>
      <c r="TVH1" s="51"/>
      <c r="TVI1" s="51"/>
      <c r="TVJ1" s="51"/>
      <c r="TVK1" s="51"/>
      <c r="TVL1" s="51"/>
      <c r="TVM1" s="51"/>
      <c r="TVN1" s="51"/>
      <c r="TVO1" s="51"/>
      <c r="TVP1" s="51"/>
      <c r="TVQ1" s="51"/>
      <c r="TVR1" s="51"/>
      <c r="TVS1" s="51"/>
      <c r="TVT1" s="51"/>
      <c r="TVU1" s="51"/>
      <c r="TVV1" s="51"/>
      <c r="TVW1" s="51"/>
      <c r="TVX1" s="51"/>
      <c r="TVY1" s="51"/>
      <c r="TVZ1" s="51"/>
      <c r="TWA1" s="51"/>
      <c r="TWB1" s="51"/>
      <c r="TWC1" s="51"/>
      <c r="TWD1" s="51"/>
      <c r="TWE1" s="51"/>
      <c r="TWF1" s="51"/>
      <c r="TWG1" s="51"/>
      <c r="TWH1" s="51"/>
      <c r="TWI1" s="51"/>
      <c r="TWJ1" s="51"/>
      <c r="TWK1" s="51"/>
      <c r="TWL1" s="51"/>
      <c r="TWM1" s="51"/>
      <c r="TWN1" s="51"/>
      <c r="TWO1" s="51"/>
      <c r="TWP1" s="51"/>
      <c r="TWQ1" s="51"/>
      <c r="TWR1" s="51"/>
      <c r="TWS1" s="51"/>
      <c r="TWT1" s="51"/>
      <c r="TWU1" s="51"/>
      <c r="TWV1" s="51"/>
      <c r="TWW1" s="51"/>
      <c r="TWX1" s="51"/>
      <c r="TWY1" s="51"/>
      <c r="TWZ1" s="51"/>
      <c r="TXA1" s="51"/>
      <c r="TXB1" s="51"/>
      <c r="TXC1" s="51"/>
      <c r="TXD1" s="51"/>
      <c r="TXE1" s="51"/>
      <c r="TXF1" s="51"/>
      <c r="TXG1" s="51"/>
      <c r="TXH1" s="51"/>
      <c r="TXI1" s="51"/>
      <c r="TXJ1" s="51"/>
      <c r="TXK1" s="51"/>
      <c r="TXL1" s="51"/>
      <c r="TXM1" s="51"/>
      <c r="TXN1" s="51"/>
      <c r="TXO1" s="51"/>
      <c r="TXP1" s="51"/>
      <c r="TXQ1" s="51"/>
      <c r="TXR1" s="51"/>
      <c r="TXS1" s="51"/>
      <c r="TXT1" s="51"/>
      <c r="TXU1" s="51"/>
      <c r="TXV1" s="51"/>
      <c r="TXW1" s="51"/>
      <c r="TXX1" s="51"/>
      <c r="TXY1" s="51"/>
      <c r="TXZ1" s="51"/>
      <c r="TYA1" s="51"/>
      <c r="TYB1" s="51"/>
      <c r="TYC1" s="51"/>
      <c r="TYD1" s="51"/>
      <c r="TYE1" s="51"/>
      <c r="TYF1" s="51"/>
      <c r="TYG1" s="51"/>
      <c r="TYH1" s="51"/>
      <c r="TYI1" s="51"/>
      <c r="TYJ1" s="51"/>
      <c r="TYK1" s="51"/>
      <c r="TYL1" s="51"/>
      <c r="TYM1" s="51"/>
      <c r="TYN1" s="51"/>
      <c r="TYO1" s="51"/>
      <c r="TYP1" s="51"/>
      <c r="TYQ1" s="51"/>
      <c r="TYR1" s="51"/>
      <c r="TYS1" s="51"/>
      <c r="TYT1" s="51"/>
      <c r="TYU1" s="51"/>
      <c r="TYV1" s="51"/>
      <c r="TYW1" s="51"/>
      <c r="TYX1" s="51"/>
      <c r="TYY1" s="51"/>
      <c r="TYZ1" s="51"/>
      <c r="TZA1" s="51"/>
      <c r="TZB1" s="51"/>
      <c r="TZC1" s="51"/>
      <c r="TZD1" s="51"/>
      <c r="TZE1" s="51"/>
      <c r="TZF1" s="51"/>
      <c r="TZG1" s="51"/>
      <c r="TZH1" s="51"/>
      <c r="TZI1" s="51"/>
      <c r="TZJ1" s="51"/>
      <c r="TZK1" s="51"/>
      <c r="TZL1" s="51"/>
      <c r="TZM1" s="51"/>
      <c r="TZN1" s="51"/>
      <c r="TZO1" s="51"/>
      <c r="TZP1" s="51"/>
      <c r="TZQ1" s="51"/>
      <c r="TZR1" s="51"/>
      <c r="TZS1" s="51"/>
      <c r="TZT1" s="51"/>
      <c r="TZU1" s="51"/>
      <c r="TZV1" s="51"/>
      <c r="TZW1" s="51"/>
      <c r="TZX1" s="51"/>
      <c r="TZY1" s="51"/>
      <c r="TZZ1" s="51"/>
      <c r="UAA1" s="51"/>
      <c r="UAB1" s="51"/>
      <c r="UAC1" s="51"/>
      <c r="UAD1" s="51"/>
      <c r="UAE1" s="51"/>
      <c r="UAF1" s="51"/>
      <c r="UAG1" s="51"/>
      <c r="UAH1" s="51"/>
      <c r="UAI1" s="51"/>
      <c r="UAJ1" s="51"/>
      <c r="UAK1" s="51"/>
      <c r="UAL1" s="51"/>
      <c r="UAM1" s="51"/>
      <c r="UAN1" s="51"/>
      <c r="UAO1" s="51"/>
      <c r="UAP1" s="51"/>
      <c r="UAQ1" s="51"/>
      <c r="UAR1" s="51"/>
      <c r="UAS1" s="51"/>
      <c r="UAT1" s="51"/>
      <c r="UAU1" s="51"/>
      <c r="UAV1" s="51"/>
      <c r="UAW1" s="51"/>
      <c r="UAX1" s="51"/>
      <c r="UAY1" s="51"/>
      <c r="UAZ1" s="51"/>
      <c r="UBA1" s="51"/>
      <c r="UBB1" s="51"/>
      <c r="UBC1" s="51"/>
      <c r="UBD1" s="51"/>
      <c r="UBE1" s="51"/>
      <c r="UBF1" s="51"/>
      <c r="UBG1" s="51"/>
      <c r="UBH1" s="51"/>
      <c r="UBI1" s="51"/>
      <c r="UBJ1" s="51"/>
      <c r="UBK1" s="51"/>
      <c r="UBL1" s="51"/>
      <c r="UBM1" s="51"/>
      <c r="UBN1" s="51"/>
      <c r="UBO1" s="51"/>
      <c r="UBP1" s="51"/>
      <c r="UBQ1" s="51"/>
      <c r="UBR1" s="51"/>
      <c r="UBS1" s="51"/>
      <c r="UBT1" s="51"/>
      <c r="UBU1" s="51"/>
      <c r="UBV1" s="51"/>
      <c r="UBW1" s="51"/>
      <c r="UBX1" s="51"/>
      <c r="UBY1" s="51"/>
      <c r="UBZ1" s="51"/>
      <c r="UCA1" s="51"/>
      <c r="UCB1" s="51"/>
      <c r="UCC1" s="51"/>
      <c r="UCD1" s="51"/>
      <c r="UCE1" s="51"/>
      <c r="UCF1" s="51"/>
      <c r="UCG1" s="51"/>
      <c r="UCH1" s="51"/>
      <c r="UCI1" s="51"/>
      <c r="UCJ1" s="51"/>
      <c r="UCK1" s="51"/>
      <c r="UCL1" s="51"/>
      <c r="UCM1" s="51"/>
      <c r="UCN1" s="51"/>
      <c r="UCO1" s="51"/>
      <c r="UCP1" s="51"/>
      <c r="UCQ1" s="51"/>
      <c r="UCR1" s="51"/>
      <c r="UCS1" s="51"/>
      <c r="UCT1" s="51"/>
      <c r="UCU1" s="51"/>
      <c r="UCV1" s="51"/>
      <c r="UCW1" s="51"/>
      <c r="UCX1" s="51"/>
      <c r="UCY1" s="51"/>
      <c r="UCZ1" s="51"/>
      <c r="UDA1" s="51"/>
      <c r="UDB1" s="51"/>
      <c r="UDC1" s="51"/>
      <c r="UDD1" s="51"/>
      <c r="UDE1" s="51"/>
      <c r="UDF1" s="51"/>
      <c r="UDG1" s="51"/>
      <c r="UDH1" s="51"/>
      <c r="UDI1" s="51"/>
      <c r="UDJ1" s="51"/>
      <c r="UDK1" s="51"/>
      <c r="UDL1" s="51"/>
      <c r="UDM1" s="51"/>
      <c r="UDN1" s="51"/>
      <c r="UDO1" s="51"/>
      <c r="UDP1" s="51"/>
      <c r="UDQ1" s="51"/>
      <c r="UDR1" s="51"/>
      <c r="UDS1" s="51"/>
      <c r="UDT1" s="51"/>
      <c r="UDU1" s="51"/>
      <c r="UDV1" s="51"/>
      <c r="UDW1" s="51"/>
      <c r="UDX1" s="51"/>
      <c r="UDY1" s="51"/>
      <c r="UDZ1" s="51"/>
      <c r="UEA1" s="51"/>
      <c r="UEB1" s="51"/>
      <c r="UEC1" s="51"/>
      <c r="UED1" s="51"/>
      <c r="UEE1" s="51"/>
      <c r="UEF1" s="51"/>
      <c r="UEG1" s="51"/>
      <c r="UEH1" s="51"/>
      <c r="UEI1" s="51"/>
      <c r="UEJ1" s="51"/>
      <c r="UEK1" s="51"/>
      <c r="UEL1" s="51"/>
      <c r="UEM1" s="51"/>
      <c r="UEN1" s="51"/>
      <c r="UEO1" s="51"/>
      <c r="UEP1" s="51"/>
      <c r="UEQ1" s="51"/>
      <c r="UER1" s="51"/>
      <c r="UES1" s="51"/>
      <c r="UET1" s="51"/>
      <c r="UEU1" s="51"/>
      <c r="UEV1" s="51"/>
      <c r="UEW1" s="51"/>
      <c r="UEX1" s="51"/>
      <c r="UEY1" s="51"/>
      <c r="UEZ1" s="51"/>
      <c r="UFA1" s="51"/>
      <c r="UFB1" s="51"/>
      <c r="UFC1" s="51"/>
      <c r="UFD1" s="51"/>
      <c r="UFE1" s="51"/>
      <c r="UFF1" s="51"/>
      <c r="UFG1" s="51"/>
      <c r="UFH1" s="51"/>
      <c r="UFI1" s="51"/>
      <c r="UFJ1" s="51"/>
      <c r="UFK1" s="51"/>
      <c r="UFL1" s="51"/>
      <c r="UFM1" s="51"/>
      <c r="UFN1" s="51"/>
      <c r="UFO1" s="51"/>
      <c r="UFP1" s="51"/>
      <c r="UFQ1" s="51"/>
      <c r="UFR1" s="51"/>
      <c r="UFS1" s="51"/>
      <c r="UFT1" s="51"/>
      <c r="UFU1" s="51"/>
      <c r="UFV1" s="51"/>
      <c r="UFW1" s="51"/>
      <c r="UFX1" s="51"/>
      <c r="UFY1" s="51"/>
      <c r="UFZ1" s="51"/>
      <c r="UGA1" s="51"/>
      <c r="UGB1" s="51"/>
      <c r="UGC1" s="51"/>
      <c r="UGD1" s="51"/>
      <c r="UGE1" s="51"/>
      <c r="UGF1" s="51"/>
      <c r="UGG1" s="51"/>
      <c r="UGH1" s="51"/>
      <c r="UGI1" s="51"/>
      <c r="UGJ1" s="51"/>
      <c r="UGK1" s="51"/>
      <c r="UGL1" s="51"/>
      <c r="UGM1" s="51"/>
      <c r="UGN1" s="51"/>
      <c r="UGO1" s="51"/>
      <c r="UGP1" s="51"/>
      <c r="UGQ1" s="51"/>
      <c r="UGR1" s="51"/>
      <c r="UGS1" s="51"/>
      <c r="UGT1" s="51"/>
      <c r="UGU1" s="51"/>
      <c r="UGV1" s="51"/>
      <c r="UGW1" s="51"/>
      <c r="UGX1" s="51"/>
      <c r="UGY1" s="51"/>
      <c r="UGZ1" s="51"/>
      <c r="UHA1" s="51"/>
      <c r="UHB1" s="51"/>
      <c r="UHC1" s="51"/>
      <c r="UHD1" s="51"/>
      <c r="UHE1" s="51"/>
      <c r="UHF1" s="51"/>
      <c r="UHG1" s="51"/>
      <c r="UHH1" s="51"/>
      <c r="UHI1" s="51"/>
      <c r="UHJ1" s="51"/>
      <c r="UHK1" s="51"/>
      <c r="UHL1" s="51"/>
      <c r="UHM1" s="51"/>
      <c r="UHN1" s="51"/>
      <c r="UHO1" s="51"/>
      <c r="UHP1" s="51"/>
      <c r="UHQ1" s="51"/>
      <c r="UHR1" s="51"/>
      <c r="UHS1" s="51"/>
      <c r="UHT1" s="51"/>
      <c r="UHU1" s="51"/>
      <c r="UHV1" s="51"/>
      <c r="UHW1" s="51"/>
      <c r="UHX1" s="51"/>
      <c r="UHY1" s="51"/>
      <c r="UHZ1" s="51"/>
      <c r="UIA1" s="51"/>
      <c r="UIB1" s="51"/>
      <c r="UIC1" s="51"/>
      <c r="UID1" s="51"/>
      <c r="UIE1" s="51"/>
      <c r="UIF1" s="51"/>
      <c r="UIG1" s="51"/>
      <c r="UIH1" s="51"/>
      <c r="UII1" s="51"/>
      <c r="UIJ1" s="51"/>
      <c r="UIK1" s="51"/>
      <c r="UIL1" s="51"/>
      <c r="UIM1" s="51"/>
      <c r="UIN1" s="51"/>
      <c r="UIO1" s="51"/>
      <c r="UIP1" s="51"/>
      <c r="UIQ1" s="51"/>
      <c r="UIR1" s="51"/>
      <c r="UIS1" s="51"/>
      <c r="UIT1" s="51"/>
      <c r="UIU1" s="51"/>
      <c r="UIV1" s="51"/>
      <c r="UIW1" s="51"/>
      <c r="UIX1" s="51"/>
      <c r="UIY1" s="51"/>
      <c r="UIZ1" s="51"/>
      <c r="UJA1" s="51"/>
      <c r="UJB1" s="51"/>
      <c r="UJC1" s="51"/>
      <c r="UJD1" s="51"/>
      <c r="UJE1" s="51"/>
      <c r="UJF1" s="51"/>
      <c r="UJG1" s="51"/>
      <c r="UJH1" s="51"/>
      <c r="UJI1" s="51"/>
      <c r="UJJ1" s="51"/>
      <c r="UJK1" s="51"/>
      <c r="UJL1" s="51"/>
      <c r="UJM1" s="51"/>
      <c r="UJN1" s="51"/>
      <c r="UJO1" s="51"/>
      <c r="UJP1" s="51"/>
      <c r="UJQ1" s="51"/>
      <c r="UJR1" s="51"/>
      <c r="UJS1" s="51"/>
      <c r="UJT1" s="51"/>
      <c r="UJU1" s="51"/>
      <c r="UJV1" s="51"/>
      <c r="UJW1" s="51"/>
      <c r="UJX1" s="51"/>
      <c r="UJY1" s="51"/>
      <c r="UJZ1" s="51"/>
      <c r="UKA1" s="51"/>
      <c r="UKB1" s="51"/>
      <c r="UKC1" s="51"/>
      <c r="UKD1" s="51"/>
      <c r="UKE1" s="51"/>
      <c r="UKF1" s="51"/>
      <c r="UKG1" s="51"/>
      <c r="UKH1" s="51"/>
      <c r="UKI1" s="51"/>
      <c r="UKJ1" s="51"/>
      <c r="UKK1" s="51"/>
      <c r="UKL1" s="51"/>
      <c r="UKM1" s="51"/>
      <c r="UKN1" s="51"/>
      <c r="UKO1" s="51"/>
      <c r="UKP1" s="51"/>
      <c r="UKQ1" s="51"/>
      <c r="UKR1" s="51"/>
      <c r="UKS1" s="51"/>
      <c r="UKT1" s="51"/>
      <c r="UKU1" s="51"/>
      <c r="UKV1" s="51"/>
      <c r="UKW1" s="51"/>
      <c r="UKX1" s="51"/>
      <c r="UKY1" s="51"/>
      <c r="UKZ1" s="51"/>
      <c r="ULA1" s="51"/>
      <c r="ULB1" s="51"/>
      <c r="ULC1" s="51"/>
      <c r="ULD1" s="51"/>
      <c r="ULE1" s="51"/>
      <c r="ULF1" s="51"/>
      <c r="ULG1" s="51"/>
      <c r="ULH1" s="51"/>
      <c r="ULI1" s="51"/>
      <c r="ULJ1" s="51"/>
      <c r="ULK1" s="51"/>
      <c r="ULL1" s="51"/>
      <c r="ULM1" s="51"/>
      <c r="ULN1" s="51"/>
      <c r="ULO1" s="51"/>
      <c r="ULP1" s="51"/>
      <c r="ULQ1" s="51"/>
      <c r="ULR1" s="51"/>
      <c r="ULS1" s="51"/>
      <c r="ULT1" s="51"/>
      <c r="ULU1" s="51"/>
      <c r="ULV1" s="51"/>
      <c r="ULW1" s="51"/>
      <c r="ULX1" s="51"/>
      <c r="ULY1" s="51"/>
      <c r="ULZ1" s="51"/>
      <c r="UMA1" s="51"/>
      <c r="UMB1" s="51"/>
      <c r="UMC1" s="51"/>
      <c r="UMD1" s="51"/>
      <c r="UME1" s="51"/>
      <c r="UMF1" s="51"/>
      <c r="UMG1" s="51"/>
      <c r="UMH1" s="51"/>
      <c r="UMI1" s="51"/>
      <c r="UMJ1" s="51"/>
      <c r="UMK1" s="51"/>
      <c r="UML1" s="51"/>
      <c r="UMM1" s="51"/>
      <c r="UMN1" s="51"/>
      <c r="UMO1" s="51"/>
      <c r="UMP1" s="51"/>
      <c r="UMQ1" s="51"/>
      <c r="UMR1" s="51"/>
      <c r="UMS1" s="51"/>
      <c r="UMT1" s="51"/>
      <c r="UMU1" s="51"/>
      <c r="UMV1" s="51"/>
      <c r="UMW1" s="51"/>
      <c r="UMX1" s="51"/>
      <c r="UMY1" s="51"/>
      <c r="UMZ1" s="51"/>
      <c r="UNA1" s="51"/>
      <c r="UNB1" s="51"/>
      <c r="UNC1" s="51"/>
      <c r="UND1" s="51"/>
      <c r="UNE1" s="51"/>
      <c r="UNF1" s="51"/>
      <c r="UNG1" s="51"/>
      <c r="UNH1" s="51"/>
      <c r="UNI1" s="51"/>
      <c r="UNJ1" s="51"/>
      <c r="UNK1" s="51"/>
      <c r="UNL1" s="51"/>
      <c r="UNM1" s="51"/>
      <c r="UNN1" s="51"/>
      <c r="UNO1" s="51"/>
      <c r="UNP1" s="51"/>
      <c r="UNQ1" s="51"/>
      <c r="UNR1" s="51"/>
      <c r="UNS1" s="51"/>
      <c r="UNT1" s="51"/>
      <c r="UNU1" s="51"/>
      <c r="UNV1" s="51"/>
      <c r="UNW1" s="51"/>
      <c r="UNX1" s="51"/>
      <c r="UNY1" s="51"/>
      <c r="UNZ1" s="51"/>
      <c r="UOA1" s="51"/>
      <c r="UOB1" s="51"/>
      <c r="UOC1" s="51"/>
      <c r="UOD1" s="51"/>
      <c r="UOE1" s="51"/>
      <c r="UOF1" s="51"/>
      <c r="UOG1" s="51"/>
      <c r="UOH1" s="51"/>
      <c r="UOI1" s="51"/>
      <c r="UOJ1" s="51"/>
      <c r="UOK1" s="51"/>
      <c r="UOL1" s="51"/>
      <c r="UOM1" s="51"/>
      <c r="UON1" s="51"/>
      <c r="UOO1" s="51"/>
      <c r="UOP1" s="51"/>
      <c r="UOQ1" s="51"/>
      <c r="UOR1" s="51"/>
      <c r="UOS1" s="51"/>
      <c r="UOT1" s="51"/>
      <c r="UOU1" s="51"/>
      <c r="UOV1" s="51"/>
      <c r="UOW1" s="51"/>
      <c r="UOX1" s="51"/>
      <c r="UOY1" s="51"/>
      <c r="UOZ1" s="51"/>
      <c r="UPA1" s="51"/>
      <c r="UPB1" s="51"/>
      <c r="UPC1" s="51"/>
      <c r="UPD1" s="51"/>
      <c r="UPE1" s="51"/>
      <c r="UPF1" s="51"/>
      <c r="UPG1" s="51"/>
      <c r="UPH1" s="51"/>
      <c r="UPI1" s="51"/>
      <c r="UPJ1" s="51"/>
      <c r="UPK1" s="51"/>
      <c r="UPL1" s="51"/>
      <c r="UPM1" s="51"/>
      <c r="UPN1" s="51"/>
      <c r="UPO1" s="51"/>
      <c r="UPP1" s="51"/>
      <c r="UPQ1" s="51"/>
      <c r="UPR1" s="51"/>
      <c r="UPS1" s="51"/>
      <c r="UPT1" s="51"/>
      <c r="UPU1" s="51"/>
      <c r="UPV1" s="51"/>
      <c r="UPW1" s="51"/>
      <c r="UPX1" s="51"/>
      <c r="UPY1" s="51"/>
      <c r="UPZ1" s="51"/>
      <c r="UQA1" s="51"/>
      <c r="UQB1" s="51"/>
      <c r="UQC1" s="51"/>
      <c r="UQD1" s="51"/>
      <c r="UQE1" s="51"/>
      <c r="UQF1" s="51"/>
      <c r="UQG1" s="51"/>
      <c r="UQH1" s="51"/>
      <c r="UQI1" s="51"/>
      <c r="UQJ1" s="51"/>
      <c r="UQK1" s="51"/>
      <c r="UQL1" s="51"/>
      <c r="UQM1" s="51"/>
      <c r="UQN1" s="51"/>
      <c r="UQO1" s="51"/>
      <c r="UQP1" s="51"/>
      <c r="UQQ1" s="51"/>
      <c r="UQR1" s="51"/>
      <c r="UQS1" s="51"/>
      <c r="UQT1" s="51"/>
      <c r="UQU1" s="51"/>
      <c r="UQV1" s="51"/>
      <c r="UQW1" s="51"/>
      <c r="UQX1" s="51"/>
      <c r="UQY1" s="51"/>
      <c r="UQZ1" s="51"/>
      <c r="URA1" s="51"/>
      <c r="URB1" s="51"/>
      <c r="URC1" s="51"/>
      <c r="URD1" s="51"/>
      <c r="URE1" s="51"/>
      <c r="URF1" s="51"/>
      <c r="URG1" s="51"/>
      <c r="URH1" s="51"/>
      <c r="URI1" s="51"/>
      <c r="URJ1" s="51"/>
      <c r="URK1" s="51"/>
      <c r="URL1" s="51"/>
      <c r="URM1" s="51"/>
      <c r="URN1" s="51"/>
      <c r="URO1" s="51"/>
      <c r="URP1" s="51"/>
      <c r="URQ1" s="51"/>
      <c r="URR1" s="51"/>
      <c r="URS1" s="51"/>
      <c r="URT1" s="51"/>
      <c r="URU1" s="51"/>
      <c r="URV1" s="51"/>
      <c r="URW1" s="51"/>
      <c r="URX1" s="51"/>
      <c r="URY1" s="51"/>
      <c r="URZ1" s="51"/>
      <c r="USA1" s="51"/>
      <c r="USB1" s="51"/>
      <c r="USC1" s="51"/>
      <c r="USD1" s="51"/>
      <c r="USE1" s="51"/>
      <c r="USF1" s="51"/>
      <c r="USG1" s="51"/>
      <c r="USH1" s="51"/>
      <c r="USI1" s="51"/>
      <c r="USJ1" s="51"/>
      <c r="USK1" s="51"/>
      <c r="USL1" s="51"/>
      <c r="USM1" s="51"/>
      <c r="USN1" s="51"/>
      <c r="USO1" s="51"/>
      <c r="USP1" s="51"/>
      <c r="USQ1" s="51"/>
      <c r="USR1" s="51"/>
      <c r="USS1" s="51"/>
      <c r="UST1" s="51"/>
      <c r="USU1" s="51"/>
      <c r="USV1" s="51"/>
      <c r="USW1" s="51"/>
      <c r="USX1" s="51"/>
      <c r="USY1" s="51"/>
      <c r="USZ1" s="51"/>
      <c r="UTA1" s="51"/>
      <c r="UTB1" s="51"/>
      <c r="UTC1" s="51"/>
      <c r="UTD1" s="51"/>
      <c r="UTE1" s="51"/>
      <c r="UTF1" s="51"/>
      <c r="UTG1" s="51"/>
      <c r="UTH1" s="51"/>
      <c r="UTI1" s="51"/>
      <c r="UTJ1" s="51"/>
      <c r="UTK1" s="51"/>
      <c r="UTL1" s="51"/>
      <c r="UTM1" s="51"/>
      <c r="UTN1" s="51"/>
      <c r="UTO1" s="51"/>
      <c r="UTP1" s="51"/>
      <c r="UTQ1" s="51"/>
      <c r="UTR1" s="51"/>
      <c r="UTS1" s="51"/>
      <c r="UTT1" s="51"/>
      <c r="UTU1" s="51"/>
      <c r="UTV1" s="51"/>
      <c r="UTW1" s="51"/>
      <c r="UTX1" s="51"/>
      <c r="UTY1" s="51"/>
      <c r="UTZ1" s="51"/>
      <c r="UUA1" s="51"/>
      <c r="UUB1" s="51"/>
      <c r="UUC1" s="51"/>
      <c r="UUD1" s="51"/>
      <c r="UUE1" s="51"/>
      <c r="UUF1" s="51"/>
      <c r="UUG1" s="51"/>
      <c r="UUH1" s="51"/>
      <c r="UUI1" s="51"/>
      <c r="UUJ1" s="51"/>
      <c r="UUK1" s="51"/>
      <c r="UUL1" s="51"/>
      <c r="UUM1" s="51"/>
      <c r="UUN1" s="51"/>
      <c r="UUO1" s="51"/>
      <c r="UUP1" s="51"/>
      <c r="UUQ1" s="51"/>
      <c r="UUR1" s="51"/>
      <c r="UUS1" s="51"/>
      <c r="UUT1" s="51"/>
      <c r="UUU1" s="51"/>
      <c r="UUV1" s="51"/>
      <c r="UUW1" s="51"/>
      <c r="UUX1" s="51"/>
      <c r="UUY1" s="51"/>
      <c r="UUZ1" s="51"/>
      <c r="UVA1" s="51"/>
      <c r="UVB1" s="51"/>
      <c r="UVC1" s="51"/>
      <c r="UVD1" s="51"/>
      <c r="UVE1" s="51"/>
      <c r="UVF1" s="51"/>
      <c r="UVG1" s="51"/>
      <c r="UVH1" s="51"/>
      <c r="UVI1" s="51"/>
      <c r="UVJ1" s="51"/>
      <c r="UVK1" s="51"/>
      <c r="UVL1" s="51"/>
      <c r="UVM1" s="51"/>
      <c r="UVN1" s="51"/>
      <c r="UVO1" s="51"/>
      <c r="UVP1" s="51"/>
      <c r="UVQ1" s="51"/>
      <c r="UVR1" s="51"/>
      <c r="UVS1" s="51"/>
      <c r="UVT1" s="51"/>
      <c r="UVU1" s="51"/>
      <c r="UVV1" s="51"/>
      <c r="UVW1" s="51"/>
      <c r="UVX1" s="51"/>
      <c r="UVY1" s="51"/>
      <c r="UVZ1" s="51"/>
      <c r="UWA1" s="51"/>
      <c r="UWB1" s="51"/>
      <c r="UWC1" s="51"/>
      <c r="UWD1" s="51"/>
      <c r="UWE1" s="51"/>
      <c r="UWF1" s="51"/>
      <c r="UWG1" s="51"/>
      <c r="UWH1" s="51"/>
      <c r="UWI1" s="51"/>
      <c r="UWJ1" s="51"/>
      <c r="UWK1" s="51"/>
      <c r="UWL1" s="51"/>
      <c r="UWM1" s="51"/>
      <c r="UWN1" s="51"/>
      <c r="UWO1" s="51"/>
      <c r="UWP1" s="51"/>
      <c r="UWQ1" s="51"/>
      <c r="UWR1" s="51"/>
      <c r="UWS1" s="51"/>
      <c r="UWT1" s="51"/>
      <c r="UWU1" s="51"/>
      <c r="UWV1" s="51"/>
      <c r="UWW1" s="51"/>
      <c r="UWX1" s="51"/>
      <c r="UWY1" s="51"/>
      <c r="UWZ1" s="51"/>
      <c r="UXA1" s="51"/>
      <c r="UXB1" s="51"/>
      <c r="UXC1" s="51"/>
      <c r="UXD1" s="51"/>
      <c r="UXE1" s="51"/>
      <c r="UXF1" s="51"/>
      <c r="UXG1" s="51"/>
      <c r="UXH1" s="51"/>
      <c r="UXI1" s="51"/>
      <c r="UXJ1" s="51"/>
      <c r="UXK1" s="51"/>
      <c r="UXL1" s="51"/>
      <c r="UXM1" s="51"/>
      <c r="UXN1" s="51"/>
      <c r="UXO1" s="51"/>
      <c r="UXP1" s="51"/>
      <c r="UXQ1" s="51"/>
      <c r="UXR1" s="51"/>
      <c r="UXS1" s="51"/>
      <c r="UXT1" s="51"/>
      <c r="UXU1" s="51"/>
      <c r="UXV1" s="51"/>
      <c r="UXW1" s="51"/>
      <c r="UXX1" s="51"/>
      <c r="UXY1" s="51"/>
      <c r="UXZ1" s="51"/>
      <c r="UYA1" s="51"/>
      <c r="UYB1" s="51"/>
      <c r="UYC1" s="51"/>
      <c r="UYD1" s="51"/>
      <c r="UYE1" s="51"/>
      <c r="UYF1" s="51"/>
      <c r="UYG1" s="51"/>
      <c r="UYH1" s="51"/>
      <c r="UYI1" s="51"/>
      <c r="UYJ1" s="51"/>
      <c r="UYK1" s="51"/>
      <c r="UYL1" s="51"/>
      <c r="UYM1" s="51"/>
      <c r="UYN1" s="51"/>
      <c r="UYO1" s="51"/>
      <c r="UYP1" s="51"/>
      <c r="UYQ1" s="51"/>
      <c r="UYR1" s="51"/>
      <c r="UYS1" s="51"/>
      <c r="UYT1" s="51"/>
      <c r="UYU1" s="51"/>
      <c r="UYV1" s="51"/>
      <c r="UYW1" s="51"/>
      <c r="UYX1" s="51"/>
      <c r="UYY1" s="51"/>
      <c r="UYZ1" s="51"/>
      <c r="UZA1" s="51"/>
      <c r="UZB1" s="51"/>
      <c r="UZC1" s="51"/>
      <c r="UZD1" s="51"/>
      <c r="UZE1" s="51"/>
      <c r="UZF1" s="51"/>
      <c r="UZG1" s="51"/>
      <c r="UZH1" s="51"/>
      <c r="UZI1" s="51"/>
      <c r="UZJ1" s="51"/>
      <c r="UZK1" s="51"/>
      <c r="UZL1" s="51"/>
      <c r="UZM1" s="51"/>
      <c r="UZN1" s="51"/>
      <c r="UZO1" s="51"/>
      <c r="UZP1" s="51"/>
      <c r="UZQ1" s="51"/>
      <c r="UZR1" s="51"/>
      <c r="UZS1" s="51"/>
      <c r="UZT1" s="51"/>
      <c r="UZU1" s="51"/>
      <c r="UZV1" s="51"/>
      <c r="UZW1" s="51"/>
      <c r="UZX1" s="51"/>
      <c r="UZY1" s="51"/>
      <c r="UZZ1" s="51"/>
      <c r="VAA1" s="51"/>
      <c r="VAB1" s="51"/>
      <c r="VAC1" s="51"/>
      <c r="VAD1" s="51"/>
      <c r="VAE1" s="51"/>
      <c r="VAF1" s="51"/>
      <c r="VAG1" s="51"/>
      <c r="VAH1" s="51"/>
      <c r="VAI1" s="51"/>
      <c r="VAJ1" s="51"/>
      <c r="VAK1" s="51"/>
      <c r="VAL1" s="51"/>
      <c r="VAM1" s="51"/>
      <c r="VAN1" s="51"/>
      <c r="VAO1" s="51"/>
      <c r="VAP1" s="51"/>
      <c r="VAQ1" s="51"/>
      <c r="VAR1" s="51"/>
      <c r="VAS1" s="51"/>
      <c r="VAT1" s="51"/>
      <c r="VAU1" s="51"/>
      <c r="VAV1" s="51"/>
      <c r="VAW1" s="51"/>
      <c r="VAX1" s="51"/>
      <c r="VAY1" s="51"/>
      <c r="VAZ1" s="51"/>
      <c r="VBA1" s="51"/>
      <c r="VBB1" s="51"/>
      <c r="VBC1" s="51"/>
      <c r="VBD1" s="51"/>
      <c r="VBE1" s="51"/>
      <c r="VBF1" s="51"/>
      <c r="VBG1" s="51"/>
      <c r="VBH1" s="51"/>
      <c r="VBI1" s="51"/>
      <c r="VBJ1" s="51"/>
      <c r="VBK1" s="51"/>
      <c r="VBL1" s="51"/>
      <c r="VBM1" s="51"/>
      <c r="VBN1" s="51"/>
      <c r="VBO1" s="51"/>
      <c r="VBP1" s="51"/>
      <c r="VBQ1" s="51"/>
      <c r="VBR1" s="51"/>
      <c r="VBS1" s="51"/>
      <c r="VBT1" s="51"/>
      <c r="VBU1" s="51"/>
      <c r="VBV1" s="51"/>
      <c r="VBW1" s="51"/>
      <c r="VBX1" s="51"/>
      <c r="VBY1" s="51"/>
      <c r="VBZ1" s="51"/>
      <c r="VCA1" s="51"/>
      <c r="VCB1" s="51"/>
      <c r="VCC1" s="51"/>
      <c r="VCD1" s="51"/>
      <c r="VCE1" s="51"/>
      <c r="VCF1" s="51"/>
      <c r="VCG1" s="51"/>
      <c r="VCH1" s="51"/>
      <c r="VCI1" s="51"/>
      <c r="VCJ1" s="51"/>
      <c r="VCK1" s="51"/>
      <c r="VCL1" s="51"/>
      <c r="VCM1" s="51"/>
      <c r="VCN1" s="51"/>
      <c r="VCO1" s="51"/>
      <c r="VCP1" s="51"/>
      <c r="VCQ1" s="51"/>
      <c r="VCR1" s="51"/>
      <c r="VCS1" s="51"/>
      <c r="VCT1" s="51"/>
      <c r="VCU1" s="51"/>
      <c r="VCV1" s="51"/>
      <c r="VCW1" s="51"/>
      <c r="VCX1" s="51"/>
      <c r="VCY1" s="51"/>
      <c r="VCZ1" s="51"/>
      <c r="VDA1" s="51"/>
      <c r="VDB1" s="51"/>
      <c r="VDC1" s="51"/>
      <c r="VDD1" s="51"/>
      <c r="VDE1" s="51"/>
      <c r="VDF1" s="51"/>
      <c r="VDG1" s="51"/>
      <c r="VDH1" s="51"/>
      <c r="VDI1" s="51"/>
      <c r="VDJ1" s="51"/>
      <c r="VDK1" s="51"/>
      <c r="VDL1" s="51"/>
      <c r="VDM1" s="51"/>
      <c r="VDN1" s="51"/>
      <c r="VDO1" s="51"/>
      <c r="VDP1" s="51"/>
      <c r="VDQ1" s="51"/>
      <c r="VDR1" s="51"/>
      <c r="VDS1" s="51"/>
      <c r="VDT1" s="51"/>
      <c r="VDU1" s="51"/>
      <c r="VDV1" s="51"/>
      <c r="VDW1" s="51"/>
      <c r="VDX1" s="51"/>
      <c r="VDY1" s="51"/>
      <c r="VDZ1" s="51"/>
      <c r="VEA1" s="51"/>
      <c r="VEB1" s="51"/>
      <c r="VEC1" s="51"/>
      <c r="VED1" s="51"/>
      <c r="VEE1" s="51"/>
      <c r="VEF1" s="51"/>
      <c r="VEG1" s="51"/>
      <c r="VEH1" s="51"/>
      <c r="VEI1" s="51"/>
      <c r="VEJ1" s="51"/>
      <c r="VEK1" s="51"/>
      <c r="VEL1" s="51"/>
      <c r="VEM1" s="51"/>
      <c r="VEN1" s="51"/>
      <c r="VEO1" s="51"/>
      <c r="VEP1" s="51"/>
      <c r="VEQ1" s="51"/>
      <c r="VER1" s="51"/>
      <c r="VES1" s="51"/>
      <c r="VET1" s="51"/>
      <c r="VEU1" s="51"/>
      <c r="VEV1" s="51"/>
      <c r="VEW1" s="51"/>
      <c r="VEX1" s="51"/>
      <c r="VEY1" s="51"/>
      <c r="VEZ1" s="51"/>
      <c r="VFA1" s="51"/>
      <c r="VFB1" s="51"/>
      <c r="VFC1" s="51"/>
      <c r="VFD1" s="51"/>
      <c r="VFE1" s="51"/>
      <c r="VFF1" s="51"/>
      <c r="VFG1" s="51"/>
      <c r="VFH1" s="51"/>
      <c r="VFI1" s="51"/>
      <c r="VFJ1" s="51"/>
      <c r="VFK1" s="51"/>
      <c r="VFL1" s="51"/>
      <c r="VFM1" s="51"/>
      <c r="VFN1" s="51"/>
      <c r="VFO1" s="51"/>
      <c r="VFP1" s="51"/>
      <c r="VFQ1" s="51"/>
      <c r="VFR1" s="51"/>
      <c r="VFS1" s="51"/>
      <c r="VFT1" s="51"/>
      <c r="VFU1" s="51"/>
      <c r="VFV1" s="51"/>
      <c r="VFW1" s="51"/>
      <c r="VFX1" s="51"/>
      <c r="VFY1" s="51"/>
      <c r="VFZ1" s="51"/>
      <c r="VGA1" s="51"/>
      <c r="VGB1" s="51"/>
      <c r="VGC1" s="51"/>
      <c r="VGD1" s="51"/>
      <c r="VGE1" s="51"/>
      <c r="VGF1" s="51"/>
      <c r="VGG1" s="51"/>
      <c r="VGH1" s="51"/>
      <c r="VGI1" s="51"/>
      <c r="VGJ1" s="51"/>
      <c r="VGK1" s="51"/>
      <c r="VGL1" s="51"/>
      <c r="VGM1" s="51"/>
      <c r="VGN1" s="51"/>
      <c r="VGO1" s="51"/>
      <c r="VGP1" s="51"/>
      <c r="VGQ1" s="51"/>
      <c r="VGR1" s="51"/>
      <c r="VGS1" s="51"/>
      <c r="VGT1" s="51"/>
      <c r="VGU1" s="51"/>
      <c r="VGV1" s="51"/>
      <c r="VGW1" s="51"/>
      <c r="VGX1" s="51"/>
      <c r="VGY1" s="51"/>
      <c r="VGZ1" s="51"/>
      <c r="VHA1" s="51"/>
      <c r="VHB1" s="51"/>
      <c r="VHC1" s="51"/>
      <c r="VHD1" s="51"/>
      <c r="VHE1" s="51"/>
      <c r="VHF1" s="51"/>
      <c r="VHG1" s="51"/>
      <c r="VHH1" s="51"/>
      <c r="VHI1" s="51"/>
      <c r="VHJ1" s="51"/>
      <c r="VHK1" s="51"/>
      <c r="VHL1" s="51"/>
      <c r="VHM1" s="51"/>
      <c r="VHN1" s="51"/>
      <c r="VHO1" s="51"/>
      <c r="VHP1" s="51"/>
      <c r="VHQ1" s="51"/>
      <c r="VHR1" s="51"/>
      <c r="VHS1" s="51"/>
      <c r="VHT1" s="51"/>
      <c r="VHU1" s="51"/>
      <c r="VHV1" s="51"/>
      <c r="VHW1" s="51"/>
      <c r="VHX1" s="51"/>
      <c r="VHY1" s="51"/>
      <c r="VHZ1" s="51"/>
      <c r="VIA1" s="51"/>
      <c r="VIB1" s="51"/>
      <c r="VIC1" s="51"/>
      <c r="VID1" s="51"/>
      <c r="VIE1" s="51"/>
      <c r="VIF1" s="51"/>
      <c r="VIG1" s="51"/>
      <c r="VIH1" s="51"/>
      <c r="VII1" s="51"/>
      <c r="VIJ1" s="51"/>
      <c r="VIK1" s="51"/>
      <c r="VIL1" s="51"/>
      <c r="VIM1" s="51"/>
      <c r="VIN1" s="51"/>
      <c r="VIO1" s="51"/>
      <c r="VIP1" s="51"/>
      <c r="VIQ1" s="51"/>
      <c r="VIR1" s="51"/>
      <c r="VIS1" s="51"/>
      <c r="VIT1" s="51"/>
      <c r="VIU1" s="51"/>
      <c r="VIV1" s="51"/>
      <c r="VIW1" s="51"/>
      <c r="VIX1" s="51"/>
      <c r="VIY1" s="51"/>
      <c r="VIZ1" s="51"/>
      <c r="VJA1" s="51"/>
      <c r="VJB1" s="51"/>
      <c r="VJC1" s="51"/>
      <c r="VJD1" s="51"/>
      <c r="VJE1" s="51"/>
      <c r="VJF1" s="51"/>
      <c r="VJG1" s="51"/>
      <c r="VJH1" s="51"/>
      <c r="VJI1" s="51"/>
      <c r="VJJ1" s="51"/>
      <c r="VJK1" s="51"/>
      <c r="VJL1" s="51"/>
      <c r="VJM1" s="51"/>
      <c r="VJN1" s="51"/>
      <c r="VJO1" s="51"/>
      <c r="VJP1" s="51"/>
      <c r="VJQ1" s="51"/>
      <c r="VJR1" s="51"/>
      <c r="VJS1" s="51"/>
      <c r="VJT1" s="51"/>
      <c r="VJU1" s="51"/>
      <c r="VJV1" s="51"/>
      <c r="VJW1" s="51"/>
      <c r="VJX1" s="51"/>
      <c r="VJY1" s="51"/>
      <c r="VJZ1" s="51"/>
      <c r="VKA1" s="51"/>
      <c r="VKB1" s="51"/>
      <c r="VKC1" s="51"/>
      <c r="VKD1" s="51"/>
      <c r="VKE1" s="51"/>
      <c r="VKF1" s="51"/>
      <c r="VKG1" s="51"/>
      <c r="VKH1" s="51"/>
      <c r="VKI1" s="51"/>
      <c r="VKJ1" s="51"/>
      <c r="VKK1" s="51"/>
      <c r="VKL1" s="51"/>
      <c r="VKM1" s="51"/>
      <c r="VKN1" s="51"/>
      <c r="VKO1" s="51"/>
      <c r="VKP1" s="51"/>
      <c r="VKQ1" s="51"/>
      <c r="VKR1" s="51"/>
      <c r="VKS1" s="51"/>
      <c r="VKT1" s="51"/>
      <c r="VKU1" s="51"/>
      <c r="VKV1" s="51"/>
      <c r="VKW1" s="51"/>
      <c r="VKX1" s="51"/>
      <c r="VKY1" s="51"/>
      <c r="VKZ1" s="51"/>
      <c r="VLA1" s="51"/>
      <c r="VLB1" s="51"/>
      <c r="VLC1" s="51"/>
      <c r="VLD1" s="51"/>
      <c r="VLE1" s="51"/>
      <c r="VLF1" s="51"/>
      <c r="VLG1" s="51"/>
      <c r="VLH1" s="51"/>
      <c r="VLI1" s="51"/>
      <c r="VLJ1" s="51"/>
      <c r="VLK1" s="51"/>
      <c r="VLL1" s="51"/>
      <c r="VLM1" s="51"/>
      <c r="VLN1" s="51"/>
      <c r="VLO1" s="51"/>
      <c r="VLP1" s="51"/>
      <c r="VLQ1" s="51"/>
      <c r="VLR1" s="51"/>
      <c r="VLS1" s="51"/>
      <c r="VLT1" s="51"/>
      <c r="VLU1" s="51"/>
      <c r="VLV1" s="51"/>
      <c r="VLW1" s="51"/>
      <c r="VLX1" s="51"/>
      <c r="VLY1" s="51"/>
      <c r="VLZ1" s="51"/>
      <c r="VMA1" s="51"/>
      <c r="VMB1" s="51"/>
      <c r="VMC1" s="51"/>
      <c r="VMD1" s="51"/>
      <c r="VME1" s="51"/>
      <c r="VMF1" s="51"/>
      <c r="VMG1" s="51"/>
      <c r="VMH1" s="51"/>
      <c r="VMI1" s="51"/>
      <c r="VMJ1" s="51"/>
      <c r="VMK1" s="51"/>
      <c r="VML1" s="51"/>
      <c r="VMM1" s="51"/>
      <c r="VMN1" s="51"/>
      <c r="VMO1" s="51"/>
      <c r="VMP1" s="51"/>
      <c r="VMQ1" s="51"/>
      <c r="VMR1" s="51"/>
      <c r="VMS1" s="51"/>
      <c r="VMT1" s="51"/>
      <c r="VMU1" s="51"/>
      <c r="VMV1" s="51"/>
      <c r="VMW1" s="51"/>
      <c r="VMX1" s="51"/>
      <c r="VMY1" s="51"/>
      <c r="VMZ1" s="51"/>
      <c r="VNA1" s="51"/>
      <c r="VNB1" s="51"/>
      <c r="VNC1" s="51"/>
      <c r="VND1" s="51"/>
      <c r="VNE1" s="51"/>
      <c r="VNF1" s="51"/>
      <c r="VNG1" s="51"/>
      <c r="VNH1" s="51"/>
      <c r="VNI1" s="51"/>
      <c r="VNJ1" s="51"/>
      <c r="VNK1" s="51"/>
      <c r="VNL1" s="51"/>
      <c r="VNM1" s="51"/>
      <c r="VNN1" s="51"/>
      <c r="VNO1" s="51"/>
      <c r="VNP1" s="51"/>
      <c r="VNQ1" s="51"/>
      <c r="VNR1" s="51"/>
      <c r="VNS1" s="51"/>
      <c r="VNT1" s="51"/>
      <c r="VNU1" s="51"/>
      <c r="VNV1" s="51"/>
      <c r="VNW1" s="51"/>
      <c r="VNX1" s="51"/>
      <c r="VNY1" s="51"/>
      <c r="VNZ1" s="51"/>
      <c r="VOA1" s="51"/>
      <c r="VOB1" s="51"/>
      <c r="VOC1" s="51"/>
      <c r="VOD1" s="51"/>
      <c r="VOE1" s="51"/>
      <c r="VOF1" s="51"/>
      <c r="VOG1" s="51"/>
      <c r="VOH1" s="51"/>
      <c r="VOI1" s="51"/>
      <c r="VOJ1" s="51"/>
      <c r="VOK1" s="51"/>
      <c r="VOL1" s="51"/>
      <c r="VOM1" s="51"/>
      <c r="VON1" s="51"/>
      <c r="VOO1" s="51"/>
      <c r="VOP1" s="51"/>
      <c r="VOQ1" s="51"/>
      <c r="VOR1" s="51"/>
      <c r="VOS1" s="51"/>
      <c r="VOT1" s="51"/>
      <c r="VOU1" s="51"/>
      <c r="VOV1" s="51"/>
      <c r="VOW1" s="51"/>
      <c r="VOX1" s="51"/>
      <c r="VOY1" s="51"/>
      <c r="VOZ1" s="51"/>
      <c r="VPA1" s="51"/>
      <c r="VPB1" s="51"/>
      <c r="VPC1" s="51"/>
      <c r="VPD1" s="51"/>
      <c r="VPE1" s="51"/>
      <c r="VPF1" s="51"/>
      <c r="VPG1" s="51"/>
      <c r="VPH1" s="51"/>
      <c r="VPI1" s="51"/>
      <c r="VPJ1" s="51"/>
      <c r="VPK1" s="51"/>
      <c r="VPL1" s="51"/>
      <c r="VPM1" s="51"/>
      <c r="VPN1" s="51"/>
      <c r="VPO1" s="51"/>
      <c r="VPP1" s="51"/>
      <c r="VPQ1" s="51"/>
      <c r="VPR1" s="51"/>
      <c r="VPS1" s="51"/>
      <c r="VPT1" s="51"/>
      <c r="VPU1" s="51"/>
      <c r="VPV1" s="51"/>
      <c r="VPW1" s="51"/>
      <c r="VPX1" s="51"/>
      <c r="VPY1" s="51"/>
      <c r="VPZ1" s="51"/>
      <c r="VQA1" s="51"/>
      <c r="VQB1" s="51"/>
      <c r="VQC1" s="51"/>
      <c r="VQD1" s="51"/>
      <c r="VQE1" s="51"/>
      <c r="VQF1" s="51"/>
      <c r="VQG1" s="51"/>
      <c r="VQH1" s="51"/>
      <c r="VQI1" s="51"/>
      <c r="VQJ1" s="51"/>
      <c r="VQK1" s="51"/>
      <c r="VQL1" s="51"/>
      <c r="VQM1" s="51"/>
      <c r="VQN1" s="51"/>
      <c r="VQO1" s="51"/>
      <c r="VQP1" s="51"/>
      <c r="VQQ1" s="51"/>
      <c r="VQR1" s="51"/>
      <c r="VQS1" s="51"/>
      <c r="VQT1" s="51"/>
      <c r="VQU1" s="51"/>
      <c r="VQV1" s="51"/>
      <c r="VQW1" s="51"/>
      <c r="VQX1" s="51"/>
      <c r="VQY1" s="51"/>
      <c r="VQZ1" s="51"/>
      <c r="VRA1" s="51"/>
      <c r="VRB1" s="51"/>
      <c r="VRC1" s="51"/>
      <c r="VRD1" s="51"/>
      <c r="VRE1" s="51"/>
      <c r="VRF1" s="51"/>
      <c r="VRG1" s="51"/>
      <c r="VRH1" s="51"/>
      <c r="VRI1" s="51"/>
      <c r="VRJ1" s="51"/>
      <c r="VRK1" s="51"/>
      <c r="VRL1" s="51"/>
      <c r="VRM1" s="51"/>
      <c r="VRN1" s="51"/>
      <c r="VRO1" s="51"/>
      <c r="VRP1" s="51"/>
      <c r="VRQ1" s="51"/>
      <c r="VRR1" s="51"/>
      <c r="VRS1" s="51"/>
      <c r="VRT1" s="51"/>
      <c r="VRU1" s="51"/>
      <c r="VRV1" s="51"/>
      <c r="VRW1" s="51"/>
      <c r="VRX1" s="51"/>
      <c r="VRY1" s="51"/>
      <c r="VRZ1" s="51"/>
      <c r="VSA1" s="51"/>
      <c r="VSB1" s="51"/>
      <c r="VSC1" s="51"/>
      <c r="VSD1" s="51"/>
      <c r="VSE1" s="51"/>
      <c r="VSF1" s="51"/>
      <c r="VSG1" s="51"/>
      <c r="VSH1" s="51"/>
      <c r="VSI1" s="51"/>
      <c r="VSJ1" s="51"/>
      <c r="VSK1" s="51"/>
      <c r="VSL1" s="51"/>
      <c r="VSM1" s="51"/>
      <c r="VSN1" s="51"/>
      <c r="VSO1" s="51"/>
      <c r="VSP1" s="51"/>
      <c r="VSQ1" s="51"/>
      <c r="VSR1" s="51"/>
      <c r="VSS1" s="51"/>
      <c r="VST1" s="51"/>
      <c r="VSU1" s="51"/>
      <c r="VSV1" s="51"/>
      <c r="VSW1" s="51"/>
      <c r="VSX1" s="51"/>
      <c r="VSY1" s="51"/>
      <c r="VSZ1" s="51"/>
      <c r="VTA1" s="51"/>
      <c r="VTB1" s="51"/>
      <c r="VTC1" s="51"/>
      <c r="VTD1" s="51"/>
      <c r="VTE1" s="51"/>
      <c r="VTF1" s="51"/>
      <c r="VTG1" s="51"/>
      <c r="VTH1" s="51"/>
      <c r="VTI1" s="51"/>
      <c r="VTJ1" s="51"/>
      <c r="VTK1" s="51"/>
      <c r="VTL1" s="51"/>
      <c r="VTM1" s="51"/>
      <c r="VTN1" s="51"/>
      <c r="VTO1" s="51"/>
      <c r="VTP1" s="51"/>
      <c r="VTQ1" s="51"/>
      <c r="VTR1" s="51"/>
      <c r="VTS1" s="51"/>
      <c r="VTT1" s="51"/>
      <c r="VTU1" s="51"/>
      <c r="VTV1" s="51"/>
      <c r="VTW1" s="51"/>
      <c r="VTX1" s="51"/>
      <c r="VTY1" s="51"/>
      <c r="VTZ1" s="51"/>
      <c r="VUA1" s="51"/>
      <c r="VUB1" s="51"/>
      <c r="VUC1" s="51"/>
      <c r="VUD1" s="51"/>
      <c r="VUE1" s="51"/>
      <c r="VUF1" s="51"/>
      <c r="VUG1" s="51"/>
      <c r="VUH1" s="51"/>
      <c r="VUI1" s="51"/>
      <c r="VUJ1" s="51"/>
      <c r="VUK1" s="51"/>
      <c r="VUL1" s="51"/>
      <c r="VUM1" s="51"/>
      <c r="VUN1" s="51"/>
      <c r="VUO1" s="51"/>
      <c r="VUP1" s="51"/>
      <c r="VUQ1" s="51"/>
      <c r="VUR1" s="51"/>
      <c r="VUS1" s="51"/>
      <c r="VUT1" s="51"/>
      <c r="VUU1" s="51"/>
      <c r="VUV1" s="51"/>
      <c r="VUW1" s="51"/>
      <c r="VUX1" s="51"/>
      <c r="VUY1" s="51"/>
      <c r="VUZ1" s="51"/>
      <c r="VVA1" s="51"/>
      <c r="VVB1" s="51"/>
      <c r="VVC1" s="51"/>
      <c r="VVD1" s="51"/>
      <c r="VVE1" s="51"/>
      <c r="VVF1" s="51"/>
      <c r="VVG1" s="51"/>
      <c r="VVH1" s="51"/>
      <c r="VVI1" s="51"/>
      <c r="VVJ1" s="51"/>
      <c r="VVK1" s="51"/>
      <c r="VVL1" s="51"/>
      <c r="VVM1" s="51"/>
      <c r="VVN1" s="51"/>
      <c r="VVO1" s="51"/>
      <c r="VVP1" s="51"/>
      <c r="VVQ1" s="51"/>
      <c r="VVR1" s="51"/>
      <c r="VVS1" s="51"/>
      <c r="VVT1" s="51"/>
      <c r="VVU1" s="51"/>
      <c r="VVV1" s="51"/>
      <c r="VVW1" s="51"/>
      <c r="VVX1" s="51"/>
      <c r="VVY1" s="51"/>
      <c r="VVZ1" s="51"/>
      <c r="VWA1" s="51"/>
      <c r="VWB1" s="51"/>
      <c r="VWC1" s="51"/>
      <c r="VWD1" s="51"/>
      <c r="VWE1" s="51"/>
      <c r="VWF1" s="51"/>
      <c r="VWG1" s="51"/>
      <c r="VWH1" s="51"/>
      <c r="VWI1" s="51"/>
      <c r="VWJ1" s="51"/>
      <c r="VWK1" s="51"/>
      <c r="VWL1" s="51"/>
      <c r="VWM1" s="51"/>
      <c r="VWN1" s="51"/>
      <c r="VWO1" s="51"/>
      <c r="VWP1" s="51"/>
      <c r="VWQ1" s="51"/>
      <c r="VWR1" s="51"/>
      <c r="VWS1" s="51"/>
      <c r="VWT1" s="51"/>
      <c r="VWU1" s="51"/>
      <c r="VWV1" s="51"/>
      <c r="VWW1" s="51"/>
      <c r="VWX1" s="51"/>
      <c r="VWY1" s="51"/>
      <c r="VWZ1" s="51"/>
      <c r="VXA1" s="51"/>
      <c r="VXB1" s="51"/>
      <c r="VXC1" s="51"/>
      <c r="VXD1" s="51"/>
      <c r="VXE1" s="51"/>
      <c r="VXF1" s="51"/>
      <c r="VXG1" s="51"/>
      <c r="VXH1" s="51"/>
      <c r="VXI1" s="51"/>
      <c r="VXJ1" s="51"/>
      <c r="VXK1" s="51"/>
      <c r="VXL1" s="51"/>
      <c r="VXM1" s="51"/>
      <c r="VXN1" s="51"/>
      <c r="VXO1" s="51"/>
      <c r="VXP1" s="51"/>
      <c r="VXQ1" s="51"/>
      <c r="VXR1" s="51"/>
      <c r="VXS1" s="51"/>
      <c r="VXT1" s="51"/>
      <c r="VXU1" s="51"/>
      <c r="VXV1" s="51"/>
      <c r="VXW1" s="51"/>
      <c r="VXX1" s="51"/>
      <c r="VXY1" s="51"/>
      <c r="VXZ1" s="51"/>
      <c r="VYA1" s="51"/>
      <c r="VYB1" s="51"/>
      <c r="VYC1" s="51"/>
      <c r="VYD1" s="51"/>
      <c r="VYE1" s="51"/>
      <c r="VYF1" s="51"/>
      <c r="VYG1" s="51"/>
      <c r="VYH1" s="51"/>
      <c r="VYI1" s="51"/>
      <c r="VYJ1" s="51"/>
      <c r="VYK1" s="51"/>
      <c r="VYL1" s="51"/>
      <c r="VYM1" s="51"/>
      <c r="VYN1" s="51"/>
      <c r="VYO1" s="51"/>
      <c r="VYP1" s="51"/>
      <c r="VYQ1" s="51"/>
      <c r="VYR1" s="51"/>
      <c r="VYS1" s="51"/>
      <c r="VYT1" s="51"/>
      <c r="VYU1" s="51"/>
      <c r="VYV1" s="51"/>
      <c r="VYW1" s="51"/>
      <c r="VYX1" s="51"/>
      <c r="VYY1" s="51"/>
      <c r="VYZ1" s="51"/>
      <c r="VZA1" s="51"/>
      <c r="VZB1" s="51"/>
      <c r="VZC1" s="51"/>
      <c r="VZD1" s="51"/>
      <c r="VZE1" s="51"/>
      <c r="VZF1" s="51"/>
      <c r="VZG1" s="51"/>
      <c r="VZH1" s="51"/>
      <c r="VZI1" s="51"/>
      <c r="VZJ1" s="51"/>
      <c r="VZK1" s="51"/>
      <c r="VZL1" s="51"/>
      <c r="VZM1" s="51"/>
      <c r="VZN1" s="51"/>
      <c r="VZO1" s="51"/>
      <c r="VZP1" s="51"/>
      <c r="VZQ1" s="51"/>
      <c r="VZR1" s="51"/>
      <c r="VZS1" s="51"/>
      <c r="VZT1" s="51"/>
      <c r="VZU1" s="51"/>
      <c r="VZV1" s="51"/>
      <c r="VZW1" s="51"/>
      <c r="VZX1" s="51"/>
      <c r="VZY1" s="51"/>
      <c r="VZZ1" s="51"/>
      <c r="WAA1" s="51"/>
      <c r="WAB1" s="51"/>
      <c r="WAC1" s="51"/>
      <c r="WAD1" s="51"/>
      <c r="WAE1" s="51"/>
      <c r="WAF1" s="51"/>
      <c r="WAG1" s="51"/>
      <c r="WAH1" s="51"/>
      <c r="WAI1" s="51"/>
      <c r="WAJ1" s="51"/>
      <c r="WAK1" s="51"/>
      <c r="WAL1" s="51"/>
      <c r="WAM1" s="51"/>
      <c r="WAN1" s="51"/>
      <c r="WAO1" s="51"/>
      <c r="WAP1" s="51"/>
      <c r="WAQ1" s="51"/>
      <c r="WAR1" s="51"/>
      <c r="WAS1" s="51"/>
      <c r="WAT1" s="51"/>
      <c r="WAU1" s="51"/>
      <c r="WAV1" s="51"/>
      <c r="WAW1" s="51"/>
      <c r="WAX1" s="51"/>
      <c r="WAY1" s="51"/>
      <c r="WAZ1" s="51"/>
      <c r="WBA1" s="51"/>
      <c r="WBB1" s="51"/>
      <c r="WBC1" s="51"/>
      <c r="WBD1" s="51"/>
      <c r="WBE1" s="51"/>
      <c r="WBF1" s="51"/>
      <c r="WBG1" s="51"/>
      <c r="WBH1" s="51"/>
      <c r="WBI1" s="51"/>
      <c r="WBJ1" s="51"/>
      <c r="WBK1" s="51"/>
      <c r="WBL1" s="51"/>
      <c r="WBM1" s="51"/>
      <c r="WBN1" s="51"/>
      <c r="WBO1" s="51"/>
      <c r="WBP1" s="51"/>
      <c r="WBQ1" s="51"/>
      <c r="WBR1" s="51"/>
      <c r="WBS1" s="51"/>
      <c r="WBT1" s="51"/>
      <c r="WBU1" s="51"/>
      <c r="WBV1" s="51"/>
      <c r="WBW1" s="51"/>
      <c r="WBX1" s="51"/>
      <c r="WBY1" s="51"/>
      <c r="WBZ1" s="51"/>
      <c r="WCA1" s="51"/>
      <c r="WCB1" s="51"/>
      <c r="WCC1" s="51"/>
      <c r="WCD1" s="51"/>
      <c r="WCE1" s="51"/>
      <c r="WCF1" s="51"/>
      <c r="WCG1" s="51"/>
      <c r="WCH1" s="51"/>
      <c r="WCI1" s="51"/>
      <c r="WCJ1" s="51"/>
      <c r="WCK1" s="51"/>
      <c r="WCL1" s="51"/>
      <c r="WCM1" s="51"/>
      <c r="WCN1" s="51"/>
      <c r="WCO1" s="51"/>
      <c r="WCP1" s="51"/>
      <c r="WCQ1" s="51"/>
      <c r="WCR1" s="51"/>
      <c r="WCS1" s="51"/>
      <c r="WCT1" s="51"/>
      <c r="WCU1" s="51"/>
      <c r="WCV1" s="51"/>
      <c r="WCW1" s="51"/>
      <c r="WCX1" s="51"/>
      <c r="WCY1" s="51"/>
      <c r="WCZ1" s="51"/>
      <c r="WDA1" s="51"/>
      <c r="WDB1" s="51"/>
      <c r="WDC1" s="51"/>
      <c r="WDD1" s="51"/>
      <c r="WDE1" s="51"/>
      <c r="WDF1" s="51"/>
      <c r="WDG1" s="51"/>
      <c r="WDH1" s="51"/>
      <c r="WDI1" s="51"/>
      <c r="WDJ1" s="51"/>
      <c r="WDK1" s="51"/>
      <c r="WDL1" s="51"/>
      <c r="WDM1" s="51"/>
      <c r="WDN1" s="51"/>
      <c r="WDO1" s="51"/>
      <c r="WDP1" s="51"/>
      <c r="WDQ1" s="51"/>
      <c r="WDR1" s="51"/>
      <c r="WDS1" s="51"/>
      <c r="WDT1" s="51"/>
      <c r="WDU1" s="51"/>
      <c r="WDV1" s="51"/>
      <c r="WDW1" s="51"/>
      <c r="WDX1" s="51"/>
      <c r="WDY1" s="51"/>
      <c r="WDZ1" s="51"/>
      <c r="WEA1" s="51"/>
      <c r="WEB1" s="51"/>
      <c r="WEC1" s="51"/>
      <c r="WED1" s="51"/>
      <c r="WEE1" s="51"/>
      <c r="WEF1" s="51"/>
      <c r="WEG1" s="51"/>
      <c r="WEH1" s="51"/>
      <c r="WEI1" s="51"/>
      <c r="WEJ1" s="51"/>
      <c r="WEK1" s="51"/>
      <c r="WEL1" s="51"/>
      <c r="WEM1" s="51"/>
      <c r="WEN1" s="51"/>
      <c r="WEO1" s="51"/>
      <c r="WEP1" s="51"/>
      <c r="WEQ1" s="51"/>
      <c r="WER1" s="51"/>
      <c r="WES1" s="51"/>
      <c r="WET1" s="51"/>
      <c r="WEU1" s="51"/>
      <c r="WEV1" s="51"/>
      <c r="WEW1" s="51"/>
      <c r="WEX1" s="51"/>
      <c r="WEY1" s="51"/>
      <c r="WEZ1" s="51"/>
      <c r="WFA1" s="51"/>
      <c r="WFB1" s="51"/>
      <c r="WFC1" s="51"/>
      <c r="WFD1" s="51"/>
      <c r="WFE1" s="51"/>
      <c r="WFF1" s="51"/>
      <c r="WFG1" s="51"/>
      <c r="WFH1" s="51"/>
      <c r="WFI1" s="51"/>
      <c r="WFJ1" s="51"/>
      <c r="WFK1" s="51"/>
      <c r="WFL1" s="51"/>
      <c r="WFM1" s="51"/>
      <c r="WFN1" s="51"/>
      <c r="WFO1" s="51"/>
      <c r="WFP1" s="51"/>
      <c r="WFQ1" s="51"/>
      <c r="WFR1" s="51"/>
      <c r="WFS1" s="51"/>
      <c r="WFT1" s="51"/>
      <c r="WFU1" s="51"/>
      <c r="WFV1" s="51"/>
      <c r="WFW1" s="51"/>
      <c r="WFX1" s="51"/>
      <c r="WFY1" s="51"/>
      <c r="WFZ1" s="51"/>
      <c r="WGA1" s="51"/>
      <c r="WGB1" s="51"/>
      <c r="WGC1" s="51"/>
      <c r="WGD1" s="51"/>
      <c r="WGE1" s="51"/>
      <c r="WGF1" s="51"/>
      <c r="WGG1" s="51"/>
      <c r="WGH1" s="51"/>
      <c r="WGI1" s="51"/>
      <c r="WGJ1" s="51"/>
      <c r="WGK1" s="51"/>
      <c r="WGL1" s="51"/>
      <c r="WGM1" s="51"/>
      <c r="WGN1" s="51"/>
      <c r="WGO1" s="51"/>
      <c r="WGP1" s="51"/>
      <c r="WGQ1" s="51"/>
      <c r="WGR1" s="51"/>
      <c r="WGS1" s="51"/>
      <c r="WGT1" s="51"/>
      <c r="WGU1" s="51"/>
      <c r="WGV1" s="51"/>
      <c r="WGW1" s="51"/>
      <c r="WGX1" s="51"/>
      <c r="WGY1" s="51"/>
      <c r="WGZ1" s="51"/>
      <c r="WHA1" s="51"/>
      <c r="WHB1" s="51"/>
      <c r="WHC1" s="51"/>
      <c r="WHD1" s="51"/>
      <c r="WHE1" s="51"/>
      <c r="WHF1" s="51"/>
      <c r="WHG1" s="51"/>
      <c r="WHH1" s="51"/>
      <c r="WHI1" s="51"/>
      <c r="WHJ1" s="51"/>
      <c r="WHK1" s="51"/>
      <c r="WHL1" s="51"/>
      <c r="WHM1" s="51"/>
      <c r="WHN1" s="51"/>
      <c r="WHO1" s="51"/>
      <c r="WHP1" s="51"/>
      <c r="WHQ1" s="51"/>
      <c r="WHR1" s="51"/>
      <c r="WHS1" s="51"/>
      <c r="WHT1" s="51"/>
      <c r="WHU1" s="51"/>
      <c r="WHV1" s="51"/>
      <c r="WHW1" s="51"/>
      <c r="WHX1" s="51"/>
      <c r="WHY1" s="51"/>
      <c r="WHZ1" s="51"/>
      <c r="WIA1" s="51"/>
      <c r="WIB1" s="51"/>
      <c r="WIC1" s="51"/>
      <c r="WID1" s="51"/>
      <c r="WIE1" s="51"/>
      <c r="WIF1" s="51"/>
      <c r="WIG1" s="51"/>
      <c r="WIH1" s="51"/>
      <c r="WII1" s="51"/>
      <c r="WIJ1" s="51"/>
      <c r="WIK1" s="51"/>
      <c r="WIL1" s="51"/>
      <c r="WIM1" s="51"/>
      <c r="WIN1" s="51"/>
      <c r="WIO1" s="51"/>
      <c r="WIP1" s="51"/>
      <c r="WIQ1" s="51"/>
      <c r="WIR1" s="51"/>
      <c r="WIS1" s="51"/>
      <c r="WIT1" s="51"/>
      <c r="WIU1" s="51"/>
      <c r="WIV1" s="51"/>
      <c r="WIW1" s="51"/>
      <c r="WIX1" s="51"/>
      <c r="WIY1" s="51"/>
      <c r="WIZ1" s="51"/>
      <c r="WJA1" s="51"/>
      <c r="WJB1" s="51"/>
      <c r="WJC1" s="51"/>
      <c r="WJD1" s="51"/>
      <c r="WJE1" s="51"/>
      <c r="WJF1" s="51"/>
      <c r="WJG1" s="51"/>
      <c r="WJH1" s="51"/>
      <c r="WJI1" s="51"/>
      <c r="WJJ1" s="51"/>
      <c r="WJK1" s="51"/>
      <c r="WJL1" s="51"/>
      <c r="WJM1" s="51"/>
      <c r="WJN1" s="51"/>
      <c r="WJO1" s="51"/>
      <c r="WJP1" s="51"/>
      <c r="WJQ1" s="51"/>
      <c r="WJR1" s="51"/>
      <c r="WJS1" s="51"/>
      <c r="WJT1" s="51"/>
      <c r="WJU1" s="51"/>
      <c r="WJV1" s="51"/>
      <c r="WJW1" s="51"/>
      <c r="WJX1" s="51"/>
      <c r="WJY1" s="51"/>
      <c r="WJZ1" s="51"/>
      <c r="WKA1" s="51"/>
      <c r="WKB1" s="51"/>
      <c r="WKC1" s="51"/>
      <c r="WKD1" s="51"/>
      <c r="WKE1" s="51"/>
      <c r="WKF1" s="51"/>
      <c r="WKG1" s="51"/>
      <c r="WKH1" s="51"/>
      <c r="WKI1" s="51"/>
      <c r="WKJ1" s="51"/>
      <c r="WKK1" s="51"/>
      <c r="WKL1" s="51"/>
      <c r="WKM1" s="51"/>
      <c r="WKN1" s="51"/>
      <c r="WKO1" s="51"/>
      <c r="WKP1" s="51"/>
      <c r="WKQ1" s="51"/>
      <c r="WKR1" s="51"/>
      <c r="WKS1" s="51"/>
      <c r="WKT1" s="51"/>
      <c r="WKU1" s="51"/>
      <c r="WKV1" s="51"/>
      <c r="WKW1" s="51"/>
      <c r="WKX1" s="51"/>
      <c r="WKY1" s="51"/>
      <c r="WKZ1" s="51"/>
      <c r="WLA1" s="51"/>
      <c r="WLB1" s="51"/>
      <c r="WLC1" s="51"/>
      <c r="WLD1" s="51"/>
      <c r="WLE1" s="51"/>
      <c r="WLF1" s="51"/>
      <c r="WLG1" s="51"/>
      <c r="WLH1" s="51"/>
      <c r="WLI1" s="51"/>
      <c r="WLJ1" s="51"/>
      <c r="WLK1" s="51"/>
      <c r="WLL1" s="51"/>
      <c r="WLM1" s="51"/>
      <c r="WLN1" s="51"/>
      <c r="WLO1" s="51"/>
      <c r="WLP1" s="51"/>
      <c r="WLQ1" s="51"/>
      <c r="WLR1" s="51"/>
      <c r="WLS1" s="51"/>
      <c r="WLT1" s="51"/>
      <c r="WLU1" s="51"/>
      <c r="WLV1" s="51"/>
      <c r="WLW1" s="51"/>
      <c r="WLX1" s="51"/>
      <c r="WLY1" s="51"/>
      <c r="WLZ1" s="51"/>
      <c r="WMA1" s="51"/>
      <c r="WMB1" s="51"/>
      <c r="WMC1" s="51"/>
      <c r="WMD1" s="51"/>
      <c r="WME1" s="51"/>
      <c r="WMF1" s="51"/>
      <c r="WMG1" s="51"/>
      <c r="WMH1" s="51"/>
      <c r="WMI1" s="51"/>
      <c r="WMJ1" s="51"/>
      <c r="WMK1" s="51"/>
      <c r="WML1" s="51"/>
      <c r="WMM1" s="51"/>
      <c r="WMN1" s="51"/>
      <c r="WMO1" s="51"/>
      <c r="WMP1" s="51"/>
      <c r="WMQ1" s="51"/>
      <c r="WMR1" s="51"/>
      <c r="WMS1" s="51"/>
      <c r="WMT1" s="51"/>
      <c r="WMU1" s="51"/>
      <c r="WMV1" s="51"/>
      <c r="WMW1" s="51"/>
      <c r="WMX1" s="51"/>
      <c r="WMY1" s="51"/>
      <c r="WMZ1" s="51"/>
      <c r="WNA1" s="51"/>
      <c r="WNB1" s="51"/>
      <c r="WNC1" s="51"/>
      <c r="WND1" s="51"/>
      <c r="WNE1" s="51"/>
      <c r="WNF1" s="51"/>
      <c r="WNG1" s="51"/>
      <c r="WNH1" s="51"/>
      <c r="WNI1" s="51"/>
      <c r="WNJ1" s="51"/>
      <c r="WNK1" s="51"/>
      <c r="WNL1" s="51"/>
      <c r="WNM1" s="51"/>
      <c r="WNN1" s="51"/>
      <c r="WNO1" s="51"/>
      <c r="WNP1" s="51"/>
      <c r="WNQ1" s="51"/>
      <c r="WNR1" s="51"/>
      <c r="WNS1" s="51"/>
      <c r="WNT1" s="51"/>
      <c r="WNU1" s="51"/>
      <c r="WNV1" s="51"/>
      <c r="WNW1" s="51"/>
      <c r="WNX1" s="51"/>
      <c r="WNY1" s="51"/>
      <c r="WNZ1" s="51"/>
      <c r="WOA1" s="51"/>
      <c r="WOB1" s="51"/>
      <c r="WOC1" s="51"/>
      <c r="WOD1" s="51"/>
      <c r="WOE1" s="51"/>
      <c r="WOF1" s="51"/>
      <c r="WOG1" s="51"/>
      <c r="WOH1" s="51"/>
      <c r="WOI1" s="51"/>
      <c r="WOJ1" s="51"/>
      <c r="WOK1" s="51"/>
      <c r="WOL1" s="51"/>
      <c r="WOM1" s="51"/>
      <c r="WON1" s="51"/>
      <c r="WOO1" s="51"/>
      <c r="WOP1" s="51"/>
      <c r="WOQ1" s="51"/>
      <c r="WOR1" s="51"/>
      <c r="WOS1" s="51"/>
      <c r="WOT1" s="51"/>
      <c r="WOU1" s="51"/>
      <c r="WOV1" s="51"/>
      <c r="WOW1" s="51"/>
      <c r="WOX1" s="51"/>
      <c r="WOY1" s="51"/>
      <c r="WOZ1" s="51"/>
      <c r="WPA1" s="51"/>
      <c r="WPB1" s="51"/>
      <c r="WPC1" s="51"/>
      <c r="WPD1" s="51"/>
      <c r="WPE1" s="51"/>
      <c r="WPF1" s="51"/>
      <c r="WPG1" s="51"/>
      <c r="WPH1" s="51"/>
      <c r="WPI1" s="51"/>
      <c r="WPJ1" s="51"/>
      <c r="WPK1" s="51"/>
      <c r="WPL1" s="51"/>
      <c r="WPM1" s="51"/>
      <c r="WPN1" s="51"/>
      <c r="WPO1" s="51"/>
      <c r="WPP1" s="51"/>
      <c r="WPQ1" s="51"/>
      <c r="WPR1" s="51"/>
      <c r="WPS1" s="51"/>
      <c r="WPT1" s="51"/>
      <c r="WPU1" s="51"/>
      <c r="WPV1" s="51"/>
      <c r="WPW1" s="51"/>
      <c r="WPX1" s="51"/>
      <c r="WPY1" s="51"/>
      <c r="WPZ1" s="51"/>
      <c r="WQA1" s="51"/>
      <c r="WQB1" s="51"/>
      <c r="WQC1" s="51"/>
      <c r="WQD1" s="51"/>
      <c r="WQE1" s="51"/>
      <c r="WQF1" s="51"/>
      <c r="WQG1" s="51"/>
      <c r="WQH1" s="51"/>
      <c r="WQI1" s="51"/>
      <c r="WQJ1" s="51"/>
      <c r="WQK1" s="51"/>
      <c r="WQL1" s="51"/>
      <c r="WQM1" s="51"/>
      <c r="WQN1" s="51"/>
      <c r="WQO1" s="51"/>
      <c r="WQP1" s="51"/>
      <c r="WQQ1" s="51"/>
      <c r="WQR1" s="51"/>
      <c r="WQS1" s="51"/>
      <c r="WQT1" s="51"/>
      <c r="WQU1" s="51"/>
      <c r="WQV1" s="51"/>
      <c r="WQW1" s="51"/>
      <c r="WQX1" s="51"/>
      <c r="WQY1" s="51"/>
      <c r="WQZ1" s="51"/>
      <c r="WRA1" s="51"/>
      <c r="WRB1" s="51"/>
      <c r="WRC1" s="51"/>
      <c r="WRD1" s="51"/>
      <c r="WRE1" s="51"/>
      <c r="WRF1" s="51"/>
      <c r="WRG1" s="51"/>
      <c r="WRH1" s="51"/>
      <c r="WRI1" s="51"/>
      <c r="WRJ1" s="51"/>
      <c r="WRK1" s="51"/>
      <c r="WRL1" s="51"/>
      <c r="WRM1" s="51"/>
      <c r="WRN1" s="51"/>
      <c r="WRO1" s="51"/>
      <c r="WRP1" s="51"/>
      <c r="WRQ1" s="51"/>
      <c r="WRR1" s="51"/>
      <c r="WRS1" s="51"/>
      <c r="WRT1" s="51"/>
      <c r="WRU1" s="51"/>
      <c r="WRV1" s="51"/>
      <c r="WRW1" s="51"/>
      <c r="WRX1" s="51"/>
      <c r="WRY1" s="51"/>
      <c r="WRZ1" s="51"/>
      <c r="WSA1" s="51"/>
      <c r="WSB1" s="51"/>
      <c r="WSC1" s="51"/>
      <c r="WSD1" s="51"/>
      <c r="WSE1" s="51"/>
      <c r="WSF1" s="51"/>
      <c r="WSG1" s="51"/>
      <c r="WSH1" s="51"/>
      <c r="WSI1" s="51"/>
      <c r="WSJ1" s="51"/>
      <c r="WSK1" s="51"/>
      <c r="WSL1" s="51"/>
      <c r="WSM1" s="51"/>
      <c r="WSN1" s="51"/>
      <c r="WSO1" s="51"/>
      <c r="WSP1" s="51"/>
      <c r="WSQ1" s="51"/>
      <c r="WSR1" s="51"/>
      <c r="WSS1" s="51"/>
      <c r="WST1" s="51"/>
      <c r="WSU1" s="51"/>
      <c r="WSV1" s="51"/>
      <c r="WSW1" s="51"/>
      <c r="WSX1" s="51"/>
      <c r="WSY1" s="51"/>
      <c r="WSZ1" s="51"/>
      <c r="WTA1" s="51"/>
      <c r="WTB1" s="51"/>
      <c r="WTC1" s="51"/>
      <c r="WTD1" s="51"/>
      <c r="WTE1" s="51"/>
      <c r="WTF1" s="51"/>
      <c r="WTG1" s="51"/>
      <c r="WTH1" s="51"/>
      <c r="WTI1" s="51"/>
      <c r="WTJ1" s="51"/>
      <c r="WTK1" s="51"/>
      <c r="WTL1" s="51"/>
      <c r="WTM1" s="51"/>
      <c r="WTN1" s="51"/>
      <c r="WTO1" s="51"/>
      <c r="WTP1" s="51"/>
      <c r="WTQ1" s="51"/>
      <c r="WTR1" s="51"/>
      <c r="WTS1" s="51"/>
      <c r="WTT1" s="51"/>
      <c r="WTU1" s="51"/>
      <c r="WTV1" s="51"/>
      <c r="WTW1" s="51"/>
      <c r="WTX1" s="51"/>
      <c r="WTY1" s="51"/>
      <c r="WTZ1" s="51"/>
      <c r="WUA1" s="51"/>
      <c r="WUB1" s="51"/>
      <c r="WUC1" s="51"/>
      <c r="WUD1" s="51"/>
      <c r="WUE1" s="51"/>
      <c r="WUF1" s="51"/>
      <c r="WUG1" s="51"/>
      <c r="WUH1" s="51"/>
      <c r="WUI1" s="51"/>
      <c r="WUJ1" s="51"/>
      <c r="WUK1" s="51"/>
      <c r="WUL1" s="51"/>
      <c r="WUM1" s="51"/>
      <c r="WUN1" s="51"/>
      <c r="WUO1" s="51"/>
      <c r="WUP1" s="51"/>
      <c r="WUQ1" s="51"/>
      <c r="WUR1" s="51"/>
      <c r="WUS1" s="51"/>
      <c r="WUT1" s="51"/>
      <c r="WUU1" s="51"/>
      <c r="WUV1" s="51"/>
      <c r="WUW1" s="51"/>
      <c r="WUX1" s="51"/>
      <c r="WUY1" s="51"/>
      <c r="WUZ1" s="51"/>
      <c r="WVA1" s="51"/>
      <c r="WVB1" s="51"/>
      <c r="WVC1" s="51"/>
      <c r="WVD1" s="51"/>
      <c r="WVE1" s="51"/>
      <c r="WVF1" s="51"/>
      <c r="WVG1" s="51"/>
      <c r="WVH1" s="51"/>
      <c r="WVI1" s="51"/>
      <c r="WVJ1" s="51"/>
      <c r="WVK1" s="51"/>
      <c r="WVL1" s="51"/>
      <c r="WVM1" s="51"/>
      <c r="WVN1" s="51"/>
      <c r="WVO1" s="51"/>
      <c r="WVP1" s="51"/>
      <c r="WVQ1" s="51"/>
      <c r="WVR1" s="51"/>
      <c r="WVS1" s="51"/>
      <c r="WVT1" s="51"/>
      <c r="WVU1" s="51"/>
      <c r="WVV1" s="51"/>
      <c r="WVW1" s="51"/>
      <c r="WVX1" s="51"/>
      <c r="WVY1" s="51"/>
      <c r="WVZ1" s="51"/>
      <c r="WWA1" s="51"/>
      <c r="WWB1" s="51"/>
      <c r="WWC1" s="51"/>
      <c r="WWD1" s="51"/>
      <c r="WWE1" s="51"/>
      <c r="WWF1" s="51"/>
      <c r="WWG1" s="51"/>
      <c r="WWH1" s="51"/>
      <c r="WWI1" s="51"/>
      <c r="WWJ1" s="51"/>
      <c r="WWK1" s="51"/>
      <c r="WWL1" s="51"/>
      <c r="WWM1" s="51"/>
      <c r="WWN1" s="51"/>
      <c r="WWO1" s="51"/>
      <c r="WWP1" s="51"/>
      <c r="WWQ1" s="51"/>
      <c r="WWR1" s="51"/>
      <c r="WWS1" s="51"/>
      <c r="WWT1" s="51"/>
      <c r="WWU1" s="51"/>
      <c r="WWV1" s="51"/>
      <c r="WWW1" s="51"/>
      <c r="WWX1" s="51"/>
      <c r="WWY1" s="51"/>
      <c r="WWZ1" s="51"/>
      <c r="WXA1" s="51"/>
      <c r="WXB1" s="51"/>
      <c r="WXC1" s="51"/>
      <c r="WXD1" s="51"/>
      <c r="WXE1" s="51"/>
      <c r="WXF1" s="51"/>
      <c r="WXG1" s="51"/>
      <c r="WXH1" s="51"/>
      <c r="WXI1" s="51"/>
      <c r="WXJ1" s="51"/>
      <c r="WXK1" s="51"/>
      <c r="WXL1" s="51"/>
      <c r="WXM1" s="51"/>
      <c r="WXN1" s="51"/>
      <c r="WXO1" s="51"/>
      <c r="WXP1" s="51"/>
      <c r="WXQ1" s="51"/>
      <c r="WXR1" s="51"/>
      <c r="WXS1" s="51"/>
      <c r="WXT1" s="51"/>
      <c r="WXU1" s="51"/>
      <c r="WXV1" s="51"/>
      <c r="WXW1" s="51"/>
      <c r="WXX1" s="51"/>
      <c r="WXY1" s="51"/>
      <c r="WXZ1" s="51"/>
      <c r="WYA1" s="51"/>
      <c r="WYB1" s="51"/>
      <c r="WYC1" s="51"/>
      <c r="WYD1" s="51"/>
      <c r="WYE1" s="51"/>
      <c r="WYF1" s="51"/>
      <c r="WYG1" s="51"/>
      <c r="WYH1" s="51"/>
      <c r="WYI1" s="51"/>
      <c r="WYJ1" s="51"/>
      <c r="WYK1" s="51"/>
      <c r="WYL1" s="51"/>
      <c r="WYM1" s="51"/>
      <c r="WYN1" s="51"/>
      <c r="WYO1" s="51"/>
      <c r="WYP1" s="51"/>
      <c r="WYQ1" s="51"/>
      <c r="WYR1" s="51"/>
      <c r="WYS1" s="51"/>
      <c r="WYT1" s="51"/>
      <c r="WYU1" s="51"/>
      <c r="WYV1" s="51"/>
      <c r="WYW1" s="51"/>
      <c r="WYX1" s="51"/>
      <c r="WYY1" s="51"/>
      <c r="WYZ1" s="51"/>
      <c r="WZA1" s="51"/>
      <c r="WZB1" s="51"/>
      <c r="WZC1" s="51"/>
      <c r="WZD1" s="51"/>
      <c r="WZE1" s="51"/>
      <c r="WZF1" s="51"/>
      <c r="WZG1" s="51"/>
      <c r="WZH1" s="51"/>
      <c r="WZI1" s="51"/>
      <c r="WZJ1" s="51"/>
      <c r="WZK1" s="51"/>
      <c r="WZL1" s="51"/>
      <c r="WZM1" s="51"/>
      <c r="WZN1" s="51"/>
      <c r="WZO1" s="51"/>
      <c r="WZP1" s="51"/>
      <c r="WZQ1" s="51"/>
      <c r="WZR1" s="51"/>
      <c r="WZS1" s="51"/>
      <c r="WZT1" s="51"/>
      <c r="WZU1" s="51"/>
      <c r="WZV1" s="51"/>
      <c r="WZW1" s="51"/>
      <c r="WZX1" s="51"/>
      <c r="WZY1" s="51"/>
      <c r="WZZ1" s="51"/>
      <c r="XAA1" s="51"/>
      <c r="XAB1" s="51"/>
      <c r="XAC1" s="51"/>
      <c r="XAD1" s="51"/>
      <c r="XAE1" s="51"/>
      <c r="XAF1" s="51"/>
      <c r="XAG1" s="51"/>
      <c r="XAH1" s="51"/>
      <c r="XAI1" s="51"/>
      <c r="XAJ1" s="51"/>
      <c r="XAK1" s="51"/>
      <c r="XAL1" s="51"/>
      <c r="XAM1" s="51"/>
      <c r="XAN1" s="51"/>
      <c r="XAO1" s="51"/>
      <c r="XAP1" s="51"/>
      <c r="XAQ1" s="51"/>
      <c r="XAR1" s="51"/>
      <c r="XAS1" s="51"/>
      <c r="XAT1" s="51"/>
      <c r="XAU1" s="51"/>
      <c r="XAV1" s="51"/>
      <c r="XAW1" s="51"/>
      <c r="XAX1" s="51"/>
      <c r="XAY1" s="51"/>
      <c r="XAZ1" s="51"/>
      <c r="XBA1" s="51"/>
      <c r="XBB1" s="51"/>
      <c r="XBC1" s="51"/>
      <c r="XBD1" s="51"/>
      <c r="XBE1" s="51"/>
      <c r="XBF1" s="51"/>
      <c r="XBG1" s="51"/>
      <c r="XBH1" s="51"/>
      <c r="XBI1" s="51"/>
      <c r="XBJ1" s="51"/>
      <c r="XBK1" s="51"/>
      <c r="XBL1" s="51"/>
      <c r="XBM1" s="51"/>
      <c r="XBN1" s="51"/>
      <c r="XBO1" s="51"/>
      <c r="XBP1" s="51"/>
      <c r="XBQ1" s="51"/>
      <c r="XBR1" s="51"/>
      <c r="XBS1" s="51"/>
      <c r="XBT1" s="51"/>
      <c r="XBU1" s="51"/>
      <c r="XBV1" s="51"/>
      <c r="XBW1" s="51"/>
      <c r="XBX1" s="51"/>
      <c r="XBY1" s="51"/>
      <c r="XBZ1" s="51"/>
      <c r="XCA1" s="51"/>
      <c r="XCB1" s="51"/>
      <c r="XCC1" s="51"/>
      <c r="XCD1" s="51"/>
      <c r="XCE1" s="51"/>
      <c r="XCF1" s="51"/>
      <c r="XCG1" s="51"/>
      <c r="XCH1" s="51"/>
      <c r="XCI1" s="51"/>
      <c r="XCJ1" s="51"/>
      <c r="XCK1" s="51"/>
      <c r="XCL1" s="51"/>
      <c r="XCM1" s="51"/>
      <c r="XCN1" s="51"/>
      <c r="XCO1" s="51"/>
      <c r="XCP1" s="51"/>
      <c r="XCQ1" s="51"/>
      <c r="XCR1" s="51"/>
      <c r="XCS1" s="51"/>
      <c r="XCT1" s="51"/>
      <c r="XCU1" s="51"/>
      <c r="XCV1" s="51"/>
      <c r="XCW1" s="51"/>
      <c r="XCX1" s="51"/>
      <c r="XCY1" s="51"/>
      <c r="XCZ1" s="51"/>
      <c r="XDA1" s="51"/>
      <c r="XDB1" s="51"/>
      <c r="XDC1" s="51"/>
      <c r="XDD1" s="51"/>
      <c r="XDE1" s="51"/>
      <c r="XDF1" s="51"/>
      <c r="XDG1" s="51"/>
      <c r="XDH1" s="51"/>
      <c r="XDI1" s="51"/>
      <c r="XDJ1" s="51"/>
      <c r="XDK1" s="51"/>
      <c r="XDL1" s="51"/>
      <c r="XDM1" s="51"/>
      <c r="XDN1" s="51"/>
      <c r="XDO1" s="51"/>
      <c r="XDP1" s="51"/>
      <c r="XDQ1" s="51"/>
      <c r="XDR1" s="51"/>
      <c r="XDS1" s="51"/>
      <c r="XDT1" s="51"/>
      <c r="XDU1" s="51"/>
      <c r="XDV1" s="51"/>
      <c r="XDW1" s="51"/>
      <c r="XDX1" s="51"/>
      <c r="XDY1" s="51"/>
      <c r="XDZ1" s="51"/>
      <c r="XEA1" s="51"/>
      <c r="XEB1" s="51"/>
      <c r="XEC1" s="51"/>
      <c r="XED1" s="51"/>
      <c r="XEE1" s="51"/>
      <c r="XEF1" s="51"/>
      <c r="XEG1" s="51"/>
      <c r="XEH1" s="51"/>
      <c r="XEI1" s="51"/>
      <c r="XEJ1" s="51"/>
      <c r="XEK1" s="51"/>
      <c r="XEL1" s="51"/>
      <c r="XEM1" s="51"/>
      <c r="XEN1" s="51"/>
      <c r="XEO1" s="51"/>
      <c r="XEP1" s="51"/>
      <c r="XEQ1" s="51"/>
      <c r="XER1" s="51"/>
      <c r="XES1" s="51"/>
      <c r="XET1" s="51"/>
      <c r="XEU1" s="51"/>
      <c r="XEV1" s="51"/>
      <c r="XEW1" s="51"/>
      <c r="XEX1" s="51"/>
      <c r="XEY1" s="51"/>
      <c r="XEZ1" s="51"/>
      <c r="XFA1" s="51"/>
      <c r="XFB1" s="51"/>
      <c r="XFC1" s="51"/>
      <c r="XFD1" s="51"/>
    </row>
    <row r="2" spans="1:16384" x14ac:dyDescent="0.35">
      <c r="A2" s="15" t="s">
        <v>0</v>
      </c>
      <c r="B2" s="15" t="s">
        <v>1</v>
      </c>
      <c r="C2" s="15" t="s">
        <v>29</v>
      </c>
      <c r="D2" s="15" t="s">
        <v>1140</v>
      </c>
      <c r="E2" s="15" t="s">
        <v>14</v>
      </c>
      <c r="F2" s="15" t="s">
        <v>18</v>
      </c>
      <c r="G2" s="15" t="s">
        <v>5</v>
      </c>
      <c r="H2" s="15" t="s">
        <v>1141</v>
      </c>
      <c r="I2" s="15" t="s">
        <v>1174</v>
      </c>
      <c r="J2" s="15" t="s">
        <v>21</v>
      </c>
      <c r="K2" s="15" t="s">
        <v>1138</v>
      </c>
      <c r="L2" s="15" t="s">
        <v>1136</v>
      </c>
      <c r="M2" s="15" t="s">
        <v>1142</v>
      </c>
      <c r="N2" s="15" t="s">
        <v>1148</v>
      </c>
      <c r="O2" s="15" t="s">
        <v>1144</v>
      </c>
      <c r="P2" s="15" t="s">
        <v>1149</v>
      </c>
      <c r="Q2" s="15" t="s">
        <v>1145</v>
      </c>
      <c r="R2" s="15" t="s">
        <v>37</v>
      </c>
      <c r="S2" s="15" t="s">
        <v>9</v>
      </c>
      <c r="T2" s="15" t="s">
        <v>19</v>
      </c>
      <c r="U2" s="15" t="s">
        <v>15</v>
      </c>
      <c r="V2" s="15" t="s">
        <v>17</v>
      </c>
      <c r="W2" s="15" t="s">
        <v>11</v>
      </c>
      <c r="X2" s="15" t="s">
        <v>7</v>
      </c>
      <c r="Y2" s="15" t="s">
        <v>1147</v>
      </c>
      <c r="Z2" s="15" t="s">
        <v>1146</v>
      </c>
      <c r="AA2" s="15" t="s">
        <v>10</v>
      </c>
      <c r="AB2" s="15" t="s">
        <v>1175</v>
      </c>
      <c r="AC2" s="15" t="s">
        <v>16</v>
      </c>
      <c r="AD2" s="15" t="s">
        <v>12</v>
      </c>
    </row>
    <row r="3" spans="1:16384" x14ac:dyDescent="0.35">
      <c r="A3" s="16" t="s">
        <v>1876</v>
      </c>
      <c r="B3" s="17">
        <v>-3.0269078410273802</v>
      </c>
      <c r="C3" s="17">
        <v>-2.6934190749433502</v>
      </c>
      <c r="D3" s="17">
        <v>-0.50648263769084401</v>
      </c>
      <c r="E3" s="17">
        <v>-1.5260289737975401</v>
      </c>
      <c r="F3" s="17">
        <v>-1.5928833579681101</v>
      </c>
      <c r="G3" s="17">
        <v>-0.79637543072574701</v>
      </c>
      <c r="H3" s="17">
        <v>2.3399157759345899</v>
      </c>
      <c r="I3" s="17">
        <v>0.35162900714326201</v>
      </c>
      <c r="J3" s="17">
        <v>2.4393513522630799</v>
      </c>
      <c r="K3" s="17">
        <v>0.55863042271942598</v>
      </c>
      <c r="L3" s="17">
        <v>6.2072406879732499E-2</v>
      </c>
      <c r="M3" s="17">
        <v>1.6890966728460399</v>
      </c>
      <c r="N3" s="17">
        <v>8.9199968460294308</v>
      </c>
      <c r="O3" s="17">
        <v>-1.47813319910664</v>
      </c>
      <c r="P3" s="17">
        <v>0.86214707029706195</v>
      </c>
      <c r="Q3" s="17">
        <v>6.4715860624942696</v>
      </c>
      <c r="R3" s="17">
        <v>2.9318411196940302</v>
      </c>
      <c r="S3" s="17">
        <v>-0.553511174428581</v>
      </c>
      <c r="T3" s="17">
        <v>2.5892811890016501</v>
      </c>
      <c r="U3" s="17">
        <v>1.21972135868417</v>
      </c>
      <c r="V3" s="17">
        <v>3.4086414582354601</v>
      </c>
      <c r="W3" s="17">
        <v>-0.52336867452681202</v>
      </c>
      <c r="X3" s="17">
        <v>5.9406249431715699</v>
      </c>
      <c r="Y3" s="17">
        <v>1.13221549595541</v>
      </c>
      <c r="Z3" s="17">
        <v>-0.93390651244441303</v>
      </c>
      <c r="AA3" s="17">
        <v>-1.61485520083067</v>
      </c>
      <c r="AB3" s="17">
        <v>0.98800133201283502</v>
      </c>
      <c r="AC3" s="17">
        <v>-5.5630046682595302E-2</v>
      </c>
      <c r="AD3" s="17">
        <v>1.4213843805633599</v>
      </c>
    </row>
    <row r="4" spans="1:16384" x14ac:dyDescent="0.35">
      <c r="A4" s="16" t="s">
        <v>1877</v>
      </c>
      <c r="B4" s="17">
        <v>-1.23102441878518</v>
      </c>
      <c r="C4" s="17">
        <v>-0.78836089408133703</v>
      </c>
      <c r="D4" s="17">
        <v>-2.32654028200922</v>
      </c>
      <c r="E4" s="17">
        <v>0.25445342122366099</v>
      </c>
      <c r="F4" s="17">
        <v>0.86394396659474904</v>
      </c>
      <c r="G4" s="17">
        <v>0.90513040370286701</v>
      </c>
      <c r="H4" s="17">
        <v>-0.28033279569391401</v>
      </c>
      <c r="I4" s="17">
        <v>0.68903888273668901</v>
      </c>
      <c r="J4" s="17">
        <v>-0.24078004584104601</v>
      </c>
      <c r="K4" s="17">
        <v>1.75114082050006</v>
      </c>
      <c r="L4" s="17">
        <v>-1.3395184050347599</v>
      </c>
      <c r="M4" s="17">
        <v>-0.423670384696549</v>
      </c>
      <c r="N4" s="17">
        <v>-1.7058827880593399E-2</v>
      </c>
      <c r="O4" s="17">
        <v>-1.25565428076525</v>
      </c>
      <c r="P4" s="17">
        <v>-0.64282736762866899</v>
      </c>
      <c r="Q4" s="17">
        <v>-0.90208866535222398</v>
      </c>
      <c r="R4" s="17">
        <v>2.0184712637199902</v>
      </c>
      <c r="S4" s="17">
        <v>2.6351578933439099</v>
      </c>
      <c r="T4" s="17">
        <v>-1.7935462662402899</v>
      </c>
      <c r="U4" s="17">
        <v>-1.0113569553097299</v>
      </c>
      <c r="V4" s="17">
        <v>6.8228036799573797</v>
      </c>
      <c r="W4" s="17">
        <v>-5.9049449510532398E-2</v>
      </c>
      <c r="X4" s="17">
        <v>5.2980978958409199</v>
      </c>
      <c r="Y4" s="17">
        <v>-0.81313173448557996</v>
      </c>
      <c r="Z4" s="17">
        <v>0.164810494856026</v>
      </c>
      <c r="AA4" s="17">
        <v>-0.64282736762866899</v>
      </c>
      <c r="AB4" s="17">
        <v>-1.23854762066401</v>
      </c>
      <c r="AC4" s="17">
        <v>-0.87344359442790998</v>
      </c>
      <c r="AD4" s="17">
        <v>2.9908977092268398</v>
      </c>
    </row>
    <row r="5" spans="1:16384" x14ac:dyDescent="0.35">
      <c r="A5" s="16" t="s">
        <v>1878</v>
      </c>
      <c r="B5" s="17">
        <v>-2.55162445065009</v>
      </c>
      <c r="C5" s="17">
        <v>4.5774002428709002</v>
      </c>
      <c r="D5" s="17">
        <v>1.9447656893173999</v>
      </c>
      <c r="E5" s="17">
        <v>0.27474133355429098</v>
      </c>
      <c r="F5" s="17">
        <v>0.46705614737826201</v>
      </c>
      <c r="G5" s="17">
        <v>-0.34227596524882897</v>
      </c>
      <c r="H5" s="17">
        <v>-1.28681816744871</v>
      </c>
      <c r="I5" s="17">
        <v>-0.79805074932036402</v>
      </c>
      <c r="J5" s="17">
        <v>1.1156721492303301</v>
      </c>
      <c r="K5" s="17">
        <v>-1.9112300682332499</v>
      </c>
      <c r="L5" s="17">
        <v>-1.14224946503208</v>
      </c>
      <c r="M5" s="17">
        <v>-1.83725079725148</v>
      </c>
      <c r="N5" s="17">
        <v>-1.12861419315087</v>
      </c>
      <c r="O5" s="17">
        <v>1.8259384468971698E-2</v>
      </c>
      <c r="P5" s="17">
        <v>-1.5350812663881801</v>
      </c>
      <c r="Q5" s="17">
        <v>-1.0094632225025699</v>
      </c>
      <c r="R5" s="17">
        <v>-0.39741491381583699</v>
      </c>
      <c r="S5" s="17">
        <v>0.40847871905129401</v>
      </c>
      <c r="T5" s="17">
        <v>-0.79220642358282101</v>
      </c>
      <c r="U5" s="17">
        <v>0.378164911296761</v>
      </c>
      <c r="V5" s="17">
        <v>-0.32840675974716099</v>
      </c>
      <c r="W5" s="17">
        <v>-0.37825193082524</v>
      </c>
      <c r="X5" s="17">
        <v>-0.19336084633244299</v>
      </c>
      <c r="Y5" s="17">
        <v>-0.90991785235703104</v>
      </c>
      <c r="Z5" s="17">
        <v>-0.153446083496425</v>
      </c>
      <c r="AA5" s="17">
        <v>-1.5350812663881801</v>
      </c>
      <c r="AB5" s="17">
        <v>3.3630636519794099</v>
      </c>
      <c r="AC5" s="17">
        <v>-0.97740856234033002</v>
      </c>
      <c r="AD5" s="17">
        <v>2.5517303563791298</v>
      </c>
    </row>
    <row r="6" spans="1:16384" x14ac:dyDescent="0.35">
      <c r="A6" s="16" t="s">
        <v>1879</v>
      </c>
      <c r="B6" s="17">
        <v>0.22736738294697001</v>
      </c>
      <c r="C6" s="17">
        <v>-8.1027501440631908E-3</v>
      </c>
      <c r="D6" s="17">
        <v>3.8844020814681999</v>
      </c>
      <c r="E6" s="17">
        <v>-0.238426901153687</v>
      </c>
      <c r="F6" s="17">
        <v>0.23415158735157601</v>
      </c>
      <c r="G6" s="17">
        <v>-1.74268241720574</v>
      </c>
      <c r="H6" s="17">
        <v>-1.1064664635738299</v>
      </c>
      <c r="I6" s="17">
        <v>0.77109679669741804</v>
      </c>
      <c r="J6" s="17">
        <v>-0.16330334468361399</v>
      </c>
      <c r="K6" s="17">
        <v>-0.89448079035274197</v>
      </c>
      <c r="L6" s="17">
        <v>2.08098397494902</v>
      </c>
      <c r="M6" s="17">
        <v>0.95228530298053504</v>
      </c>
      <c r="N6" s="17">
        <v>6.0030131410109502E-2</v>
      </c>
      <c r="O6" s="17">
        <v>-1.20818218642435</v>
      </c>
      <c r="P6" s="17">
        <v>-0.562321449232007</v>
      </c>
      <c r="Q6" s="17">
        <v>-0.86798370598445695</v>
      </c>
      <c r="R6" s="17">
        <v>-1.3439349427731999</v>
      </c>
      <c r="S6" s="17">
        <v>-2.1568334745581801</v>
      </c>
      <c r="T6" s="17">
        <v>-0.85740706853997395</v>
      </c>
      <c r="U6" s="17">
        <v>-0.28664483485432701</v>
      </c>
      <c r="V6" s="17">
        <v>-0.79524261991719802</v>
      </c>
      <c r="W6" s="17">
        <v>-1.3894518763714701</v>
      </c>
      <c r="X6" s="17">
        <v>-1.3019755589766899</v>
      </c>
      <c r="Y6" s="17">
        <v>-0.78238993954855496</v>
      </c>
      <c r="Z6" s="17">
        <v>1.05311069458332</v>
      </c>
      <c r="AA6" s="17">
        <v>-0.562321449232007</v>
      </c>
      <c r="AB6" s="17">
        <v>-1.60089483169032</v>
      </c>
      <c r="AC6" s="17">
        <v>0.349457361562997</v>
      </c>
      <c r="AD6" s="17">
        <v>-1.73525367536095</v>
      </c>
    </row>
    <row r="7" spans="1:16384" x14ac:dyDescent="0.35">
      <c r="A7" s="16" t="s">
        <v>1880</v>
      </c>
      <c r="B7" s="17">
        <v>-4.87697623791124</v>
      </c>
      <c r="C7" s="17">
        <v>-2.56990451424763</v>
      </c>
      <c r="D7" s="17">
        <v>-2.7614218409429001</v>
      </c>
      <c r="E7" s="17">
        <v>-0.85154456158170799</v>
      </c>
      <c r="F7" s="17">
        <v>-1.29570094144868</v>
      </c>
      <c r="G7" s="17">
        <v>4.3236010066928898</v>
      </c>
      <c r="H7" s="17">
        <v>-0.19297943268177101</v>
      </c>
      <c r="I7" s="17">
        <v>-0.68289435690038203</v>
      </c>
      <c r="J7" s="17">
        <v>0.772528490117244</v>
      </c>
      <c r="K7" s="17">
        <v>1.3379328590399999</v>
      </c>
      <c r="L7" s="17">
        <v>2.6659476860815698</v>
      </c>
      <c r="M7" s="17">
        <v>-0.29999024411110697</v>
      </c>
      <c r="N7" s="17">
        <v>2.1406083173900798</v>
      </c>
      <c r="O7" s="17">
        <v>7.1146198762907398</v>
      </c>
      <c r="P7" s="17">
        <v>-1.3135735228526899</v>
      </c>
      <c r="Q7" s="17">
        <v>-0.86380062763245302</v>
      </c>
      <c r="R7" s="17">
        <v>2.2867291403103698</v>
      </c>
      <c r="S7" s="17">
        <v>1.01088092288603</v>
      </c>
      <c r="T7" s="17">
        <v>8.0974059273971193</v>
      </c>
      <c r="U7" s="17">
        <v>5.5065465528233197</v>
      </c>
      <c r="V7" s="17">
        <v>1.37217288840379</v>
      </c>
      <c r="W7" s="17">
        <v>4.40279276405641</v>
      </c>
      <c r="X7" s="17">
        <v>-0.52391791034125801</v>
      </c>
      <c r="Y7" s="17">
        <v>-0.77861936367669604</v>
      </c>
      <c r="Z7" s="17">
        <v>-1.27757835744128</v>
      </c>
      <c r="AA7" s="17">
        <v>2.49283693915288</v>
      </c>
      <c r="AB7" s="17">
        <v>0.34259715772983901</v>
      </c>
      <c r="AC7" s="17">
        <v>1.55491089977562</v>
      </c>
      <c r="AD7" s="17">
        <v>1.9455773124618001</v>
      </c>
    </row>
    <row r="8" spans="1:16384" x14ac:dyDescent="0.35">
      <c r="A8" s="16" t="s">
        <v>1881</v>
      </c>
      <c r="B8" s="17">
        <v>-7.4656067668883299</v>
      </c>
      <c r="C8" s="17">
        <v>-1.81378282975005</v>
      </c>
      <c r="D8" s="17">
        <v>0.10058097009914201</v>
      </c>
      <c r="E8" s="17">
        <v>0.69592685952936995</v>
      </c>
      <c r="F8" s="17">
        <v>0.40991883157544001</v>
      </c>
      <c r="G8" s="17">
        <v>3.3034406767450202</v>
      </c>
      <c r="H8" s="17">
        <v>0.420777748327617</v>
      </c>
      <c r="I8" s="17">
        <v>9.9282565790812696E-2</v>
      </c>
      <c r="J8" s="17">
        <v>-0.175335591580881</v>
      </c>
      <c r="K8" s="17">
        <v>4.14877544159945</v>
      </c>
      <c r="L8" s="17">
        <v>3.90134344067034</v>
      </c>
      <c r="M8" s="17">
        <v>2.3739742139428901</v>
      </c>
      <c r="N8" s="17">
        <v>-1.3457516074942499</v>
      </c>
      <c r="O8" s="17">
        <v>1.9056861184612599</v>
      </c>
      <c r="P8" s="17">
        <v>1.4475159877011901</v>
      </c>
      <c r="Q8" s="17">
        <v>1.28868650619873</v>
      </c>
      <c r="R8" s="17">
        <v>4.9189505654018797</v>
      </c>
      <c r="S8" s="17">
        <v>0.99116626228162297</v>
      </c>
      <c r="T8" s="17">
        <v>3.56402435000637</v>
      </c>
      <c r="U8" s="17">
        <v>2.43842217402364</v>
      </c>
      <c r="V8" s="17">
        <v>-1.0433710209312601</v>
      </c>
      <c r="W8" s="17">
        <v>0.66812198362180597</v>
      </c>
      <c r="X8" s="17">
        <v>0.40991883157544001</v>
      </c>
      <c r="Y8" s="17">
        <v>4.4450780943011701</v>
      </c>
      <c r="Z8" s="17">
        <v>-0.65683191835780597</v>
      </c>
      <c r="AA8" s="17">
        <v>0.35487063175358502</v>
      </c>
      <c r="AB8" s="17">
        <v>-1.1540033738420601</v>
      </c>
      <c r="AC8" s="17">
        <v>0.55061277745244797</v>
      </c>
      <c r="AD8" s="17">
        <v>1.5674388537008599</v>
      </c>
    </row>
    <row r="9" spans="1:16384" x14ac:dyDescent="0.35">
      <c r="A9" s="16" t="s">
        <v>1882</v>
      </c>
      <c r="B9" s="17">
        <v>-2.3028035689967901</v>
      </c>
      <c r="C9" s="17">
        <v>1.2097591907504199</v>
      </c>
      <c r="D9" s="17">
        <v>-1.2571005599693801</v>
      </c>
      <c r="E9" s="17">
        <v>-0.40872063419145899</v>
      </c>
      <c r="F9" s="17">
        <v>0.77133822183378598</v>
      </c>
      <c r="G9" s="17">
        <v>4.1854741669534299</v>
      </c>
      <c r="H9" s="17">
        <v>-0.33297713605650497</v>
      </c>
      <c r="I9" s="17">
        <v>-0.73196187464525697</v>
      </c>
      <c r="J9" s="17">
        <v>-0.293278049180758</v>
      </c>
      <c r="K9" s="17">
        <v>-0.50357171911030196</v>
      </c>
      <c r="L9" s="17">
        <v>1.19789445525653</v>
      </c>
      <c r="M9" s="17">
        <v>9.5204052996181496E-2</v>
      </c>
      <c r="N9" s="17">
        <v>-1.03515041026336</v>
      </c>
      <c r="O9" s="17">
        <v>0.26313725094330198</v>
      </c>
      <c r="P9" s="17">
        <v>1.25413736577418E-2</v>
      </c>
      <c r="Q9" s="17">
        <v>0.15420244248832701</v>
      </c>
      <c r="R9" s="17">
        <v>1.0959897215422301</v>
      </c>
      <c r="S9" s="17">
        <v>2.7973776515212601</v>
      </c>
      <c r="T9" s="17">
        <v>0.39218042455006602</v>
      </c>
      <c r="U9" s="17">
        <v>-0.47090078177125999</v>
      </c>
      <c r="V9" s="17">
        <v>-0.98670769479183296</v>
      </c>
      <c r="W9" s="17">
        <v>-0.80739600686454305</v>
      </c>
      <c r="X9" s="17">
        <v>5.1292144365391097E-2</v>
      </c>
      <c r="Y9" s="17">
        <v>-0.83456494158001704</v>
      </c>
      <c r="Z9" s="17">
        <v>-0.63911527038407201</v>
      </c>
      <c r="AA9" s="17">
        <v>1.43303952504573</v>
      </c>
      <c r="AB9" s="17">
        <v>0.93278941459398201</v>
      </c>
      <c r="AC9" s="17">
        <v>-0.89646655202595105</v>
      </c>
      <c r="AD9" s="17">
        <v>1.5122412530902201</v>
      </c>
    </row>
    <row r="10" spans="1:16384" x14ac:dyDescent="0.35">
      <c r="A10" s="16" t="s">
        <v>1883</v>
      </c>
      <c r="B10" s="17">
        <v>-1.24587596958021</v>
      </c>
      <c r="C10" s="17">
        <v>0.94242319970322297</v>
      </c>
      <c r="D10" s="17">
        <v>-1.25082670728259</v>
      </c>
      <c r="E10" s="17">
        <v>-5.7083420514980401E-2</v>
      </c>
      <c r="F10" s="17">
        <v>-0.72396293028866898</v>
      </c>
      <c r="G10" s="17">
        <v>-2.3168482328878901</v>
      </c>
      <c r="H10" s="17">
        <v>-0.38595193493243102</v>
      </c>
      <c r="I10" s="17">
        <v>0.57974206069471501</v>
      </c>
      <c r="J10" s="17">
        <v>0.49574203345768703</v>
      </c>
      <c r="K10" s="17">
        <v>1.36682521922845</v>
      </c>
      <c r="L10" s="17">
        <v>1.5735294988056401</v>
      </c>
      <c r="M10" s="17">
        <v>-1.1514440904551999</v>
      </c>
      <c r="N10" s="17">
        <v>-1.0624905674196501</v>
      </c>
      <c r="O10" s="17">
        <v>0.94514344452062904</v>
      </c>
      <c r="P10" s="17">
        <v>-0.75317056556663997</v>
      </c>
      <c r="Q10" s="17">
        <v>1.1542327970177</v>
      </c>
      <c r="R10" s="17">
        <v>-0.61023475101392399</v>
      </c>
      <c r="S10" s="17">
        <v>7.5998508549657</v>
      </c>
      <c r="T10" s="17">
        <v>-1.2321778236733001</v>
      </c>
      <c r="U10" s="17">
        <v>-0.54581846080558305</v>
      </c>
      <c r="V10" s="17">
        <v>-8.6546644587114696E-2</v>
      </c>
      <c r="W10" s="17">
        <v>-1.5212549825733399</v>
      </c>
      <c r="X10" s="17">
        <v>0.67907257017717504</v>
      </c>
      <c r="Y10" s="17">
        <v>1.4781849212907801</v>
      </c>
      <c r="Z10" s="17">
        <v>2.1518013623894401</v>
      </c>
      <c r="AA10" s="17">
        <v>-0.75317056556663997</v>
      </c>
      <c r="AB10" s="17">
        <v>7.3754647397637898</v>
      </c>
      <c r="AC10" s="17">
        <v>-0.92014382266675598</v>
      </c>
      <c r="AD10" s="17">
        <v>-1.9826778826960001</v>
      </c>
    </row>
    <row r="11" spans="1:16384" x14ac:dyDescent="0.35">
      <c r="A11" s="16" t="s">
        <v>1884</v>
      </c>
      <c r="B11" s="17">
        <v>-2.34897789729518</v>
      </c>
      <c r="C11" s="17">
        <v>-0.15528336142121599</v>
      </c>
      <c r="D11" s="17">
        <v>1.0780382249902001</v>
      </c>
      <c r="E11" s="17">
        <v>1.9370746592768799</v>
      </c>
      <c r="F11" s="17">
        <v>-0.15593708765734199</v>
      </c>
      <c r="G11" s="17">
        <v>0.43012618503612299</v>
      </c>
      <c r="H11" s="17">
        <v>-1.2699361007428001</v>
      </c>
      <c r="I11" s="17">
        <v>-0.78758093600443502</v>
      </c>
      <c r="J11" s="17">
        <v>1.96686761315363</v>
      </c>
      <c r="K11" s="17">
        <v>-0.89455942066874194</v>
      </c>
      <c r="L11" s="17">
        <v>2.2815298033678402</v>
      </c>
      <c r="M11" s="17">
        <v>0.94448810634290103</v>
      </c>
      <c r="N11" s="17">
        <v>-0.21598654258094499</v>
      </c>
      <c r="O11" s="17">
        <v>0.77676245043867498</v>
      </c>
      <c r="P11" s="17">
        <v>2.4456050198458001</v>
      </c>
      <c r="Q11" s="17">
        <v>-0.99621983980052997</v>
      </c>
      <c r="R11" s="17">
        <v>0.12424850048946701</v>
      </c>
      <c r="S11" s="17">
        <v>-2.2421440225426599</v>
      </c>
      <c r="T11" s="17">
        <v>0.32972622185126799</v>
      </c>
      <c r="U11" s="17">
        <v>-1.2391558486609799</v>
      </c>
      <c r="V11" s="17">
        <v>-1.2089418478388201</v>
      </c>
      <c r="W11" s="17">
        <v>-0.96766439507805302</v>
      </c>
      <c r="X11" s="17">
        <v>-0.82513342367906894</v>
      </c>
      <c r="Y11" s="17">
        <v>-0.89798042850883297</v>
      </c>
      <c r="Z11" s="17">
        <v>4.6347715974432999</v>
      </c>
      <c r="AA11" s="17">
        <v>-0.85485097866702497</v>
      </c>
      <c r="AB11" s="17">
        <v>2.21587244659302</v>
      </c>
      <c r="AC11" s="17">
        <v>7.2128793724849594E-2</v>
      </c>
      <c r="AD11" s="17">
        <v>0.66516311988841503</v>
      </c>
    </row>
    <row r="12" spans="1:16384" x14ac:dyDescent="0.35">
      <c r="A12" s="16" t="s">
        <v>1885</v>
      </c>
      <c r="B12" s="17">
        <v>-0.15664216278922499</v>
      </c>
      <c r="C12" s="17">
        <v>-3.50730336650083</v>
      </c>
      <c r="D12" s="17">
        <v>-1.1388466595676301</v>
      </c>
      <c r="E12" s="17">
        <v>-1.27487417382192</v>
      </c>
      <c r="F12" s="17">
        <v>-9.2541123616915397E-2</v>
      </c>
      <c r="G12" s="17">
        <v>4.6594710043897702</v>
      </c>
      <c r="H12" s="17">
        <v>1.17400098548579</v>
      </c>
      <c r="I12" s="17">
        <v>-0.77014155836542197</v>
      </c>
      <c r="J12" s="17">
        <v>-1.21770072259312</v>
      </c>
      <c r="K12" s="17">
        <v>2.8186947260647002</v>
      </c>
      <c r="L12" s="17">
        <v>-0.54004759988683304</v>
      </c>
      <c r="M12" s="17">
        <v>1.6110976210249199</v>
      </c>
      <c r="N12" s="17">
        <v>-1.0891446367875299</v>
      </c>
      <c r="O12" s="17">
        <v>-0.61849694512619302</v>
      </c>
      <c r="P12" s="17">
        <v>-1.4813968657012999</v>
      </c>
      <c r="Q12" s="17">
        <v>5.2364229546625202E-2</v>
      </c>
      <c r="R12" s="17">
        <v>1.7512436349795899</v>
      </c>
      <c r="S12" s="17">
        <v>0.28486049568101801</v>
      </c>
      <c r="T12" s="17">
        <v>-0.61601252315217203</v>
      </c>
      <c r="U12" s="17">
        <v>1.66028811591339</v>
      </c>
      <c r="V12" s="17">
        <v>2.2009075211929399</v>
      </c>
      <c r="W12" s="17">
        <v>4.8532318329716198</v>
      </c>
      <c r="X12" s="17">
        <v>-1.4612408671117401</v>
      </c>
      <c r="Y12" s="17">
        <v>0.26073054573919402</v>
      </c>
      <c r="Z12" s="17">
        <v>-1.44080292535979</v>
      </c>
      <c r="AA12" s="17">
        <v>-1.4813968657012999</v>
      </c>
      <c r="AB12" s="17">
        <v>-1.05168369189209</v>
      </c>
      <c r="AC12" s="17">
        <v>-0.94322692385357698</v>
      </c>
      <c r="AD12" s="17">
        <v>-1.6465060793987301</v>
      </c>
    </row>
    <row r="13" spans="1:16384" x14ac:dyDescent="0.35">
      <c r="A13" s="16" t="s">
        <v>1886</v>
      </c>
      <c r="B13" s="17">
        <v>2.9921417337621499</v>
      </c>
      <c r="C13" s="17">
        <v>4.3447596766314902</v>
      </c>
      <c r="D13" s="17">
        <v>0.414647450493838</v>
      </c>
      <c r="E13" s="17">
        <v>0.55927286269530097</v>
      </c>
      <c r="F13" s="17">
        <v>2.1484814473161502</v>
      </c>
      <c r="G13" s="17">
        <v>-1.99019137471466</v>
      </c>
      <c r="H13" s="17">
        <v>-1.51379609909684</v>
      </c>
      <c r="I13" s="17">
        <v>-0.93881648686827801</v>
      </c>
      <c r="J13" s="17">
        <v>-1.48439920171066</v>
      </c>
      <c r="K13" s="17">
        <v>2.1636803413933898</v>
      </c>
      <c r="L13" s="17">
        <v>-1.24955827465701</v>
      </c>
      <c r="M13" s="17">
        <v>-1.6986371898859201</v>
      </c>
      <c r="N13" s="17">
        <v>-1.3276870083085801</v>
      </c>
      <c r="O13" s="17">
        <v>-1.6529569950995899</v>
      </c>
      <c r="P13" s="17">
        <v>2.6241982812564202</v>
      </c>
      <c r="Q13" s="17">
        <v>-1.18751936136853</v>
      </c>
      <c r="R13" s="17">
        <v>-3.0159293139593299</v>
      </c>
      <c r="S13" s="17">
        <v>-3.4875484605975902</v>
      </c>
      <c r="T13" s="17">
        <v>-0.43069845209145002</v>
      </c>
      <c r="U13" s="17">
        <v>-2.1408309740102398</v>
      </c>
      <c r="V13" s="17">
        <v>-0.98759851396077603</v>
      </c>
      <c r="W13" s="17">
        <v>-1.9009585012999</v>
      </c>
      <c r="X13" s="17">
        <v>-1.78127904205279</v>
      </c>
      <c r="Y13" s="17">
        <v>-1.0704154870051199</v>
      </c>
      <c r="Z13" s="17">
        <v>-1.7563648214579299</v>
      </c>
      <c r="AA13" s="17">
        <v>-1.2520935875727299</v>
      </c>
      <c r="AB13" s="17">
        <v>-1.0916891671289599</v>
      </c>
      <c r="AC13" s="17">
        <v>-1.14981067746979</v>
      </c>
      <c r="AD13" s="17">
        <v>-2.3313035234008499</v>
      </c>
    </row>
    <row r="14" spans="1:16384" x14ac:dyDescent="0.35">
      <c r="A14" s="16" t="s">
        <v>1887</v>
      </c>
      <c r="B14" s="17">
        <v>5.0645356137240096</v>
      </c>
      <c r="C14" s="17">
        <v>-0.66459783262598005</v>
      </c>
      <c r="D14" s="17">
        <v>2.9774040684602499</v>
      </c>
      <c r="E14" s="17">
        <v>-0.52150601780985695</v>
      </c>
      <c r="F14" s="17">
        <v>-0.30648901409934798</v>
      </c>
      <c r="G14" s="17">
        <v>-2.5605078133826802</v>
      </c>
      <c r="H14" s="17">
        <v>-0.59235883014318103</v>
      </c>
      <c r="I14" s="17">
        <v>-0.83048613113370695</v>
      </c>
      <c r="J14" s="17">
        <v>-0.55156529199853899</v>
      </c>
      <c r="K14" s="17">
        <v>-2.99818932166604</v>
      </c>
      <c r="L14" s="17">
        <v>-2.1815086010917999</v>
      </c>
      <c r="M14" s="17">
        <v>-1.3888889432369</v>
      </c>
      <c r="N14" s="17">
        <v>-1.1744847500120501</v>
      </c>
      <c r="O14" s="17">
        <v>-0.77833091009768895</v>
      </c>
      <c r="P14" s="17">
        <v>-0.97148289416774702</v>
      </c>
      <c r="Q14" s="17">
        <v>-1.05049109582552</v>
      </c>
      <c r="R14" s="17">
        <v>-3.0129725995674899</v>
      </c>
      <c r="S14" s="17">
        <v>-1.7885726494413401</v>
      </c>
      <c r="T14" s="17">
        <v>-2.6603991857459102</v>
      </c>
      <c r="U14" s="17">
        <v>-0.83772189137994801</v>
      </c>
      <c r="V14" s="17">
        <v>-1.81652540432564</v>
      </c>
      <c r="W14" s="17">
        <v>-1.0869367179552201</v>
      </c>
      <c r="X14" s="17">
        <v>-1.57573664373827</v>
      </c>
      <c r="Y14" s="17">
        <v>0.109177986224365</v>
      </c>
      <c r="Z14" s="17">
        <v>-0.266445242192767</v>
      </c>
      <c r="AA14" s="17">
        <v>0.28049525554644</v>
      </c>
      <c r="AB14" s="17">
        <v>-1.3280352401159501</v>
      </c>
      <c r="AC14" s="17">
        <v>-3.39786435068909E-2</v>
      </c>
      <c r="AD14" s="17">
        <v>-2.6523600024988001</v>
      </c>
    </row>
    <row r="15" spans="1:16384" x14ac:dyDescent="0.35">
      <c r="A15" s="16" t="s">
        <v>1888</v>
      </c>
      <c r="B15" s="17">
        <v>0.186166607449303</v>
      </c>
      <c r="C15" s="17">
        <v>1.9465220503509999</v>
      </c>
      <c r="D15" s="17">
        <v>1.1610600963390101</v>
      </c>
      <c r="E15" s="17">
        <v>1.5278508413565901</v>
      </c>
      <c r="F15" s="17">
        <v>0.86924984440347097</v>
      </c>
      <c r="G15" s="17">
        <v>-1.7342552281052801</v>
      </c>
      <c r="H15" s="17">
        <v>2.33537440997724</v>
      </c>
      <c r="I15" s="17">
        <v>-0.71210481597903597</v>
      </c>
      <c r="J15" s="17">
        <v>-1.12593657563441</v>
      </c>
      <c r="K15" s="17">
        <v>-2.1239868604389098</v>
      </c>
      <c r="L15" s="17">
        <v>-1.8705463254594099</v>
      </c>
      <c r="M15" s="17">
        <v>0.19056233083879101</v>
      </c>
      <c r="N15" s="17">
        <v>0.97889435432465999</v>
      </c>
      <c r="O15" s="17">
        <v>-0.45620811749165702</v>
      </c>
      <c r="P15" s="17">
        <v>-0.639706575751255</v>
      </c>
      <c r="Q15" s="17">
        <v>-0.90074926050752901</v>
      </c>
      <c r="R15" s="17">
        <v>9.6618209630576907E-2</v>
      </c>
      <c r="S15" s="17">
        <v>-0.37722281117081602</v>
      </c>
      <c r="T15" s="17">
        <v>1.32726275305265</v>
      </c>
      <c r="U15" s="17">
        <v>-1.6238488225480801</v>
      </c>
      <c r="V15" s="17">
        <v>-1.42090812305007</v>
      </c>
      <c r="W15" s="17">
        <v>-0.748374117412694</v>
      </c>
      <c r="X15" s="17">
        <v>-1.3511238907612899</v>
      </c>
      <c r="Y15" s="17">
        <v>-0.81192441127404102</v>
      </c>
      <c r="Z15" s="17">
        <v>-1.3322261224326299</v>
      </c>
      <c r="AA15" s="17">
        <v>-0.639706575751255</v>
      </c>
      <c r="AB15" s="17">
        <v>-1.23396099232012</v>
      </c>
      <c r="AC15" s="17">
        <v>1.4210454117096201</v>
      </c>
      <c r="AD15" s="17">
        <v>-0.95518184216244495</v>
      </c>
    </row>
    <row r="16" spans="1:16384" x14ac:dyDescent="0.35">
      <c r="A16" s="16" t="s">
        <v>1889</v>
      </c>
      <c r="B16" s="17">
        <v>4.3096099067549103</v>
      </c>
      <c r="C16" s="17">
        <v>-1.79634738606983</v>
      </c>
      <c r="D16" s="17">
        <v>-1.4674836434298899</v>
      </c>
      <c r="E16" s="17">
        <v>-1.4877486513838101</v>
      </c>
      <c r="F16" s="17">
        <v>-1.3288232404449101</v>
      </c>
      <c r="G16" s="17">
        <v>1.07225045885357</v>
      </c>
      <c r="H16" s="17">
        <v>3.2983070656015498</v>
      </c>
      <c r="I16" s="17">
        <v>-0.70035134126191601</v>
      </c>
      <c r="J16" s="17">
        <v>0.69875659012933899</v>
      </c>
      <c r="K16" s="17">
        <v>-0.269330568273003</v>
      </c>
      <c r="L16" s="17">
        <v>-1.2960974538558301</v>
      </c>
      <c r="M16" s="17">
        <v>2.1089929914627699</v>
      </c>
      <c r="N16" s="17">
        <v>-0.99044636523878904</v>
      </c>
      <c r="O16" s="17">
        <v>-0.42212876890749501</v>
      </c>
      <c r="P16" s="17">
        <v>1.6220726804821699</v>
      </c>
      <c r="Q16" s="17">
        <v>-0.88588216029660705</v>
      </c>
      <c r="R16" s="17">
        <v>-1.2803883060263199</v>
      </c>
      <c r="S16" s="17">
        <v>-2.60168976180129</v>
      </c>
      <c r="T16" s="17">
        <v>-2.1291370125153102</v>
      </c>
      <c r="U16" s="17">
        <v>0.28142043197453798</v>
      </c>
      <c r="V16" s="17">
        <v>-0.85538192111589695</v>
      </c>
      <c r="W16" s="17">
        <v>2.1077326454658798</v>
      </c>
      <c r="X16" s="17">
        <v>0.17626783497183801</v>
      </c>
      <c r="Y16" s="17">
        <v>-0.79852338824205704</v>
      </c>
      <c r="Z16" s="17">
        <v>-0.54701690899941302</v>
      </c>
      <c r="AA16" s="17">
        <v>-1.3471527027279599</v>
      </c>
      <c r="AB16" s="17">
        <v>-2.1242707951454198</v>
      </c>
      <c r="AC16" s="17">
        <v>3.8056024223088301</v>
      </c>
      <c r="AD16" s="17">
        <v>-2.23674281318061</v>
      </c>
    </row>
    <row r="17" spans="1:30" x14ac:dyDescent="0.35">
      <c r="A17" s="16" t="s">
        <v>1890</v>
      </c>
      <c r="B17" s="17">
        <v>4.1644093810412297</v>
      </c>
      <c r="C17" s="17">
        <v>1.1484005972408999</v>
      </c>
      <c r="D17" s="17">
        <v>-2.1576013370824598</v>
      </c>
      <c r="E17" s="17">
        <v>1.22490437266835</v>
      </c>
      <c r="F17" s="17">
        <v>0.47120291522496199</v>
      </c>
      <c r="G17" s="17">
        <v>-2.7018175066954799</v>
      </c>
      <c r="H17" s="17">
        <v>-0.50725963998854395</v>
      </c>
      <c r="I17" s="17">
        <v>5.4755976058784599</v>
      </c>
      <c r="J17" s="17">
        <v>-1.26033308328913</v>
      </c>
      <c r="K17" s="17">
        <v>-2.5372004373146799</v>
      </c>
      <c r="L17" s="17">
        <v>-2.0938225729749198</v>
      </c>
      <c r="M17" s="17">
        <v>-1.2901351209478999</v>
      </c>
      <c r="N17" s="17">
        <v>-1.1272761794105599</v>
      </c>
      <c r="O17" s="17">
        <v>-1.4034475252865799</v>
      </c>
      <c r="P17" s="17">
        <v>-0.88105684864422495</v>
      </c>
      <c r="Q17" s="17">
        <v>-1.0082664666312999</v>
      </c>
      <c r="R17" s="17">
        <v>-0.96285658503051497</v>
      </c>
      <c r="S17" s="17">
        <v>-1.6102685354278801</v>
      </c>
      <c r="T17" s="17">
        <v>-2.5260547018603901</v>
      </c>
      <c r="U17" s="17">
        <v>-0.71737346251629197</v>
      </c>
      <c r="V17" s="17">
        <v>-1.2460025445743601</v>
      </c>
      <c r="W17" s="17">
        <v>0.244706232451432</v>
      </c>
      <c r="X17" s="17">
        <v>-1.51239969994695</v>
      </c>
      <c r="Y17" s="17">
        <v>-0.90883911119251604</v>
      </c>
      <c r="Z17" s="17">
        <v>1.8616541650026299</v>
      </c>
      <c r="AA17" s="17">
        <v>3.0321702851620298</v>
      </c>
      <c r="AB17" s="17">
        <v>-1.17690884121081</v>
      </c>
      <c r="AC17" s="17">
        <v>4.8078177423299902E-2</v>
      </c>
      <c r="AD17" s="17">
        <v>2.95361787610089</v>
      </c>
    </row>
    <row r="18" spans="1:30" x14ac:dyDescent="0.35">
      <c r="A18" s="16" t="s">
        <v>24</v>
      </c>
      <c r="B18" s="17">
        <v>7.69994844299055</v>
      </c>
      <c r="C18" s="17">
        <v>-0.76947343290655501</v>
      </c>
      <c r="D18" s="17">
        <v>0.679501613523804</v>
      </c>
      <c r="E18" s="17">
        <v>-0.39708891050996098</v>
      </c>
      <c r="F18" s="17">
        <v>-1.09245412801744</v>
      </c>
      <c r="G18" s="17">
        <v>-3.6262378317814701</v>
      </c>
      <c r="H18" s="17">
        <v>-1.43255664217915</v>
      </c>
      <c r="I18" s="17">
        <v>-0.88843391448349596</v>
      </c>
      <c r="J18" s="17">
        <v>-0.692860515153365</v>
      </c>
      <c r="K18" s="17">
        <v>-2.6819467497337599</v>
      </c>
      <c r="L18" s="17">
        <v>-1.9052254690100401</v>
      </c>
      <c r="M18" s="17">
        <v>-1.55640944504294</v>
      </c>
      <c r="N18" s="17">
        <v>-1.25643529113478</v>
      </c>
      <c r="O18" s="17">
        <v>-0.92496504383914302</v>
      </c>
      <c r="P18" s="17">
        <v>-1.12377759382959</v>
      </c>
      <c r="Q18" s="17">
        <v>-0.233943831872609</v>
      </c>
      <c r="R18" s="17">
        <v>-4.2379810522052903</v>
      </c>
      <c r="S18" s="17">
        <v>3.2558462657898198E-2</v>
      </c>
      <c r="T18" s="17">
        <v>-2.8911153856982299</v>
      </c>
      <c r="U18" s="17">
        <v>-2.0259410322374198</v>
      </c>
      <c r="V18" s="17">
        <v>-2.0030315258231699</v>
      </c>
      <c r="W18" s="17">
        <v>-1.79894156760533</v>
      </c>
      <c r="X18" s="17">
        <v>-1.6856848321842599</v>
      </c>
      <c r="Y18" s="17">
        <v>-2.57749520942104E-2</v>
      </c>
      <c r="Z18" s="17">
        <v>-0.45881617060459001</v>
      </c>
      <c r="AA18" s="17">
        <v>2.9723365403161202</v>
      </c>
      <c r="AB18" s="17">
        <v>-2.6947534855197999</v>
      </c>
      <c r="AC18" s="17">
        <v>-1.0881048803340101</v>
      </c>
      <c r="AD18" s="17">
        <v>-1.7801357177261199</v>
      </c>
    </row>
    <row r="19" spans="1:30" x14ac:dyDescent="0.35">
      <c r="A19" s="39" t="s">
        <v>1896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</row>
    <row r="20" spans="1:30" x14ac:dyDescent="0.35">
      <c r="A20" s="15" t="s">
        <v>0</v>
      </c>
      <c r="B20" s="15" t="s">
        <v>1</v>
      </c>
      <c r="C20" s="15" t="s">
        <v>29</v>
      </c>
      <c r="D20" s="15" t="s">
        <v>1140</v>
      </c>
      <c r="E20" s="15" t="s">
        <v>14</v>
      </c>
      <c r="F20" s="15" t="s">
        <v>18</v>
      </c>
      <c r="G20" s="15" t="s">
        <v>5</v>
      </c>
      <c r="H20" s="15" t="s">
        <v>1141</v>
      </c>
      <c r="I20" s="15" t="s">
        <v>1174</v>
      </c>
      <c r="J20" s="15" t="s">
        <v>21</v>
      </c>
      <c r="K20" s="15" t="s">
        <v>1138</v>
      </c>
      <c r="L20" s="15" t="s">
        <v>1136</v>
      </c>
      <c r="M20" s="15" t="s">
        <v>1142</v>
      </c>
      <c r="N20" s="15" t="s">
        <v>1148</v>
      </c>
      <c r="O20" s="15" t="s">
        <v>1144</v>
      </c>
      <c r="P20" s="15" t="s">
        <v>1149</v>
      </c>
      <c r="Q20" s="15" t="s">
        <v>1145</v>
      </c>
      <c r="R20" s="15" t="s">
        <v>37</v>
      </c>
      <c r="S20" s="15" t="s">
        <v>9</v>
      </c>
      <c r="T20" s="15" t="s">
        <v>19</v>
      </c>
      <c r="U20" s="15" t="s">
        <v>15</v>
      </c>
      <c r="V20" s="15" t="s">
        <v>17</v>
      </c>
      <c r="W20" s="15" t="s">
        <v>11</v>
      </c>
      <c r="X20" s="15" t="s">
        <v>7</v>
      </c>
      <c r="Y20" s="15" t="s">
        <v>1147</v>
      </c>
      <c r="Z20" s="15" t="s">
        <v>1146</v>
      </c>
      <c r="AA20" s="15" t="s">
        <v>10</v>
      </c>
      <c r="AB20" s="15" t="s">
        <v>1175</v>
      </c>
      <c r="AC20" s="15" t="s">
        <v>16</v>
      </c>
      <c r="AD20" s="15" t="s">
        <v>12</v>
      </c>
    </row>
    <row r="21" spans="1:30" x14ac:dyDescent="0.35">
      <c r="A21" s="16" t="s">
        <v>1876</v>
      </c>
      <c r="B21" s="17">
        <v>9.1621710780730599</v>
      </c>
      <c r="C21" s="17">
        <v>7.2545063132687098</v>
      </c>
      <c r="D21" s="17">
        <v>0.256524662282275</v>
      </c>
      <c r="E21" s="17">
        <v>2.3287644288695799</v>
      </c>
      <c r="F21" s="17">
        <v>2.53727739209176</v>
      </c>
      <c r="G21" s="17">
        <v>0.63421382666362003</v>
      </c>
      <c r="H21" s="17">
        <v>5.4752058384675601</v>
      </c>
      <c r="I21" s="17">
        <v>0.123642958664556</v>
      </c>
      <c r="J21" s="17">
        <v>5.9504350197877303</v>
      </c>
      <c r="K21" s="17">
        <v>0.31206794918768399</v>
      </c>
      <c r="L21" s="17">
        <v>3.8529836958430602E-3</v>
      </c>
      <c r="M21" s="17">
        <v>2.8530475702195499</v>
      </c>
      <c r="N21" s="17">
        <v>79.566343733174904</v>
      </c>
      <c r="O21" s="17">
        <v>2.1848777543012399</v>
      </c>
      <c r="P21" s="17">
        <v>0.74329757082180703</v>
      </c>
      <c r="Q21" s="17">
        <v>41.881426164270103</v>
      </c>
      <c r="R21" s="17">
        <v>8.5956923511287595</v>
      </c>
      <c r="S21" s="17">
        <v>0.30637462021730699</v>
      </c>
      <c r="T21" s="17">
        <v>6.7043770757178001</v>
      </c>
      <c r="U21" s="17">
        <v>1.4877201928303601</v>
      </c>
      <c r="V21" s="17">
        <v>11.6188365908016</v>
      </c>
      <c r="W21" s="17">
        <v>0.273914769475952</v>
      </c>
      <c r="X21" s="17">
        <v>35.291024715432201</v>
      </c>
      <c r="Y21" s="17">
        <v>1.28191192928155</v>
      </c>
      <c r="Z21" s="17">
        <v>0.87218137398608697</v>
      </c>
      <c r="AA21" s="17">
        <v>2.6077573196498598</v>
      </c>
      <c r="AB21" s="17">
        <v>0.97614663205913599</v>
      </c>
      <c r="AC21" s="17">
        <v>3.0947020939077301E-3</v>
      </c>
      <c r="AD21" s="17">
        <v>2.02033355730949</v>
      </c>
    </row>
    <row r="22" spans="1:30" x14ac:dyDescent="0.35">
      <c r="A22" s="16" t="s">
        <v>1877</v>
      </c>
      <c r="B22" s="17">
        <v>1.51542111964538</v>
      </c>
      <c r="C22" s="17">
        <v>0.62151289931672504</v>
      </c>
      <c r="D22" s="17">
        <v>5.4127896838115301</v>
      </c>
      <c r="E22" s="17">
        <v>6.4746543572425999E-2</v>
      </c>
      <c r="F22" s="17">
        <v>0.74639917741546802</v>
      </c>
      <c r="G22" s="17">
        <v>0.819261047707315</v>
      </c>
      <c r="H22" s="17">
        <v>7.8586476341565806E-2</v>
      </c>
      <c r="I22" s="17">
        <v>0.47477458192302402</v>
      </c>
      <c r="J22" s="17">
        <v>5.7975030475216301E-2</v>
      </c>
      <c r="K22" s="17">
        <v>3.06649417322163</v>
      </c>
      <c r="L22" s="17">
        <v>1.7943095574268699</v>
      </c>
      <c r="M22" s="17">
        <v>0.179496594868922</v>
      </c>
      <c r="N22" s="17">
        <v>2.9100360865971E-4</v>
      </c>
      <c r="O22" s="17">
        <v>1.57666767280411</v>
      </c>
      <c r="P22" s="17">
        <v>0.41322702457240301</v>
      </c>
      <c r="Q22" s="17">
        <v>0.81376396015695696</v>
      </c>
      <c r="R22" s="17">
        <v>4.0742262424633902</v>
      </c>
      <c r="S22" s="17">
        <v>6.9440571228527102</v>
      </c>
      <c r="T22" s="17">
        <v>3.2168082091444901</v>
      </c>
      <c r="U22" s="17">
        <v>1.02284289105337</v>
      </c>
      <c r="V22" s="17">
        <v>46.550650055239899</v>
      </c>
      <c r="W22" s="17">
        <v>3.48683748749691E-3</v>
      </c>
      <c r="X22" s="17">
        <v>28.069841313914001</v>
      </c>
      <c r="Y22" s="17">
        <v>0.66118321762752796</v>
      </c>
      <c r="Z22" s="17">
        <v>2.7162499214688201E-2</v>
      </c>
      <c r="AA22" s="17">
        <v>0.41322702457240301</v>
      </c>
      <c r="AB22" s="17">
        <v>1.53400020865247</v>
      </c>
      <c r="AC22" s="17">
        <v>0.76290371264714696</v>
      </c>
      <c r="AD22" s="17">
        <v>8.9454691070583792</v>
      </c>
    </row>
    <row r="23" spans="1:30" x14ac:dyDescent="0.35">
      <c r="A23" s="16" t="s">
        <v>1878</v>
      </c>
      <c r="B23" s="17">
        <v>6.5107873371553602</v>
      </c>
      <c r="C23" s="17">
        <v>20.952592983434599</v>
      </c>
      <c r="D23" s="17">
        <v>3.7821135863461701</v>
      </c>
      <c r="E23" s="17">
        <v>7.5482800363190203E-2</v>
      </c>
      <c r="F23" s="17">
        <v>0.218141444803824</v>
      </c>
      <c r="G23" s="17">
        <v>0.117152836387017</v>
      </c>
      <c r="H23" s="17">
        <v>1.65590099607606</v>
      </c>
      <c r="I23" s="17">
        <v>0.63688499849079405</v>
      </c>
      <c r="J23" s="17">
        <v>1.2447243445682199</v>
      </c>
      <c r="K23" s="17">
        <v>3.6528003737188799</v>
      </c>
      <c r="L23" s="17">
        <v>1.30473384036606</v>
      </c>
      <c r="M23" s="17">
        <v>3.3754904920012101</v>
      </c>
      <c r="N23" s="17">
        <v>1.2737699969815901</v>
      </c>
      <c r="O23" s="17">
        <v>3.33405121185724E-4</v>
      </c>
      <c r="P23" s="17">
        <v>2.3564744944159401</v>
      </c>
      <c r="Q23" s="17">
        <v>1.01901599758527</v>
      </c>
      <c r="R23" s="17">
        <v>0.15793861372324899</v>
      </c>
      <c r="S23" s="17">
        <v>0.16685486391778601</v>
      </c>
      <c r="T23" s="17">
        <v>0.62759101756588298</v>
      </c>
      <c r="U23" s="17">
        <v>0.14300870013608699</v>
      </c>
      <c r="V23" s="17">
        <v>0.107850999847629</v>
      </c>
      <c r="W23" s="17">
        <v>0.14307452317302199</v>
      </c>
      <c r="X23" s="17">
        <v>3.7388416894398702E-2</v>
      </c>
      <c r="Y23" s="17">
        <v>0.827950498038032</v>
      </c>
      <c r="Z23" s="17">
        <v>2.3545700540391901E-2</v>
      </c>
      <c r="AA23" s="17">
        <v>2.3564744944159401</v>
      </c>
      <c r="AB23" s="17">
        <v>11.3101971272651</v>
      </c>
      <c r="AC23" s="17">
        <v>0.95532749773619097</v>
      </c>
      <c r="AD23" s="17">
        <v>6.5113278116667797</v>
      </c>
    </row>
    <row r="24" spans="1:30" x14ac:dyDescent="0.35">
      <c r="A24" s="16" t="s">
        <v>1879</v>
      </c>
      <c r="B24" s="17">
        <v>5.1695926828154298E-2</v>
      </c>
      <c r="C24" s="17">
        <v>6.5654559897115994E-5</v>
      </c>
      <c r="D24" s="17">
        <v>15.088579530514499</v>
      </c>
      <c r="E24" s="17">
        <v>5.6847387193750001E-2</v>
      </c>
      <c r="F24" s="17">
        <v>5.4826965859262798E-2</v>
      </c>
      <c r="G24" s="17">
        <v>3.03694200723803</v>
      </c>
      <c r="H24" s="17">
        <v>1.2242680350135799</v>
      </c>
      <c r="I24" s="17">
        <v>0.59459026987701902</v>
      </c>
      <c r="J24" s="17">
        <v>2.66679823848553E-2</v>
      </c>
      <c r="K24" s="17">
        <v>0.80009588431006495</v>
      </c>
      <c r="L24" s="17">
        <v>4.3304943039946098</v>
      </c>
      <c r="M24" s="17">
        <v>0.90684729827272903</v>
      </c>
      <c r="N24" s="17">
        <v>3.6036166771150099E-3</v>
      </c>
      <c r="O24" s="17">
        <v>1.45970419559312</v>
      </c>
      <c r="P24" s="17">
        <v>0.31620541226638399</v>
      </c>
      <c r="Q24" s="17">
        <v>0.75339571385451198</v>
      </c>
      <c r="R24" s="17">
        <v>1.8061611304067899</v>
      </c>
      <c r="S24" s="17">
        <v>4.65193063697473</v>
      </c>
      <c r="T24" s="17">
        <v>0.73514688118231197</v>
      </c>
      <c r="U24" s="17">
        <v>8.2165261348664698E-2</v>
      </c>
      <c r="V24" s="17">
        <v>0.63241082453276898</v>
      </c>
      <c r="W24" s="17">
        <v>1.93057651675219</v>
      </c>
      <c r="X24" s="17">
        <v>1.6951403561726499</v>
      </c>
      <c r="Y24" s="17">
        <v>0.61213401750679097</v>
      </c>
      <c r="Z24" s="17">
        <v>1.10904213504576</v>
      </c>
      <c r="AA24" s="17">
        <v>0.31620541226638399</v>
      </c>
      <c r="AB24" s="17">
        <v>2.5628642621327899</v>
      </c>
      <c r="AC24" s="17">
        <v>0.122120447550571</v>
      </c>
      <c r="AD24" s="17">
        <v>3.0111053178536902</v>
      </c>
    </row>
    <row r="25" spans="1:30" x14ac:dyDescent="0.35">
      <c r="A25" s="16" t="s">
        <v>1880</v>
      </c>
      <c r="B25" s="17">
        <v>23.7848972251509</v>
      </c>
      <c r="C25" s="17">
        <v>6.6044092123503697</v>
      </c>
      <c r="D25" s="17">
        <v>7.6254505836364501</v>
      </c>
      <c r="E25" s="17">
        <v>0.725128140359383</v>
      </c>
      <c r="F25" s="17">
        <v>1.6788409296709901</v>
      </c>
      <c r="G25" s="17">
        <v>18.6935256650757</v>
      </c>
      <c r="H25" s="17">
        <v>3.7241061438178402E-2</v>
      </c>
      <c r="I25" s="17">
        <v>0.466344702686387</v>
      </c>
      <c r="J25" s="17">
        <v>0.59680026804282804</v>
      </c>
      <c r="K25" s="17">
        <v>1.79006433529896</v>
      </c>
      <c r="L25" s="17">
        <v>7.1072770649236698</v>
      </c>
      <c r="M25" s="17">
        <v>8.9994146561841806E-2</v>
      </c>
      <c r="N25" s="17">
        <v>4.5822039684795701</v>
      </c>
      <c r="O25" s="17">
        <v>50.617815984111303</v>
      </c>
      <c r="P25" s="17">
        <v>1.72547539993963</v>
      </c>
      <c r="Q25" s="17">
        <v>0.74615152429821896</v>
      </c>
      <c r="R25" s="17">
        <v>5.2291301611446102</v>
      </c>
      <c r="S25" s="17">
        <v>1.0218802402549201</v>
      </c>
      <c r="T25" s="17">
        <v>65.567982753045996</v>
      </c>
      <c r="U25" s="17">
        <v>30.3220549384103</v>
      </c>
      <c r="V25" s="17">
        <v>1.8828584356703899</v>
      </c>
      <c r="W25" s="17">
        <v>19.384584123227501</v>
      </c>
      <c r="X25" s="17">
        <v>0.27448997677635101</v>
      </c>
      <c r="Y25" s="17">
        <v>0.60624811349230301</v>
      </c>
      <c r="Z25" s="17">
        <v>1.63220645940235</v>
      </c>
      <c r="AA25" s="17">
        <v>6.2142360052050902</v>
      </c>
      <c r="AB25" s="17">
        <v>0.11737281248456501</v>
      </c>
      <c r="AC25" s="17">
        <v>2.4177479062410101</v>
      </c>
      <c r="AD25" s="17">
        <v>3.7852710787660802</v>
      </c>
    </row>
    <row r="26" spans="1:30" x14ac:dyDescent="0.35">
      <c r="A26" s="16" t="s">
        <v>1881</v>
      </c>
      <c r="B26" s="17">
        <v>55.735284397808897</v>
      </c>
      <c r="C26" s="17">
        <v>3.2898081534961201</v>
      </c>
      <c r="D26" s="17">
        <v>1.01165315460845E-2</v>
      </c>
      <c r="E26" s="17">
        <v>0.48431419381441099</v>
      </c>
      <c r="F26" s="17">
        <v>0.16803344848017401</v>
      </c>
      <c r="G26" s="17">
        <v>10.9127203047736</v>
      </c>
      <c r="H26" s="17">
        <v>0.177053913487659</v>
      </c>
      <c r="I26" s="17">
        <v>9.8570278700070499E-3</v>
      </c>
      <c r="J26" s="17">
        <v>3.0742569675017602E-2</v>
      </c>
      <c r="K26" s="17">
        <v>17.212337664818701</v>
      </c>
      <c r="L26" s="17">
        <v>15.220480642061499</v>
      </c>
      <c r="M26" s="17">
        <v>5.63575356846576</v>
      </c>
      <c r="N26" s="17">
        <v>1.8110473890733501</v>
      </c>
      <c r="O26" s="17">
        <v>3.6316395820959499</v>
      </c>
      <c r="P26" s="17">
        <v>2.09530253465056</v>
      </c>
      <c r="Q26" s="17">
        <v>1.66071291125868</v>
      </c>
      <c r="R26" s="17">
        <v>24.196074664867499</v>
      </c>
      <c r="S26" s="17">
        <v>0.98241055948532396</v>
      </c>
      <c r="T26" s="17">
        <v>12.7022695674383</v>
      </c>
      <c r="U26" s="17">
        <v>5.9459026987701904</v>
      </c>
      <c r="V26" s="17">
        <v>1.08862308731913</v>
      </c>
      <c r="W26" s="17">
        <v>0.44638698499873602</v>
      </c>
      <c r="X26" s="17">
        <v>0.16803344848017401</v>
      </c>
      <c r="Y26" s="17">
        <v>19.758719264436099</v>
      </c>
      <c r="Z26" s="17">
        <v>0.43142816897359598</v>
      </c>
      <c r="AA26" s="17">
        <v>0.125933165281188</v>
      </c>
      <c r="AB26" s="17">
        <v>1.3317237868388501</v>
      </c>
      <c r="AC26" s="17">
        <v>0.30317443069389899</v>
      </c>
      <c r="AD26" s="17">
        <v>2.4568645600910699</v>
      </c>
    </row>
    <row r="27" spans="1:30" x14ac:dyDescent="0.35">
      <c r="A27" s="16" t="s">
        <v>1882</v>
      </c>
      <c r="B27" s="17">
        <v>5.3029042773843802</v>
      </c>
      <c r="C27" s="17">
        <v>1.46351729960511</v>
      </c>
      <c r="D27" s="17">
        <v>1.5803018178753301</v>
      </c>
      <c r="E27" s="17">
        <v>0.16705255681386899</v>
      </c>
      <c r="F27" s="17">
        <v>0.59496265246170599</v>
      </c>
      <c r="G27" s="17">
        <v>17.518194002234502</v>
      </c>
      <c r="H27" s="17">
        <v>0.110873773136392</v>
      </c>
      <c r="I27" s="17">
        <v>0.53576818593419895</v>
      </c>
      <c r="J27" s="17">
        <v>8.60120141312712E-2</v>
      </c>
      <c r="K27" s="17">
        <v>0.25358447628770397</v>
      </c>
      <c r="L27" s="17">
        <v>1.4349511259343399</v>
      </c>
      <c r="M27" s="17">
        <v>9.0638117068997399E-3</v>
      </c>
      <c r="N27" s="17">
        <v>1.0715363718683999</v>
      </c>
      <c r="O27" s="17">
        <v>6.9241212833998395E-2</v>
      </c>
      <c r="P27" s="17">
        <v>1.572860532231E-4</v>
      </c>
      <c r="Q27" s="17">
        <v>2.3778393269365702E-2</v>
      </c>
      <c r="R27" s="17">
        <v>1.2011934697262201</v>
      </c>
      <c r="S27" s="17">
        <v>7.8253217252305802</v>
      </c>
      <c r="T27" s="17">
        <v>0.15380548540027</v>
      </c>
      <c r="U27" s="17">
        <v>0.22174754627278401</v>
      </c>
      <c r="V27" s="17">
        <v>0.97359207496141398</v>
      </c>
      <c r="W27" s="17">
        <v>0.65188831190080898</v>
      </c>
      <c r="X27" s="17">
        <v>2.6308840736001299E-3</v>
      </c>
      <c r="Y27" s="17">
        <v>0.69649864171445797</v>
      </c>
      <c r="Z27" s="17">
        <v>0.40846832883810502</v>
      </c>
      <c r="AA27" s="17">
        <v>2.0536022803432901</v>
      </c>
      <c r="AB27" s="17">
        <v>0.87009609197858295</v>
      </c>
      <c r="AC27" s="17">
        <v>0.80365227890129798</v>
      </c>
      <c r="AD27" s="17">
        <v>2.2868736075478799</v>
      </c>
    </row>
    <row r="28" spans="1:30" x14ac:dyDescent="0.35">
      <c r="A28" s="16" t="s">
        <v>1883</v>
      </c>
      <c r="B28" s="17">
        <v>1.5522069315774201</v>
      </c>
      <c r="C28" s="17">
        <v>0.88816148733886202</v>
      </c>
      <c r="D28" s="17">
        <v>1.5645674516513901</v>
      </c>
      <c r="E28" s="17">
        <v>3.2585168976900902E-3</v>
      </c>
      <c r="F28" s="17">
        <v>0.52412232443215601</v>
      </c>
      <c r="G28" s="17">
        <v>5.3677857342357598</v>
      </c>
      <c r="H28" s="17">
        <v>0.14895889607808799</v>
      </c>
      <c r="I28" s="17">
        <v>0.33610085693855501</v>
      </c>
      <c r="J28" s="17">
        <v>0.24576016373676199</v>
      </c>
      <c r="K28" s="17">
        <v>1.8682111799188901</v>
      </c>
      <c r="L28" s="17">
        <v>2.4759950836115201</v>
      </c>
      <c r="M28" s="17">
        <v>1.3258234934441999</v>
      </c>
      <c r="N28" s="17">
        <v>1.1288862058557201</v>
      </c>
      <c r="O28" s="17">
        <v>0.89329613072031999</v>
      </c>
      <c r="P28" s="17">
        <v>0.56726590083597295</v>
      </c>
      <c r="Q28" s="17">
        <v>1.33225334971131</v>
      </c>
      <c r="R28" s="17">
        <v>0.37238645134502601</v>
      </c>
      <c r="S28" s="17">
        <v>57.757733017722899</v>
      </c>
      <c r="T28" s="17">
        <v>1.5182621891522701</v>
      </c>
      <c r="U28" s="17">
        <v>0.29791779215617598</v>
      </c>
      <c r="V28" s="17">
        <v>7.4903216892883498E-3</v>
      </c>
      <c r="W28" s="17">
        <v>2.3142167220042298</v>
      </c>
      <c r="X28" s="17">
        <v>0.46113955556703401</v>
      </c>
      <c r="Y28" s="17">
        <v>2.1850306615314299</v>
      </c>
      <c r="Z28" s="17">
        <v>4.6302491031810504</v>
      </c>
      <c r="AA28" s="17">
        <v>0.56726590083597295</v>
      </c>
      <c r="AB28" s="17">
        <v>54.397480127499001</v>
      </c>
      <c r="AC28" s="17">
        <v>0.84666465439178995</v>
      </c>
      <c r="AD28" s="17">
        <v>3.93101158653189</v>
      </c>
    </row>
    <row r="29" spans="1:30" x14ac:dyDescent="0.35">
      <c r="A29" s="16" t="s">
        <v>1884</v>
      </c>
      <c r="B29" s="17">
        <v>5.5176971619812898</v>
      </c>
      <c r="C29" s="17">
        <v>2.4112922334272001E-2</v>
      </c>
      <c r="D29" s="17">
        <v>1.1621664145400099</v>
      </c>
      <c r="E29" s="17">
        <v>3.7522582356126302</v>
      </c>
      <c r="F29" s="17">
        <v>2.4316375307053401E-2</v>
      </c>
      <c r="G29" s="17">
        <v>0.185008535053729</v>
      </c>
      <c r="H29" s="17">
        <v>1.61273769996982</v>
      </c>
      <c r="I29" s="17">
        <v>0.620283730757621</v>
      </c>
      <c r="J29" s="17">
        <v>3.8685682076726402</v>
      </c>
      <c r="K29" s="17">
        <v>0.80023655710719599</v>
      </c>
      <c r="L29" s="17">
        <v>5.2053782436557103</v>
      </c>
      <c r="M29" s="17">
        <v>0.89205778302319805</v>
      </c>
      <c r="N29" s="17">
        <v>4.6650186576070202E-2</v>
      </c>
      <c r="O29" s="17">
        <v>0.60335990441149401</v>
      </c>
      <c r="P29" s="17">
        <v>5.9809839130949696</v>
      </c>
      <c r="Q29" s="17">
        <v>0.99245396921219398</v>
      </c>
      <c r="R29" s="17">
        <v>1.54376898738811E-2</v>
      </c>
      <c r="S29" s="17">
        <v>5.0272098178237696</v>
      </c>
      <c r="T29" s="17">
        <v>0.108719381376311</v>
      </c>
      <c r="U29" s="17">
        <v>1.53550721727072</v>
      </c>
      <c r="V29" s="17">
        <v>1.4615403914559399</v>
      </c>
      <c r="W29" s="17">
        <v>0.93637438150177399</v>
      </c>
      <c r="X29" s="17">
        <v>0.68084516687234098</v>
      </c>
      <c r="Y29" s="17">
        <v>0.80636884998490799</v>
      </c>
      <c r="Z29" s="17">
        <v>21.481107760467101</v>
      </c>
      <c r="AA29" s="17">
        <v>0.73077019572797097</v>
      </c>
      <c r="AB29" s="17">
        <v>4.9100906995701399</v>
      </c>
      <c r="AC29" s="17">
        <v>5.2025628842019001E-3</v>
      </c>
      <c r="AD29" s="17">
        <v>0.44244197605968899</v>
      </c>
    </row>
    <row r="30" spans="1:30" x14ac:dyDescent="0.35">
      <c r="A30" s="16" t="s">
        <v>1885</v>
      </c>
      <c r="B30" s="17">
        <v>2.4536767163286E-2</v>
      </c>
      <c r="C30" s="17">
        <v>12.3011769046681</v>
      </c>
      <c r="D30" s="17">
        <v>1.2969717140083501</v>
      </c>
      <c r="E30" s="17">
        <v>1.6253041590781201</v>
      </c>
      <c r="F30" s="17">
        <v>8.5638595602812208E-3</v>
      </c>
      <c r="G30" s="17">
        <v>21.710670040749001</v>
      </c>
      <c r="H30" s="17">
        <v>1.3782783139216199</v>
      </c>
      <c r="I30" s="17">
        <v>0.59311801992152102</v>
      </c>
      <c r="J30" s="17">
        <v>1.4827950498038001</v>
      </c>
      <c r="K30" s="17">
        <v>7.9450399587449603</v>
      </c>
      <c r="L30" s="17">
        <v>0.29165141014352902</v>
      </c>
      <c r="M30" s="17">
        <v>2.5956355444721502</v>
      </c>
      <c r="N30" s="17">
        <v>1.18623603984304</v>
      </c>
      <c r="O30" s="17">
        <v>0.38253847113043299</v>
      </c>
      <c r="P30" s="17">
        <v>2.1945366737096301</v>
      </c>
      <c r="Q30" s="17">
        <v>2.7420125360116498E-3</v>
      </c>
      <c r="R30" s="17">
        <v>3.0668542690565102</v>
      </c>
      <c r="S30" s="17">
        <v>8.1145501999635397E-2</v>
      </c>
      <c r="T30" s="17">
        <v>0.37947142868030498</v>
      </c>
      <c r="U30" s="17">
        <v>2.7565566278432301</v>
      </c>
      <c r="V30" s="17">
        <v>4.8439939168436403</v>
      </c>
      <c r="W30" s="17">
        <v>23.553859224569099</v>
      </c>
      <c r="X30" s="17">
        <v>2.13522487171748</v>
      </c>
      <c r="Y30" s="17">
        <v>6.7980417481457805E-2</v>
      </c>
      <c r="Z30" s="17">
        <v>2.0759130697253201</v>
      </c>
      <c r="AA30" s="17">
        <v>2.1945366737096301</v>
      </c>
      <c r="AB30" s="17">
        <v>1.10603858779177</v>
      </c>
      <c r="AC30" s="17">
        <v>0.88967702988228203</v>
      </c>
      <c r="AD30" s="17">
        <v>2.7109822694969798</v>
      </c>
    </row>
    <row r="31" spans="1:30" x14ac:dyDescent="0.35">
      <c r="A31" s="16" t="s">
        <v>1886</v>
      </c>
      <c r="B31" s="17">
        <v>8.9529121549211492</v>
      </c>
      <c r="C31" s="17">
        <v>18.876936647682999</v>
      </c>
      <c r="D31" s="17">
        <v>0.17193250820104</v>
      </c>
      <c r="E31" s="17">
        <v>0.31278613494739699</v>
      </c>
      <c r="F31" s="17">
        <v>4.61597252946168</v>
      </c>
      <c r="G31" s="17">
        <v>3.9608617079886201</v>
      </c>
      <c r="H31" s="17">
        <v>2.29157862964081</v>
      </c>
      <c r="I31" s="17">
        <v>0.88137639601569595</v>
      </c>
      <c r="J31" s="17">
        <v>2.20344099003924</v>
      </c>
      <c r="K31" s="17">
        <v>4.6815126197322297</v>
      </c>
      <c r="L31" s="17">
        <v>1.5613958817638101</v>
      </c>
      <c r="M31" s="17">
        <v>2.8853683028635402</v>
      </c>
      <c r="N31" s="17">
        <v>1.7627527920313899</v>
      </c>
      <c r="O31" s="17">
        <v>2.7322668276486599</v>
      </c>
      <c r="P31" s="17">
        <v>6.8864166193491503</v>
      </c>
      <c r="Q31" s="17">
        <v>1.4102022336251101</v>
      </c>
      <c r="R31" s="17">
        <v>9.0958296267992207</v>
      </c>
      <c r="S31" s="17">
        <v>12.1629942650166</v>
      </c>
      <c r="T31" s="17">
        <v>0.18550115663397099</v>
      </c>
      <c r="U31" s="17">
        <v>4.5831572592816201</v>
      </c>
      <c r="V31" s="17">
        <v>0.97535082477753299</v>
      </c>
      <c r="W31" s="17">
        <v>3.6136432236643499</v>
      </c>
      <c r="X31" s="17">
        <v>3.1729550256565</v>
      </c>
      <c r="Y31" s="17">
        <v>1.1457893148203999</v>
      </c>
      <c r="Z31" s="17">
        <v>3.0848173860549402</v>
      </c>
      <c r="AA31" s="17">
        <v>1.56773835204075</v>
      </c>
      <c r="AB31" s="17">
        <v>1.19178523762671</v>
      </c>
      <c r="AC31" s="17">
        <v>1.32206459402354</v>
      </c>
      <c r="AD31" s="17">
        <v>5.4349761182212299</v>
      </c>
    </row>
    <row r="32" spans="1:30" x14ac:dyDescent="0.35">
      <c r="A32" s="16" t="s">
        <v>1887</v>
      </c>
      <c r="B32" s="17">
        <v>25.649520982678901</v>
      </c>
      <c r="C32" s="17">
        <v>0.44169027913115</v>
      </c>
      <c r="D32" s="17">
        <v>8.8649349868836609</v>
      </c>
      <c r="E32" s="17">
        <v>0.27196852661189502</v>
      </c>
      <c r="F32" s="17">
        <v>9.3935515763590396E-2</v>
      </c>
      <c r="G32" s="17">
        <v>6.5562002623937703</v>
      </c>
      <c r="H32" s="17">
        <v>0.350888983648598</v>
      </c>
      <c r="I32" s="17">
        <v>0.689707214005433</v>
      </c>
      <c r="J32" s="17">
        <v>0.30422427133743402</v>
      </c>
      <c r="K32" s="17">
        <v>8.9891392085522792</v>
      </c>
      <c r="L32" s="17">
        <v>4.7589797766374904</v>
      </c>
      <c r="M32" s="17">
        <v>1.9290124966457101</v>
      </c>
      <c r="N32" s="17">
        <v>1.37941442801087</v>
      </c>
      <c r="O32" s="17">
        <v>0.60579900561349698</v>
      </c>
      <c r="P32" s="17">
        <v>0.94377901366054295</v>
      </c>
      <c r="Q32" s="17">
        <v>1.10353154240869</v>
      </c>
      <c r="R32" s="17">
        <v>9.07800388574449</v>
      </c>
      <c r="S32" s="17">
        <v>3.1989921223296198</v>
      </c>
      <c r="T32" s="17">
        <v>7.0777238275175298</v>
      </c>
      <c r="U32" s="17">
        <v>0.70177796729719699</v>
      </c>
      <c r="V32" s="17">
        <v>3.2997645445604298</v>
      </c>
      <c r="W32" s="17">
        <v>1.18143142883926</v>
      </c>
      <c r="X32" s="17">
        <v>2.4829459704195598</v>
      </c>
      <c r="Y32" s="17">
        <v>1.1919832676007699E-2</v>
      </c>
      <c r="Z32" s="17">
        <v>7.0993067087162201E-2</v>
      </c>
      <c r="AA32" s="17">
        <v>7.8677588384062594E-2</v>
      </c>
      <c r="AB32" s="17">
        <v>1.7636775989898399</v>
      </c>
      <c r="AC32" s="17">
        <v>1.15454821456838E-3</v>
      </c>
      <c r="AD32" s="17">
        <v>7.0350135828554201</v>
      </c>
    </row>
    <row r="33" spans="1:30" x14ac:dyDescent="0.35">
      <c r="A33" s="16" t="s">
        <v>1888</v>
      </c>
      <c r="B33" s="17">
        <v>3.4658005729182997E-2</v>
      </c>
      <c r="C33" s="17">
        <v>3.78894809250265</v>
      </c>
      <c r="D33" s="17">
        <v>1.3480605473107601</v>
      </c>
      <c r="E33" s="17">
        <v>2.3343281934340299</v>
      </c>
      <c r="F33" s="17">
        <v>0.75559529199545805</v>
      </c>
      <c r="G33" s="17">
        <v>3.0076411962104901</v>
      </c>
      <c r="H33" s="17">
        <v>5.4539736347765304</v>
      </c>
      <c r="I33" s="17">
        <v>0.50709326894053697</v>
      </c>
      <c r="J33" s="17">
        <v>1.2677331723513401</v>
      </c>
      <c r="K33" s="17">
        <v>4.5113201833171503</v>
      </c>
      <c r="L33" s="17">
        <v>3.4989435556897099</v>
      </c>
      <c r="M33" s="17">
        <v>3.6314001934712799E-2</v>
      </c>
      <c r="N33" s="17">
        <v>0.95823415692869396</v>
      </c>
      <c r="O33" s="17">
        <v>0.20812584646528201</v>
      </c>
      <c r="P33" s="17">
        <v>0.40922450305939601</v>
      </c>
      <c r="Q33" s="17">
        <v>0.81134923030485995</v>
      </c>
      <c r="R33" s="17">
        <v>9.3350784322181E-3</v>
      </c>
      <c r="S33" s="17">
        <v>0.142297049267613</v>
      </c>
      <c r="T33" s="17">
        <v>1.7616264156409001</v>
      </c>
      <c r="U33" s="17">
        <v>2.6368849984907898</v>
      </c>
      <c r="V33" s="17">
        <v>2.0189798941496799</v>
      </c>
      <c r="W33" s="17">
        <v>0.56006381961322904</v>
      </c>
      <c r="X33" s="17">
        <v>1.8255357681859301</v>
      </c>
      <c r="Y33" s="17">
        <v>0.65922124962269801</v>
      </c>
      <c r="Z33" s="17">
        <v>1.7748264412918799</v>
      </c>
      <c r="AA33" s="17">
        <v>0.40922450305939601</v>
      </c>
      <c r="AB33" s="17">
        <v>1.5226597305676399</v>
      </c>
      <c r="AC33" s="17">
        <v>2.0193700621409598</v>
      </c>
      <c r="AD33" s="17">
        <v>0.91237235159684205</v>
      </c>
    </row>
    <row r="34" spans="1:30" x14ac:dyDescent="0.35">
      <c r="A34" s="16" t="s">
        <v>1889</v>
      </c>
      <c r="B34" s="17">
        <v>18.572737548399999</v>
      </c>
      <c r="C34" s="17">
        <v>3.2268639314399099</v>
      </c>
      <c r="D34" s="17">
        <v>2.1535082437342599</v>
      </c>
      <c r="E34" s="17">
        <v>2.2133960496943401</v>
      </c>
      <c r="F34" s="17">
        <v>1.7657712043465099</v>
      </c>
      <c r="G34" s="17">
        <v>1.1497210465117</v>
      </c>
      <c r="H34" s="17">
        <v>10.878829498997099</v>
      </c>
      <c r="I34" s="17">
        <v>0.49049200120736502</v>
      </c>
      <c r="J34" s="17">
        <v>0.48826077224918102</v>
      </c>
      <c r="K34" s="17">
        <v>7.2538955006258704E-2</v>
      </c>
      <c r="L34" s="17">
        <v>1.67986860989158</v>
      </c>
      <c r="M34" s="17">
        <v>4.4478514380390903</v>
      </c>
      <c r="N34" s="17">
        <v>0.98098400241473005</v>
      </c>
      <c r="O34" s="17">
        <v>0.17819269753935699</v>
      </c>
      <c r="P34" s="17">
        <v>2.63111978076663</v>
      </c>
      <c r="Q34" s="17">
        <v>0.78478720193178397</v>
      </c>
      <c r="R34" s="17">
        <v>1.6393942142089399</v>
      </c>
      <c r="S34" s="17">
        <v>6.7687896166616399</v>
      </c>
      <c r="T34" s="17">
        <v>4.53322441806261</v>
      </c>
      <c r="U34" s="17">
        <v>7.9197459532735395E-2</v>
      </c>
      <c r="V34" s="17">
        <v>0.73167823097192297</v>
      </c>
      <c r="W34" s="17">
        <v>4.44253690476258</v>
      </c>
      <c r="X34" s="17">
        <v>3.1070349645658999E-2</v>
      </c>
      <c r="Y34" s="17">
        <v>0.637639601569574</v>
      </c>
      <c r="Z34" s="17">
        <v>0.29922749873127202</v>
      </c>
      <c r="AA34" s="17">
        <v>1.81482040446725</v>
      </c>
      <c r="AB34" s="17">
        <v>4.5125264111077596</v>
      </c>
      <c r="AC34" s="17">
        <v>14.4826097966828</v>
      </c>
      <c r="AD34" s="17">
        <v>5.0030184123151198</v>
      </c>
    </row>
    <row r="35" spans="1:30" x14ac:dyDescent="0.35">
      <c r="A35" s="16" t="s">
        <v>1890</v>
      </c>
      <c r="B35" s="17">
        <v>17.342305492904199</v>
      </c>
      <c r="C35" s="17">
        <v>1.31882393174326</v>
      </c>
      <c r="D35" s="17">
        <v>4.6552435297799999</v>
      </c>
      <c r="E35" s="17">
        <v>1.5003907221820301</v>
      </c>
      <c r="F35" s="17">
        <v>0.22203218731650201</v>
      </c>
      <c r="G35" s="17">
        <v>7.2998178394861597</v>
      </c>
      <c r="H35" s="17">
        <v>0.25731234236130701</v>
      </c>
      <c r="I35" s="17">
        <v>29.982169141501899</v>
      </c>
      <c r="J35" s="17">
        <v>1.58843948083308</v>
      </c>
      <c r="K35" s="17">
        <v>6.4373860591098202</v>
      </c>
      <c r="L35" s="17">
        <v>4.3840929670993001</v>
      </c>
      <c r="M35" s="17">
        <v>1.66444863030326</v>
      </c>
      <c r="N35" s="17">
        <v>1.2707515846664701</v>
      </c>
      <c r="O35" s="17">
        <v>1.96966495623302</v>
      </c>
      <c r="P35" s="17">
        <v>0.77626117054289301</v>
      </c>
      <c r="Q35" s="17">
        <v>1.0166012677331699</v>
      </c>
      <c r="R35" s="17">
        <v>0.92709280333662603</v>
      </c>
      <c r="S35" s="17">
        <v>2.5929647561890401</v>
      </c>
      <c r="T35" s="17">
        <v>6.380952356791</v>
      </c>
      <c r="U35" s="17">
        <v>0.51462468472261502</v>
      </c>
      <c r="V35" s="17">
        <v>1.55252234108579</v>
      </c>
      <c r="W35" s="17">
        <v>5.98811402005743E-2</v>
      </c>
      <c r="X35" s="17">
        <v>2.28735285239964</v>
      </c>
      <c r="Y35" s="17">
        <v>0.82598853003320305</v>
      </c>
      <c r="Z35" s="17">
        <v>3.4657562300716398</v>
      </c>
      <c r="AA35" s="17">
        <v>9.1940566382195996</v>
      </c>
      <c r="AB35" s="17">
        <v>1.38511442052017</v>
      </c>
      <c r="AC35" s="17">
        <v>2.3115111443463001E-3</v>
      </c>
      <c r="AD35" s="17">
        <v>8.7238585580227195</v>
      </c>
    </row>
    <row r="36" spans="1:30" x14ac:dyDescent="0.35">
      <c r="A36" s="16" t="s">
        <v>24</v>
      </c>
      <c r="B36" s="17">
        <v>59.289206024712698</v>
      </c>
      <c r="C36" s="17">
        <v>0.59208936394899903</v>
      </c>
      <c r="D36" s="17">
        <v>0.46172244278145302</v>
      </c>
      <c r="E36" s="17">
        <v>0.157679602849988</v>
      </c>
      <c r="F36" s="17">
        <v>1.19345602182235</v>
      </c>
      <c r="G36" s="17">
        <v>13.1496008126432</v>
      </c>
      <c r="H36" s="17">
        <v>2.0522185330516098</v>
      </c>
      <c r="I36" s="17">
        <v>0.78931482040446699</v>
      </c>
      <c r="J36" s="17">
        <v>0.48005569345858701</v>
      </c>
      <c r="K36" s="17">
        <v>7.1928383684074797</v>
      </c>
      <c r="L36" s="17">
        <v>3.62988408776453</v>
      </c>
      <c r="M36" s="17">
        <v>2.4224103606188701</v>
      </c>
      <c r="N36" s="17">
        <v>1.57862964080893</v>
      </c>
      <c r="O36" s="17">
        <v>0.85556033232434703</v>
      </c>
      <c r="P36" s="17">
        <v>1.26287608039343</v>
      </c>
      <c r="Q36" s="17">
        <v>5.4729716471239399E-2</v>
      </c>
      <c r="R36" s="17">
        <v>17.9604833988511</v>
      </c>
      <c r="S36" s="17">
        <v>1.06005349064575E-3</v>
      </c>
      <c r="T36" s="17">
        <v>8.3585481734210401</v>
      </c>
      <c r="U36" s="17">
        <v>4.1044370661032303</v>
      </c>
      <c r="V36" s="17">
        <v>4.01213529344151</v>
      </c>
      <c r="W36" s="17">
        <v>3.2361907636583198</v>
      </c>
      <c r="X36" s="17">
        <v>2.84153335345608</v>
      </c>
      <c r="Y36" s="17">
        <v>6.6434815545884202E-4</v>
      </c>
      <c r="Z36" s="17">
        <v>0.21051227840826001</v>
      </c>
      <c r="AA36" s="17">
        <v>8.8347845088984194</v>
      </c>
      <c r="AB36" s="17">
        <v>7.2616963477210996</v>
      </c>
      <c r="AC36" s="17">
        <v>1.1839722306067</v>
      </c>
      <c r="AD36" s="17">
        <v>3.16888317352428</v>
      </c>
    </row>
    <row r="37" spans="1:30" x14ac:dyDescent="0.35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spans="1:30" s="52" customFormat="1" ht="43.2" customHeight="1" x14ac:dyDescent="0.35">
      <c r="A38" s="53" t="s">
        <v>1925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</row>
    <row r="39" spans="1:30" x14ac:dyDescent="0.35">
      <c r="A39" s="15" t="s">
        <v>0</v>
      </c>
      <c r="B39" s="15" t="s">
        <v>1</v>
      </c>
      <c r="C39" s="15" t="s">
        <v>29</v>
      </c>
      <c r="D39" s="15" t="s">
        <v>1140</v>
      </c>
      <c r="E39" s="15" t="s">
        <v>14</v>
      </c>
      <c r="F39" s="15" t="s">
        <v>18</v>
      </c>
      <c r="G39" s="15" t="s">
        <v>5</v>
      </c>
      <c r="H39" s="15" t="s">
        <v>1141</v>
      </c>
      <c r="I39" s="15" t="s">
        <v>1174</v>
      </c>
      <c r="J39" s="15" t="s">
        <v>21</v>
      </c>
      <c r="K39" s="15" t="s">
        <v>1138</v>
      </c>
      <c r="L39" s="15" t="s">
        <v>1136</v>
      </c>
      <c r="M39" s="15" t="s">
        <v>1142</v>
      </c>
      <c r="N39" s="15" t="s">
        <v>1148</v>
      </c>
      <c r="O39" s="15" t="s">
        <v>1144</v>
      </c>
      <c r="P39" s="15" t="s">
        <v>1149</v>
      </c>
      <c r="Q39" s="15" t="s">
        <v>1145</v>
      </c>
      <c r="R39" s="15" t="s">
        <v>37</v>
      </c>
      <c r="S39" s="15" t="s">
        <v>9</v>
      </c>
      <c r="T39" s="15" t="s">
        <v>19</v>
      </c>
      <c r="U39" s="15" t="s">
        <v>15</v>
      </c>
      <c r="V39" s="15" t="s">
        <v>17</v>
      </c>
      <c r="W39" s="15" t="s">
        <v>11</v>
      </c>
      <c r="X39" s="15" t="s">
        <v>7</v>
      </c>
      <c r="Y39" s="15" t="s">
        <v>1147</v>
      </c>
      <c r="Z39" s="15" t="s">
        <v>1146</v>
      </c>
      <c r="AA39" s="15" t="s">
        <v>10</v>
      </c>
      <c r="AB39" s="15" t="s">
        <v>1175</v>
      </c>
      <c r="AC39" s="15" t="s">
        <v>16</v>
      </c>
      <c r="AD39" s="15" t="s">
        <v>12</v>
      </c>
    </row>
    <row r="40" spans="1:30" x14ac:dyDescent="0.35">
      <c r="A40" s="16" t="s">
        <v>1876</v>
      </c>
      <c r="B40" s="17">
        <v>-2.9271052602768202</v>
      </c>
      <c r="C40" s="17">
        <v>-2.1860401707396502</v>
      </c>
      <c r="D40" s="17">
        <v>-1.4368012159744901</v>
      </c>
      <c r="E40" s="17">
        <v>-1.1692108443873399</v>
      </c>
      <c r="F40" s="17">
        <v>-1.1532624266623199</v>
      </c>
      <c r="G40" s="17">
        <v>-0.93601741403747596</v>
      </c>
      <c r="H40" s="17">
        <v>2.2786094619787201</v>
      </c>
      <c r="I40" s="17">
        <v>0.47288087259790001</v>
      </c>
      <c r="J40" s="17">
        <v>2.49919752471056</v>
      </c>
      <c r="K40" s="17">
        <v>0.49433434471665499</v>
      </c>
      <c r="L40" s="17">
        <v>-3.17849117592592E-3</v>
      </c>
      <c r="M40" s="17">
        <v>1.1583168469869101</v>
      </c>
      <c r="N40" s="17">
        <v>8.9254017170189197</v>
      </c>
      <c r="O40" s="17">
        <v>-1.1188288939258599</v>
      </c>
      <c r="P40" s="17">
        <v>1.14740611780327</v>
      </c>
      <c r="Q40" s="17">
        <v>6.0315048554366699</v>
      </c>
      <c r="R40" s="17">
        <v>2.33336705665277</v>
      </c>
      <c r="S40" s="17">
        <v>0.76815616597606795</v>
      </c>
      <c r="T40" s="17">
        <v>1.9817505365967301</v>
      </c>
      <c r="U40" s="17">
        <v>1.3213933685702699</v>
      </c>
      <c r="V40" s="17">
        <v>3.9023401155703099</v>
      </c>
      <c r="W40" s="17">
        <v>-1.11363880480154</v>
      </c>
      <c r="X40" s="17">
        <v>1.44805357101772</v>
      </c>
      <c r="Y40" s="17">
        <v>0.24605512971469701</v>
      </c>
      <c r="Z40" s="17">
        <v>-0.595954893640256</v>
      </c>
      <c r="AA40" s="17">
        <v>-1.1532624266623199</v>
      </c>
      <c r="AB40" s="17">
        <v>0.72951129681913196</v>
      </c>
      <c r="AC40" s="17">
        <v>6.3127534119692394E-2</v>
      </c>
      <c r="AD40" s="17">
        <v>1.3443912343237101</v>
      </c>
    </row>
    <row r="41" spans="1:30" x14ac:dyDescent="0.35">
      <c r="A41" s="16" t="s">
        <v>1877</v>
      </c>
      <c r="B41" s="17">
        <v>-0.81421187540756801</v>
      </c>
      <c r="C41" s="17">
        <v>-0.21871795562188001</v>
      </c>
      <c r="D41" s="17">
        <v>-0.96063684803450999</v>
      </c>
      <c r="E41" s="17">
        <v>0.56984888222666297</v>
      </c>
      <c r="F41" s="17">
        <v>2.1889836639871501</v>
      </c>
      <c r="G41" s="17">
        <v>-1.1266040139899201</v>
      </c>
      <c r="H41" s="17">
        <v>-0.25213560577683097</v>
      </c>
      <c r="I41" s="17">
        <v>-0.65470540358337603</v>
      </c>
      <c r="J41" s="17">
        <v>-0.164646498151228</v>
      </c>
      <c r="K41" s="17">
        <v>1.4511714461343099</v>
      </c>
      <c r="L41" s="17">
        <v>-1.31176747141839</v>
      </c>
      <c r="M41" s="17">
        <v>-0.35657359324674998</v>
      </c>
      <c r="N41" s="17">
        <v>3.6211582056602597E-2</v>
      </c>
      <c r="O41" s="17">
        <v>-0.92589326110656001</v>
      </c>
      <c r="P41" s="17">
        <v>-6.9164690494076905E-2</v>
      </c>
      <c r="Q41" s="17">
        <v>-0.92589326110656001</v>
      </c>
      <c r="R41" s="17">
        <v>0.64750930901816495</v>
      </c>
      <c r="S41" s="17">
        <v>2.3581314508917299</v>
      </c>
      <c r="T41" s="17">
        <v>-1.5439430504915499</v>
      </c>
      <c r="U41" s="17">
        <v>-0.90875990688906505</v>
      </c>
      <c r="V41" s="17">
        <v>2.7215072250570702</v>
      </c>
      <c r="W41" s="17">
        <v>1.2460152291404099E-2</v>
      </c>
      <c r="X41" s="17">
        <v>3.2367745281153701</v>
      </c>
      <c r="Y41" s="17">
        <v>-0.73198289382443105</v>
      </c>
      <c r="Z41" s="17">
        <v>0.69152107308851196</v>
      </c>
      <c r="AA41" s="17">
        <v>9.3401935730727303E-2</v>
      </c>
      <c r="AB41" s="17">
        <v>-0.60314887658719096</v>
      </c>
      <c r="AC41" s="17">
        <v>-0.80184708531110005</v>
      </c>
      <c r="AD41" s="17">
        <v>3.10285931880032</v>
      </c>
    </row>
    <row r="42" spans="1:30" x14ac:dyDescent="0.35">
      <c r="A42" s="16" t="s">
        <v>1878</v>
      </c>
      <c r="B42" s="17">
        <v>-2.1375063768618499</v>
      </c>
      <c r="C42" s="17">
        <v>3.91489668319615</v>
      </c>
      <c r="D42" s="17">
        <v>2.3001229364357201</v>
      </c>
      <c r="E42" s="17">
        <v>-1.7311049756077901</v>
      </c>
      <c r="F42" s="17">
        <v>-1.0216944989197101</v>
      </c>
      <c r="G42" s="17">
        <v>1.0379325197364799</v>
      </c>
      <c r="H42" s="17">
        <v>-1.2139539573337701</v>
      </c>
      <c r="I42" s="17">
        <v>-0.70087664405046202</v>
      </c>
      <c r="J42" s="17">
        <v>0.55849454251712904</v>
      </c>
      <c r="K42" s="17">
        <v>-1.80795671491139</v>
      </c>
      <c r="L42" s="17">
        <v>-0.97348944743158405</v>
      </c>
      <c r="M42" s="17">
        <v>-1.7167901505579</v>
      </c>
      <c r="N42" s="17">
        <v>-1.05131496607569</v>
      </c>
      <c r="O42" s="17">
        <v>1.02658887183694</v>
      </c>
      <c r="P42" s="17">
        <v>-1.1081832770072799</v>
      </c>
      <c r="Q42" s="17">
        <v>-0.99118925556670401</v>
      </c>
      <c r="R42" s="17">
        <v>-0.41166465371081601</v>
      </c>
      <c r="S42" s="17">
        <v>1.01007074751215</v>
      </c>
      <c r="T42" s="17">
        <v>-0.19942225153370299</v>
      </c>
      <c r="U42" s="17">
        <v>0.74406591456203197</v>
      </c>
      <c r="V42" s="17">
        <v>-0.32721326188666799</v>
      </c>
      <c r="W42" s="17">
        <v>-0.180409493040594</v>
      </c>
      <c r="X42" s="17">
        <v>-1.0216944989197101</v>
      </c>
      <c r="Y42" s="17">
        <v>-0.78360390996937901</v>
      </c>
      <c r="Z42" s="17">
        <v>0.49454912637709603</v>
      </c>
      <c r="AA42" s="17">
        <v>-1.0216944989197101</v>
      </c>
      <c r="AB42" s="17">
        <v>1.87082869338697</v>
      </c>
      <c r="AC42" s="17">
        <v>-0.85839507527895198</v>
      </c>
      <c r="AD42" s="17">
        <v>2.1761102132997898</v>
      </c>
    </row>
    <row r="43" spans="1:30" x14ac:dyDescent="0.35">
      <c r="A43" s="16" t="s">
        <v>1879</v>
      </c>
      <c r="B43" s="17">
        <v>0.67655020574509195</v>
      </c>
      <c r="C43" s="17">
        <v>0.56550886826312996</v>
      </c>
      <c r="D43" s="17">
        <v>2.7422899531548999</v>
      </c>
      <c r="E43" s="17">
        <v>0.21969527503314401</v>
      </c>
      <c r="F43" s="17">
        <v>0.143387540851555</v>
      </c>
      <c r="G43" s="17">
        <v>-0.97463199586718297</v>
      </c>
      <c r="H43" s="17">
        <v>-1.1060418580459099</v>
      </c>
      <c r="I43" s="17">
        <v>0.927416723293919</v>
      </c>
      <c r="J43" s="17">
        <v>-1.0589544572063401</v>
      </c>
      <c r="K43" s="17">
        <v>-0.68336441264913195</v>
      </c>
      <c r="L43" s="17">
        <v>2.0694694402299301</v>
      </c>
      <c r="M43" s="17">
        <v>0.99307203526240695</v>
      </c>
      <c r="N43" s="17">
        <v>-0.95786034671669795</v>
      </c>
      <c r="O43" s="17">
        <v>-0.90307939545743299</v>
      </c>
      <c r="P43" s="17">
        <v>-1.00967345866112</v>
      </c>
      <c r="Q43" s="17">
        <v>-0.90307939545743299</v>
      </c>
      <c r="R43" s="17">
        <v>-1.34660624121854</v>
      </c>
      <c r="S43" s="17">
        <v>-1.4924270486818301</v>
      </c>
      <c r="T43" s="17">
        <v>-1.46402162462799</v>
      </c>
      <c r="U43" s="17">
        <v>-0.193951227175368</v>
      </c>
      <c r="V43" s="17">
        <v>-0.58088238596305597</v>
      </c>
      <c r="W43" s="17">
        <v>-1.3733043771432101</v>
      </c>
      <c r="X43" s="17">
        <v>-0.93087293394748505</v>
      </c>
      <c r="Y43" s="17">
        <v>-0.71394694940335202</v>
      </c>
      <c r="Z43" s="17">
        <v>0.76438721259182096</v>
      </c>
      <c r="AA43" s="17">
        <v>-0.93087293394748505</v>
      </c>
      <c r="AB43" s="17">
        <v>-1.11785126556131</v>
      </c>
      <c r="AC43" s="17">
        <v>0.49653601763120297</v>
      </c>
      <c r="AD43" s="17">
        <v>-1.7320735774801399</v>
      </c>
    </row>
    <row r="44" spans="1:30" x14ac:dyDescent="0.35">
      <c r="A44" s="16" t="s">
        <v>1880</v>
      </c>
      <c r="B44" s="17">
        <v>-3.58666642623455</v>
      </c>
      <c r="C44" s="17">
        <v>-2.1851869828331498</v>
      </c>
      <c r="D44" s="17">
        <v>-2.2142947095486698</v>
      </c>
      <c r="E44" s="17">
        <v>-0.77562887661028501</v>
      </c>
      <c r="F44" s="17">
        <v>-0.91559379432515398</v>
      </c>
      <c r="G44" s="17">
        <v>1.1438571700956399</v>
      </c>
      <c r="H44" s="17">
        <v>-1.0878875349788899</v>
      </c>
      <c r="I44" s="17">
        <v>-0.62809216116810096</v>
      </c>
      <c r="J44" s="17">
        <v>0.87859961592023295</v>
      </c>
      <c r="K44" s="17">
        <v>1.73428209433598</v>
      </c>
      <c r="L44" s="17">
        <v>2.1637905836529101</v>
      </c>
      <c r="M44" s="17">
        <v>-0.23854228907835101</v>
      </c>
      <c r="N44" s="17">
        <v>2.2421078349390098</v>
      </c>
      <c r="O44" s="17">
        <v>1.3633455410508299</v>
      </c>
      <c r="P44" s="17">
        <v>-0.99310090489438096</v>
      </c>
      <c r="Q44" s="17">
        <v>-0.88825645274415599</v>
      </c>
      <c r="R44" s="17">
        <v>1.0203186266424999</v>
      </c>
      <c r="S44" s="17">
        <v>7.8332637434335703E-2</v>
      </c>
      <c r="T44" s="17">
        <v>5.1493372494271501</v>
      </c>
      <c r="U44" s="17">
        <v>5.2233287978579499</v>
      </c>
      <c r="V44" s="17">
        <v>1.81189651965989</v>
      </c>
      <c r="W44" s="17">
        <v>4.5718141345019498</v>
      </c>
      <c r="X44" s="17">
        <v>0.17659359947108499</v>
      </c>
      <c r="Y44" s="17">
        <v>-0.70222838425331402</v>
      </c>
      <c r="Z44" s="17">
        <v>-1.0649820742140901</v>
      </c>
      <c r="AA44" s="17">
        <v>4.5453431746560398</v>
      </c>
      <c r="AB44" s="17">
        <v>0.70930846824107696</v>
      </c>
      <c r="AC44" s="17">
        <v>1.8306733812989699</v>
      </c>
      <c r="AD44" s="17">
        <v>1.56276875813612</v>
      </c>
    </row>
    <row r="45" spans="1:30" x14ac:dyDescent="0.35">
      <c r="A45" s="16" t="s">
        <v>1881</v>
      </c>
      <c r="B45" s="17">
        <v>-7.4309480616225798</v>
      </c>
      <c r="C45" s="17">
        <v>-1.2504846337531601</v>
      </c>
      <c r="D45" s="17">
        <v>0.34040064307179901</v>
      </c>
      <c r="E45" s="17">
        <v>1.50614670459765</v>
      </c>
      <c r="F45" s="17">
        <v>3.2388046159044198E-2</v>
      </c>
      <c r="G45" s="17">
        <v>2.63254870710949</v>
      </c>
      <c r="H45" s="17">
        <v>0.144713210024845</v>
      </c>
      <c r="I45" s="17">
        <v>8.3550210763139399E-2</v>
      </c>
      <c r="J45" s="17">
        <v>-0.33300263602630498</v>
      </c>
      <c r="K45" s="17">
        <v>2.99371120583737</v>
      </c>
      <c r="L45" s="17">
        <v>2.8167361108636602</v>
      </c>
      <c r="M45" s="17">
        <v>1.90729130312367</v>
      </c>
      <c r="N45" s="17">
        <v>-1.4386456409510999</v>
      </c>
      <c r="O45" s="17">
        <v>0.85542082076120196</v>
      </c>
      <c r="P45" s="17">
        <v>1.78067462209139</v>
      </c>
      <c r="Q45" s="17">
        <v>0.85542082076120196</v>
      </c>
      <c r="R45" s="17">
        <v>3.9152378969909098</v>
      </c>
      <c r="S45" s="17">
        <v>1.0121927953843599</v>
      </c>
      <c r="T45" s="17">
        <v>3.3833277260274999</v>
      </c>
      <c r="U45" s="17">
        <v>2.1214885532730698</v>
      </c>
      <c r="V45" s="17">
        <v>-1.83674758505494</v>
      </c>
      <c r="W45" s="17">
        <v>0.36148945310492098</v>
      </c>
      <c r="X45" s="17">
        <v>1.46288834667054</v>
      </c>
      <c r="Y45" s="17">
        <v>4.5231294502758104</v>
      </c>
      <c r="Z45" s="17">
        <v>-1.01130841152944</v>
      </c>
      <c r="AA45" s="17">
        <v>3.2388046159044198E-2</v>
      </c>
      <c r="AB45" s="17">
        <v>-0.99764280554520901</v>
      </c>
      <c r="AC45" s="17">
        <v>0.52798667184883796</v>
      </c>
      <c r="AD45" s="17">
        <v>0.97078152447059796</v>
      </c>
    </row>
    <row r="46" spans="1:30" x14ac:dyDescent="0.35">
      <c r="A46" s="16" t="s">
        <v>1882</v>
      </c>
      <c r="B46" s="17">
        <v>-2.1834937097319398</v>
      </c>
      <c r="C46" s="17">
        <v>0.198319498007895</v>
      </c>
      <c r="D46" s="17">
        <v>-0.34914008886347198</v>
      </c>
      <c r="E46" s="17">
        <v>-0.95943073501103604</v>
      </c>
      <c r="F46" s="17">
        <v>3.7441651731190601E-2</v>
      </c>
      <c r="G46" s="17">
        <v>4.8878926994768603</v>
      </c>
      <c r="H46" s="17">
        <v>-0.30861278412766702</v>
      </c>
      <c r="I46" s="17">
        <v>-0.67327215943021301</v>
      </c>
      <c r="J46" s="17">
        <v>-0.220835943325147</v>
      </c>
      <c r="K46" s="17">
        <v>-0.55953843174343298</v>
      </c>
      <c r="L46" s="17">
        <v>0.72133377179464897</v>
      </c>
      <c r="M46" s="17">
        <v>0.16992004706029301</v>
      </c>
      <c r="N46" s="17">
        <v>-1.00990823914532</v>
      </c>
      <c r="O46" s="17">
        <v>9.8103384910973895E-2</v>
      </c>
      <c r="P46" s="17">
        <v>-0.12516101590444301</v>
      </c>
      <c r="Q46" s="17">
        <v>9.8103384910973895E-2</v>
      </c>
      <c r="R46" s="17">
        <v>0.86445672800057505</v>
      </c>
      <c r="S46" s="17">
        <v>2.1787509152593101</v>
      </c>
      <c r="T46" s="17">
        <v>-2.5151748235014999E-3</v>
      </c>
      <c r="U46" s="17">
        <v>-0.34430414695421402</v>
      </c>
      <c r="V46" s="17">
        <v>-0.73455051946647498</v>
      </c>
      <c r="W46" s="17">
        <v>-0.75728374851763502</v>
      </c>
      <c r="X46" s="17">
        <v>3.7441651731190601E-2</v>
      </c>
      <c r="Y46" s="17">
        <v>-0.75274115792201601</v>
      </c>
      <c r="Z46" s="17">
        <v>-1.14158848842676</v>
      </c>
      <c r="AA46" s="17">
        <v>2.07523374208166</v>
      </c>
      <c r="AB46" s="17">
        <v>0.42860777539286299</v>
      </c>
      <c r="AC46" s="17">
        <v>-0.82458662431289298</v>
      </c>
      <c r="AD46" s="17">
        <v>1.1585530510806501</v>
      </c>
    </row>
    <row r="47" spans="1:30" x14ac:dyDescent="0.35">
      <c r="A47" s="16" t="s">
        <v>1883</v>
      </c>
      <c r="B47" s="17">
        <v>-0.12525789463492301</v>
      </c>
      <c r="C47" s="17">
        <v>1.4685871188878801</v>
      </c>
      <c r="D47" s="17">
        <v>-0.40426924100624501</v>
      </c>
      <c r="E47" s="17">
        <v>-8.8914053854793298E-2</v>
      </c>
      <c r="F47" s="17">
        <v>-0.93519255312861505</v>
      </c>
      <c r="G47" s="17">
        <v>-2.1317704612281099</v>
      </c>
      <c r="H47" s="17">
        <v>-0.211225535162091</v>
      </c>
      <c r="I47" s="17">
        <v>0.91722023882227499</v>
      </c>
      <c r="J47" s="17">
        <v>0.81606329572627401</v>
      </c>
      <c r="K47" s="17">
        <v>0.44256569718542998</v>
      </c>
      <c r="L47" s="17">
        <v>0.94097909557481996</v>
      </c>
      <c r="M47" s="17">
        <v>-0.93507791239925597</v>
      </c>
      <c r="N47" s="17">
        <v>-0.96230519818420701</v>
      </c>
      <c r="O47" s="17">
        <v>1.2971453014255501</v>
      </c>
      <c r="P47" s="17">
        <v>-1.0143587434939401</v>
      </c>
      <c r="Q47" s="17">
        <v>1.2971453014255501</v>
      </c>
      <c r="R47" s="17">
        <v>-1.1326430137260499</v>
      </c>
      <c r="S47" s="17">
        <v>2.4896179477726199</v>
      </c>
      <c r="T47" s="17">
        <v>-0.62233523063960094</v>
      </c>
      <c r="U47" s="17">
        <v>-1.52153811524091</v>
      </c>
      <c r="V47" s="17">
        <v>0.55370510730388101</v>
      </c>
      <c r="W47" s="17">
        <v>-1.3796770534910801</v>
      </c>
      <c r="X47" s="17">
        <v>1.20340445912213</v>
      </c>
      <c r="Y47" s="17">
        <v>0.67693473252199299</v>
      </c>
      <c r="Z47" s="17">
        <v>1.6701356751212499</v>
      </c>
      <c r="AA47" s="17">
        <v>0.13410595299675701</v>
      </c>
      <c r="AB47" s="17">
        <v>5.8790959201192097</v>
      </c>
      <c r="AC47" s="17">
        <v>-0.78571890412638301</v>
      </c>
      <c r="AD47" s="17">
        <v>-1.7443411888967599</v>
      </c>
    </row>
    <row r="48" spans="1:30" x14ac:dyDescent="0.35">
      <c r="A48" s="16" t="s">
        <v>1884</v>
      </c>
      <c r="B48" s="17">
        <v>-1.63308307956614</v>
      </c>
      <c r="C48" s="17">
        <v>-5.3245292295843502E-2</v>
      </c>
      <c r="D48" s="17">
        <v>-5.1703117341685999E-2</v>
      </c>
      <c r="E48" s="17">
        <v>1.5655906819834</v>
      </c>
      <c r="F48" s="17">
        <v>-3.5174881031370002E-2</v>
      </c>
      <c r="G48" s="17">
        <v>-0.74350411407027095</v>
      </c>
      <c r="H48" s="17">
        <v>-1.20925779289316</v>
      </c>
      <c r="I48" s="17">
        <v>-0.69816531224651701</v>
      </c>
      <c r="J48" s="17">
        <v>2.2971229771266701</v>
      </c>
      <c r="K48" s="17">
        <v>-1.09025265515612</v>
      </c>
      <c r="L48" s="17">
        <v>2.5829222173069799</v>
      </c>
      <c r="M48" s="17">
        <v>1.21357347133102</v>
      </c>
      <c r="N48" s="17">
        <v>-9.2364282554013896E-2</v>
      </c>
      <c r="O48" s="17">
        <v>2.0510664293238099</v>
      </c>
      <c r="P48" s="17">
        <v>0.70786812361783402</v>
      </c>
      <c r="Q48" s="17">
        <v>-0.98735485335747097</v>
      </c>
      <c r="R48" s="17">
        <v>0.74834175531216796</v>
      </c>
      <c r="S48" s="17">
        <v>-1.2625979185156999</v>
      </c>
      <c r="T48" s="17">
        <v>0.21307049635092701</v>
      </c>
      <c r="U48" s="17">
        <v>-1.05192295797335</v>
      </c>
      <c r="V48" s="17">
        <v>-0.84115411232741799</v>
      </c>
      <c r="W48" s="17">
        <v>-0.83544343402126597</v>
      </c>
      <c r="X48" s="17">
        <v>-3.5174881031370002E-2</v>
      </c>
      <c r="Y48" s="17">
        <v>-0.78057254885778904</v>
      </c>
      <c r="Z48" s="17">
        <v>5.5741192071726697</v>
      </c>
      <c r="AA48" s="17">
        <v>-3.5174881031370002E-2</v>
      </c>
      <c r="AB48" s="17">
        <v>0.28280181050261399</v>
      </c>
      <c r="AC48" s="17">
        <v>0.31441451142092203</v>
      </c>
      <c r="AD48" s="17">
        <v>0.94962829974023</v>
      </c>
    </row>
    <row r="49" spans="1:30" x14ac:dyDescent="0.35">
      <c r="A49" s="16" t="s">
        <v>1885</v>
      </c>
      <c r="B49" s="17">
        <v>0.463475197968994</v>
      </c>
      <c r="C49" s="17">
        <v>-3.1599681902911998</v>
      </c>
      <c r="D49" s="17">
        <v>-2.1879518109301701</v>
      </c>
      <c r="E49" s="17">
        <v>-1.3786272471198</v>
      </c>
      <c r="F49" s="17">
        <v>-1.0057916683080701</v>
      </c>
      <c r="G49" s="17">
        <v>5.3747504331496003</v>
      </c>
      <c r="H49" s="17">
        <v>1.31527861527421</v>
      </c>
      <c r="I49" s="17">
        <v>-0.68996739225183101</v>
      </c>
      <c r="J49" s="17">
        <v>-1.14418147883965</v>
      </c>
      <c r="K49" s="17">
        <v>2.8741013914383</v>
      </c>
      <c r="L49" s="17">
        <v>-0.41426118539311302</v>
      </c>
      <c r="M49" s="17">
        <v>0.67670055395481898</v>
      </c>
      <c r="N49" s="17">
        <v>-1.03495108837775</v>
      </c>
      <c r="O49" s="17">
        <v>4.9079624310503701E-2</v>
      </c>
      <c r="P49" s="17">
        <v>-1.0909342353813001</v>
      </c>
      <c r="Q49" s="17">
        <v>4.9079624310503701E-2</v>
      </c>
      <c r="R49" s="17">
        <v>1.3182228873789801</v>
      </c>
      <c r="S49" s="17">
        <v>-1.22609946896947</v>
      </c>
      <c r="T49" s="17">
        <v>-1.3170230822686899</v>
      </c>
      <c r="U49" s="17">
        <v>0.19688972455288001</v>
      </c>
      <c r="V49" s="17">
        <v>2.3957922471622699</v>
      </c>
      <c r="W49" s="17">
        <v>3.9076186443446899</v>
      </c>
      <c r="X49" s="17">
        <v>-1.0057916683080701</v>
      </c>
      <c r="Y49" s="17">
        <v>0.52492555721063205</v>
      </c>
      <c r="Z49" s="17">
        <v>-1.1698966329620899</v>
      </c>
      <c r="AA49" s="17">
        <v>-1.0057916683080701</v>
      </c>
      <c r="AB49" s="17">
        <v>-0.212787090950459</v>
      </c>
      <c r="AC49" s="17">
        <v>-0.84503402508785896</v>
      </c>
      <c r="AD49" s="17">
        <v>-1.5194549471540799</v>
      </c>
    </row>
    <row r="50" spans="1:30" x14ac:dyDescent="0.35">
      <c r="A50" s="16" t="s">
        <v>1886</v>
      </c>
      <c r="B50" s="17">
        <v>1.8411835572947299</v>
      </c>
      <c r="C50" s="17">
        <v>3.3627312439613699</v>
      </c>
      <c r="D50" s="17">
        <v>1.44208327497126</v>
      </c>
      <c r="E50" s="17">
        <v>0.135414111874439</v>
      </c>
      <c r="F50" s="17">
        <v>1.52978143061831</v>
      </c>
      <c r="G50" s="17">
        <v>-2.17045742073805</v>
      </c>
      <c r="H50" s="17">
        <v>-1.34089840586475</v>
      </c>
      <c r="I50" s="17">
        <v>-0.77416805558195601</v>
      </c>
      <c r="J50" s="17">
        <v>-1.2838124825221799</v>
      </c>
      <c r="K50" s="17">
        <v>1.5954116352354399</v>
      </c>
      <c r="L50" s="17">
        <v>-0.81961342520404301</v>
      </c>
      <c r="M50" s="17">
        <v>-1.8963167113384001</v>
      </c>
      <c r="N50" s="17">
        <v>-1.1612520833729301</v>
      </c>
      <c r="O50" s="17">
        <v>-1.09483896376001</v>
      </c>
      <c r="P50" s="17">
        <v>2.8606759739591898</v>
      </c>
      <c r="Q50" s="17">
        <v>-1.09483896376001</v>
      </c>
      <c r="R50" s="17">
        <v>-2.07315576301125</v>
      </c>
      <c r="S50" s="17">
        <v>-2.4173389787666499</v>
      </c>
      <c r="T50" s="17">
        <v>0.73058382560850099</v>
      </c>
      <c r="U50" s="17">
        <v>-1.83610076053711</v>
      </c>
      <c r="V50" s="17">
        <v>-0.675466768531506</v>
      </c>
      <c r="W50" s="17">
        <v>-1.66491135636748</v>
      </c>
      <c r="X50" s="17">
        <v>-1.12853417265608</v>
      </c>
      <c r="Y50" s="17">
        <v>-0.86554619914504505</v>
      </c>
      <c r="Z50" s="17">
        <v>-1.3126658038378201</v>
      </c>
      <c r="AA50" s="17">
        <v>-0.24242897156461499</v>
      </c>
      <c r="AB50" s="17">
        <v>-0.13078881186189001</v>
      </c>
      <c r="AC50" s="17">
        <v>-0.94815835566919904</v>
      </c>
      <c r="AD50" s="17">
        <v>-1.90005378976902</v>
      </c>
    </row>
    <row r="51" spans="1:30" x14ac:dyDescent="0.35">
      <c r="A51" s="16" t="s">
        <v>1887</v>
      </c>
      <c r="B51" s="17">
        <v>5.5737508054878502</v>
      </c>
      <c r="C51" s="17">
        <v>0.49061365083532299</v>
      </c>
      <c r="D51" s="17">
        <v>1.7647191288733499</v>
      </c>
      <c r="E51" s="17">
        <v>-1.7311049756077901</v>
      </c>
      <c r="F51" s="17">
        <v>0.93583781833822599</v>
      </c>
      <c r="G51" s="17">
        <v>-2.5789677018779802</v>
      </c>
      <c r="H51" s="17">
        <v>-0.39019948628585399</v>
      </c>
      <c r="I51" s="17">
        <v>-0.70087664405046202</v>
      </c>
      <c r="J51" s="17">
        <v>-0.30188894190115101</v>
      </c>
      <c r="K51" s="17">
        <v>-2.8577380332470401</v>
      </c>
      <c r="L51" s="17">
        <v>-1.98237851113341</v>
      </c>
      <c r="M51" s="17">
        <v>-1.13430777804719</v>
      </c>
      <c r="N51" s="17">
        <v>-1.05131496607569</v>
      </c>
      <c r="O51" s="17">
        <v>-0.99118925556670401</v>
      </c>
      <c r="P51" s="17">
        <v>-0.205805465729924</v>
      </c>
      <c r="Q51" s="17">
        <v>-0.99118925556670401</v>
      </c>
      <c r="R51" s="17">
        <v>-1.98347514969757</v>
      </c>
      <c r="S51" s="17">
        <v>-0.81767631941459895</v>
      </c>
      <c r="T51" s="17">
        <v>-2.5512294937587598</v>
      </c>
      <c r="U51" s="17">
        <v>-0.45910450047444501</v>
      </c>
      <c r="V51" s="17">
        <v>-1.3779826099171</v>
      </c>
      <c r="W51" s="17">
        <v>-0.84385085454471398</v>
      </c>
      <c r="X51" s="17">
        <v>-1.0216944989197101</v>
      </c>
      <c r="Y51" s="17">
        <v>0.49255102912360899</v>
      </c>
      <c r="Z51" s="17">
        <v>-1.1883941693539199</v>
      </c>
      <c r="AA51" s="17">
        <v>0.93583781833822599</v>
      </c>
      <c r="AB51" s="17">
        <v>-1.3363062095621201</v>
      </c>
      <c r="AC51" s="17">
        <v>0.30656966974248301</v>
      </c>
      <c r="AD51" s="17">
        <v>-2.4024840945490999</v>
      </c>
    </row>
    <row r="52" spans="1:30" x14ac:dyDescent="0.35">
      <c r="A52" s="16" t="s">
        <v>1888</v>
      </c>
      <c r="B52" s="17">
        <v>7.2006360343686099E-2</v>
      </c>
      <c r="C52" s="17">
        <v>0.25231081070878603</v>
      </c>
      <c r="D52" s="17">
        <v>1.5670079035040601</v>
      </c>
      <c r="E52" s="17">
        <v>2.4214764929477401</v>
      </c>
      <c r="F52" s="17">
        <v>1.2176480156506</v>
      </c>
      <c r="G52" s="17">
        <v>-1.54174439186219</v>
      </c>
      <c r="H52" s="17">
        <v>2.5104577987274599</v>
      </c>
      <c r="I52" s="17">
        <v>-0.638573564477799</v>
      </c>
      <c r="J52" s="17">
        <v>-1.0589544572063401</v>
      </c>
      <c r="K52" s="17">
        <v>-1.8355687134701999</v>
      </c>
      <c r="L52" s="17">
        <v>-1.80615879091487</v>
      </c>
      <c r="M52" s="17">
        <v>0.35375917739659002</v>
      </c>
      <c r="N52" s="17">
        <v>8.6133178464447305E-2</v>
      </c>
      <c r="O52" s="17">
        <v>0.20424295629822201</v>
      </c>
      <c r="P52" s="17">
        <v>-1.9254238048886398E-2</v>
      </c>
      <c r="Q52" s="17">
        <v>-0.90307939545743299</v>
      </c>
      <c r="R52" s="17">
        <v>-0.11434496524774</v>
      </c>
      <c r="S52" s="17">
        <v>0.51364602057883102</v>
      </c>
      <c r="T52" s="17">
        <v>1.11724208416992</v>
      </c>
      <c r="U52" s="17">
        <v>-1.51451018799168</v>
      </c>
      <c r="V52" s="17">
        <v>-1.15752675028223</v>
      </c>
      <c r="W52" s="17">
        <v>-0.64513368414634598</v>
      </c>
      <c r="X52" s="17">
        <v>-0.93087293394748505</v>
      </c>
      <c r="Y52" s="17">
        <v>-0.71394694940335202</v>
      </c>
      <c r="Z52" s="17">
        <v>-1.08275415819724</v>
      </c>
      <c r="AA52" s="17">
        <v>-0.93087293394748505</v>
      </c>
      <c r="AB52" s="17">
        <v>-1.11785126556131</v>
      </c>
      <c r="AC52" s="17">
        <v>0.49653601763120297</v>
      </c>
      <c r="AD52" s="17">
        <v>-1.2752272574569301</v>
      </c>
    </row>
    <row r="53" spans="1:30" x14ac:dyDescent="0.35">
      <c r="A53" s="16" t="s">
        <v>1889</v>
      </c>
      <c r="B53" s="17">
        <v>3.2097305929161499</v>
      </c>
      <c r="C53" s="17">
        <v>-0.50988160361309798</v>
      </c>
      <c r="D53" s="17">
        <v>-1.8993991738046101</v>
      </c>
      <c r="E53" s="17">
        <v>-0.39851332947416002</v>
      </c>
      <c r="F53" s="17">
        <v>-0.90229148250057101</v>
      </c>
      <c r="G53" s="17">
        <v>1.8473327118743801</v>
      </c>
      <c r="H53" s="17">
        <v>2.6589757361453898</v>
      </c>
      <c r="I53" s="17">
        <v>-0.61896685053993805</v>
      </c>
      <c r="J53" s="17">
        <v>-5.2199714334543797E-2</v>
      </c>
      <c r="K53" s="17">
        <v>0.249877322500587</v>
      </c>
      <c r="L53" s="17">
        <v>-1.1795033958811101</v>
      </c>
      <c r="M53" s="17">
        <v>1.7816673607284801</v>
      </c>
      <c r="N53" s="17">
        <v>-0.92845027580990802</v>
      </c>
      <c r="O53" s="17">
        <v>0.26704715231659698</v>
      </c>
      <c r="P53" s="17">
        <v>-0.97867252192361398</v>
      </c>
      <c r="Q53" s="17">
        <v>-0.87535131469294103</v>
      </c>
      <c r="R53" s="17">
        <v>-1.1361483432495001</v>
      </c>
      <c r="S53" s="17">
        <v>-1.93272337134844</v>
      </c>
      <c r="T53" s="17">
        <v>-1.8092351528023201</v>
      </c>
      <c r="U53" s="17">
        <v>0.57557572081448205</v>
      </c>
      <c r="V53" s="17">
        <v>-0.49110435857714602</v>
      </c>
      <c r="W53" s="17">
        <v>1.6738078727435901</v>
      </c>
      <c r="X53" s="17">
        <v>0.205997822446257</v>
      </c>
      <c r="Y53" s="17">
        <v>-0.69202597681312705</v>
      </c>
      <c r="Z53" s="17">
        <v>-9.6683169371633196E-2</v>
      </c>
      <c r="AA53" s="17">
        <v>-0.90229148250057101</v>
      </c>
      <c r="AB53" s="17">
        <v>-1.6521893746570699</v>
      </c>
      <c r="AC53" s="17">
        <v>1.8801797740388999</v>
      </c>
      <c r="AD53" s="17">
        <v>-2.1217114681999401</v>
      </c>
    </row>
    <row r="54" spans="1:30" x14ac:dyDescent="0.35">
      <c r="A54" s="16" t="s">
        <v>1890</v>
      </c>
      <c r="B54" s="17">
        <v>4.3754493956988796</v>
      </c>
      <c r="C54" s="17">
        <v>-1.2525946823016501</v>
      </c>
      <c r="D54" s="17">
        <v>-1.6629141204190401</v>
      </c>
      <c r="E54" s="17">
        <v>0.92172749827230505</v>
      </c>
      <c r="F54" s="17">
        <v>1.0754280712620601</v>
      </c>
      <c r="G54" s="17">
        <v>-2.07097809075047</v>
      </c>
      <c r="H54" s="17">
        <v>-0.29583760839647499</v>
      </c>
      <c r="I54" s="17">
        <v>5.3097427632703198</v>
      </c>
      <c r="J54" s="17">
        <v>-1.10946614443703</v>
      </c>
      <c r="K54" s="17">
        <v>-1.9947359995210601</v>
      </c>
      <c r="L54" s="17">
        <v>-1.89231181413017</v>
      </c>
      <c r="M54" s="17">
        <v>-1.02858383048623</v>
      </c>
      <c r="N54" s="17">
        <v>-1.0035498869181501</v>
      </c>
      <c r="O54" s="17">
        <v>-0.94615590706508801</v>
      </c>
      <c r="P54" s="17">
        <v>-0.11250697040320699</v>
      </c>
      <c r="Q54" s="17">
        <v>-0.94615590706508801</v>
      </c>
      <c r="R54" s="17">
        <v>-0.25218543931179999</v>
      </c>
      <c r="S54" s="17">
        <v>-1.6103704952198901</v>
      </c>
      <c r="T54" s="17">
        <v>-2.0246937957145001</v>
      </c>
      <c r="U54" s="17">
        <v>-0.95653336589818405</v>
      </c>
      <c r="V54" s="17">
        <v>-0.71610846534737205</v>
      </c>
      <c r="W54" s="17">
        <v>0.64624536030453295</v>
      </c>
      <c r="X54" s="17">
        <v>-0.97527518578285999</v>
      </c>
      <c r="Y54" s="17">
        <v>-0.74800192198706905</v>
      </c>
      <c r="Z54" s="17">
        <v>0.62864378269226395</v>
      </c>
      <c r="AA54" s="17">
        <v>-0.97527518578285999</v>
      </c>
      <c r="AB54" s="17">
        <v>-0.10593907444505</v>
      </c>
      <c r="AC54" s="17">
        <v>0.40101749340475901</v>
      </c>
      <c r="AD54" s="17">
        <v>2.5031871579360301</v>
      </c>
    </row>
    <row r="55" spans="1:30" x14ac:dyDescent="0.35">
      <c r="A55" s="16" t="s">
        <v>24</v>
      </c>
      <c r="B55" s="17">
        <v>7.0884124216817304</v>
      </c>
      <c r="C55" s="17">
        <v>0.694653245857485</v>
      </c>
      <c r="D55" s="17">
        <v>0.58187790739790102</v>
      </c>
      <c r="E55" s="17">
        <v>0.55518776546717996</v>
      </c>
      <c r="F55" s="17">
        <v>-1.10507686569289</v>
      </c>
      <c r="G55" s="17">
        <v>-2.9923316875696901</v>
      </c>
      <c r="H55" s="17">
        <v>-1.3130269720394101</v>
      </c>
      <c r="I55" s="17">
        <v>-0.75807647576019399</v>
      </c>
      <c r="J55" s="17">
        <v>-0.461663427028145</v>
      </c>
      <c r="K55" s="17">
        <v>-2.1203920723811902</v>
      </c>
      <c r="L55" s="17">
        <v>-1.67778184548695</v>
      </c>
      <c r="M55" s="17">
        <v>-1.31836874972677</v>
      </c>
      <c r="N55" s="17">
        <v>-1.1371147136402899</v>
      </c>
      <c r="O55" s="17">
        <v>-1.0720820333360599</v>
      </c>
      <c r="P55" s="17">
        <v>-1.19862415199782</v>
      </c>
      <c r="Q55" s="17">
        <v>-0.13931759096570101</v>
      </c>
      <c r="R55" s="17">
        <v>-3.7789103442590299</v>
      </c>
      <c r="S55" s="17">
        <v>0.16766157839270601</v>
      </c>
      <c r="T55" s="17">
        <v>-2.3970476576927999</v>
      </c>
      <c r="U55" s="17">
        <v>-1.7979362279967299</v>
      </c>
      <c r="V55" s="17">
        <v>-2.0587045879314099</v>
      </c>
      <c r="W55" s="17">
        <v>-1.6303051054456399</v>
      </c>
      <c r="X55" s="17">
        <v>-1.10507686569289</v>
      </c>
      <c r="Y55" s="17">
        <v>-0.847555265971632</v>
      </c>
      <c r="Z55" s="17">
        <v>-0.50740187814605298</v>
      </c>
      <c r="AA55" s="17">
        <v>-0.20016243752503701</v>
      </c>
      <c r="AB55" s="17">
        <v>-2.0235104631789298</v>
      </c>
      <c r="AC55" s="17">
        <v>-0.92845027580990802</v>
      </c>
      <c r="AD55" s="17">
        <v>-1.4440675629119599</v>
      </c>
    </row>
    <row r="56" spans="1:30" x14ac:dyDescent="0.35">
      <c r="A56" s="39" t="s">
        <v>1896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30" x14ac:dyDescent="0.35">
      <c r="A57" s="15" t="s">
        <v>0</v>
      </c>
      <c r="B57" s="15" t="s">
        <v>1</v>
      </c>
      <c r="C57" s="15" t="s">
        <v>29</v>
      </c>
      <c r="D57" s="15" t="s">
        <v>1140</v>
      </c>
      <c r="E57" s="15" t="s">
        <v>14</v>
      </c>
      <c r="F57" s="15" t="s">
        <v>18</v>
      </c>
      <c r="G57" s="15" t="s">
        <v>5</v>
      </c>
      <c r="H57" s="15" t="s">
        <v>1141</v>
      </c>
      <c r="I57" s="15" t="s">
        <v>1174</v>
      </c>
      <c r="J57" s="15" t="s">
        <v>21</v>
      </c>
      <c r="K57" s="15" t="s">
        <v>1138</v>
      </c>
      <c r="L57" s="15" t="s">
        <v>1136</v>
      </c>
      <c r="M57" s="15" t="s">
        <v>1142</v>
      </c>
      <c r="N57" s="15" t="s">
        <v>1148</v>
      </c>
      <c r="O57" s="15" t="s">
        <v>1144</v>
      </c>
      <c r="P57" s="15" t="s">
        <v>1149</v>
      </c>
      <c r="Q57" s="15" t="s">
        <v>1145</v>
      </c>
      <c r="R57" s="15" t="s">
        <v>37</v>
      </c>
      <c r="S57" s="15" t="s">
        <v>9</v>
      </c>
      <c r="T57" s="15" t="s">
        <v>19</v>
      </c>
      <c r="U57" s="15" t="s">
        <v>15</v>
      </c>
      <c r="V57" s="15" t="s">
        <v>17</v>
      </c>
      <c r="W57" s="15" t="s">
        <v>11</v>
      </c>
      <c r="X57" s="15" t="s">
        <v>7</v>
      </c>
      <c r="Y57" s="15" t="s">
        <v>1147</v>
      </c>
      <c r="Z57" s="15" t="s">
        <v>1146</v>
      </c>
      <c r="AA57" s="15" t="s">
        <v>10</v>
      </c>
      <c r="AB57" s="15" t="s">
        <v>1175</v>
      </c>
      <c r="AC57" s="15" t="s">
        <v>16</v>
      </c>
      <c r="AD57" s="15" t="s">
        <v>12</v>
      </c>
    </row>
    <row r="58" spans="1:30" x14ac:dyDescent="0.35">
      <c r="A58" s="16" t="s">
        <v>1876</v>
      </c>
      <c r="B58" s="17">
        <v>8.5679452047402496</v>
      </c>
      <c r="C58" s="17">
        <v>4.7787716280874202</v>
      </c>
      <c r="D58" s="17">
        <v>2.06439773422577</v>
      </c>
      <c r="E58" s="17">
        <v>1.36705399863295</v>
      </c>
      <c r="F58" s="17">
        <v>1.33001422475107</v>
      </c>
      <c r="G58" s="17">
        <v>0.87612859938140297</v>
      </c>
      <c r="H58" s="17">
        <v>5.1920610802189699</v>
      </c>
      <c r="I58" s="17">
        <v>0.22361631966895101</v>
      </c>
      <c r="J58" s="17">
        <v>6.2459882675193699</v>
      </c>
      <c r="K58" s="17">
        <v>0.244366444366444</v>
      </c>
      <c r="L58" s="17">
        <v>1.01028061554389E-5</v>
      </c>
      <c r="M58" s="17">
        <v>1.3416979180137101</v>
      </c>
      <c r="N58" s="17">
        <v>79.662795810164297</v>
      </c>
      <c r="O58" s="17">
        <v>1.25177809388336</v>
      </c>
      <c r="P58" s="17">
        <v>1.3165407991723801</v>
      </c>
      <c r="Q58" s="17">
        <v>36.379050821156099</v>
      </c>
      <c r="R58" s="17">
        <v>5.4446018210724096</v>
      </c>
      <c r="S58" s="17">
        <v>0.59006389532705295</v>
      </c>
      <c r="T58" s="17">
        <v>3.9273351893014201</v>
      </c>
      <c r="U58" s="17">
        <v>1.74608043450149</v>
      </c>
      <c r="V58" s="17">
        <v>15.228258377589301</v>
      </c>
      <c r="W58" s="17">
        <v>1.2401913875598101</v>
      </c>
      <c r="X58" s="17">
        <v>2.0968591445371598</v>
      </c>
      <c r="Y58" s="17">
        <v>6.0543126858916302E-2</v>
      </c>
      <c r="Z58" s="17">
        <v>0.355162235253769</v>
      </c>
      <c r="AA58" s="17">
        <v>1.33001422475107</v>
      </c>
      <c r="AB58" s="17">
        <v>0.53218673218673196</v>
      </c>
      <c r="AC58" s="17">
        <v>3.9850855640329299E-3</v>
      </c>
      <c r="AD58" s="17">
        <v>1.80738779092643</v>
      </c>
    </row>
    <row r="59" spans="1:30" x14ac:dyDescent="0.35">
      <c r="A59" s="16" t="s">
        <v>1877</v>
      </c>
      <c r="B59" s="17">
        <v>0.66294097805470897</v>
      </c>
      <c r="C59" s="17">
        <v>4.7837544111414602E-2</v>
      </c>
      <c r="D59" s="17">
        <v>0.92282315380167801</v>
      </c>
      <c r="E59" s="17">
        <v>0.32472774857497699</v>
      </c>
      <c r="F59" s="17">
        <v>4.7916494812026196</v>
      </c>
      <c r="G59" s="17">
        <v>1.26923660433819</v>
      </c>
      <c r="H59" s="17">
        <v>6.35723637004494E-2</v>
      </c>
      <c r="I59" s="17">
        <v>0.42863916548127101</v>
      </c>
      <c r="J59" s="17">
        <v>2.7108469353462401E-2</v>
      </c>
      <c r="K59" s="17">
        <v>2.10589856607556</v>
      </c>
      <c r="L59" s="17">
        <v>1.7207338990714001</v>
      </c>
      <c r="M59" s="17">
        <v>0.12714472740089899</v>
      </c>
      <c r="N59" s="17">
        <v>1.3112786750420599E-3</v>
      </c>
      <c r="O59" s="17">
        <v>0.85727833096254102</v>
      </c>
      <c r="P59" s="17">
        <v>4.7837544111414597E-3</v>
      </c>
      <c r="Q59" s="17">
        <v>0.85727833096254102</v>
      </c>
      <c r="R59" s="17">
        <v>0.419268305265181</v>
      </c>
      <c r="S59" s="17">
        <v>5.5607839396847298</v>
      </c>
      <c r="T59" s="17">
        <v>2.3837601431611501</v>
      </c>
      <c r="U59" s="17">
        <v>0.82584456836902098</v>
      </c>
      <c r="V59" s="17">
        <v>7.4066015760378399</v>
      </c>
      <c r="W59" s="17">
        <v>1.55255395124982E-4</v>
      </c>
      <c r="X59" s="17">
        <v>10.476709345856399</v>
      </c>
      <c r="Y59" s="17">
        <v>0.53579895685158796</v>
      </c>
      <c r="Z59" s="17">
        <v>0.47820139452548699</v>
      </c>
      <c r="AA59" s="17">
        <v>8.7239215982469198E-3</v>
      </c>
      <c r="AB59" s="17">
        <v>0.36378856732838999</v>
      </c>
      <c r="AC59" s="17">
        <v>0.64295874822190602</v>
      </c>
      <c r="AD59" s="17">
        <v>9.6277359522659793</v>
      </c>
    </row>
    <row r="60" spans="1:30" x14ac:dyDescent="0.35">
      <c r="A60" s="16" t="s">
        <v>1878</v>
      </c>
      <c r="B60" s="17">
        <v>4.56893351112506</v>
      </c>
      <c r="C60" s="17">
        <v>15.326416040100201</v>
      </c>
      <c r="D60" s="17">
        <v>5.2905655227176798</v>
      </c>
      <c r="E60" s="17">
        <v>2.99672443657406</v>
      </c>
      <c r="F60" s="17">
        <v>1.04385964912281</v>
      </c>
      <c r="G60" s="17">
        <v>1.0773039155265201</v>
      </c>
      <c r="H60" s="17">
        <v>1.4736842105263199</v>
      </c>
      <c r="I60" s="17">
        <v>0.49122807017543901</v>
      </c>
      <c r="J60" s="17">
        <v>0.31191615402141698</v>
      </c>
      <c r="K60" s="17">
        <v>3.2687074829932001</v>
      </c>
      <c r="L60" s="17">
        <v>0.94768170426065101</v>
      </c>
      <c r="M60" s="17">
        <v>2.9473684210526301</v>
      </c>
      <c r="N60" s="17">
        <v>1.1052631578947401</v>
      </c>
      <c r="O60" s="17">
        <v>1.0538847117794501</v>
      </c>
      <c r="P60" s="17">
        <v>1.2280701754386001</v>
      </c>
      <c r="Q60" s="17">
        <v>0.98245614035087703</v>
      </c>
      <c r="R60" s="17">
        <v>0.169467787114846</v>
      </c>
      <c r="S60" s="17">
        <v>1.0202429149797601</v>
      </c>
      <c r="T60" s="17">
        <v>3.97692344067717E-2</v>
      </c>
      <c r="U60" s="17">
        <v>0.55363408521303303</v>
      </c>
      <c r="V60" s="17">
        <v>0.107068518754513</v>
      </c>
      <c r="W60" s="17">
        <v>3.2547585179164201E-2</v>
      </c>
      <c r="X60" s="17">
        <v>1.04385964912281</v>
      </c>
      <c r="Y60" s="17">
        <v>0.61403508771929804</v>
      </c>
      <c r="Z60" s="17">
        <v>0.244578838400349</v>
      </c>
      <c r="AA60" s="17">
        <v>1.04385964912281</v>
      </c>
      <c r="AB60" s="17">
        <v>3.5</v>
      </c>
      <c r="AC60" s="17">
        <v>0.73684210526315796</v>
      </c>
      <c r="AD60" s="17">
        <v>4.7354556604276699</v>
      </c>
    </row>
    <row r="61" spans="1:30" x14ac:dyDescent="0.35">
      <c r="A61" s="16" t="s">
        <v>1879</v>
      </c>
      <c r="B61" s="17">
        <v>0.45772018089372701</v>
      </c>
      <c r="C61" s="17">
        <v>0.31980028008424599</v>
      </c>
      <c r="D61" s="17">
        <v>7.5201541871743203</v>
      </c>
      <c r="E61" s="17">
        <v>4.8266013871889002E-2</v>
      </c>
      <c r="F61" s="17">
        <v>2.0559986871456399E-2</v>
      </c>
      <c r="G61" s="17">
        <v>0.94990752736804795</v>
      </c>
      <c r="H61" s="17">
        <v>1.2233285917496399</v>
      </c>
      <c r="I61" s="17">
        <v>0.86010177864522996</v>
      </c>
      <c r="J61" s="17">
        <v>1.12138454243717</v>
      </c>
      <c r="K61" s="17">
        <v>0.466986920475293</v>
      </c>
      <c r="L61" s="17">
        <v>4.2827037640455599</v>
      </c>
      <c r="M61" s="17">
        <v>0.98619206722021902</v>
      </c>
      <c r="N61" s="17">
        <v>0.91749644381223305</v>
      </c>
      <c r="O61" s="17">
        <v>0.81555239449976302</v>
      </c>
      <c r="P61" s="17">
        <v>1.0194404931247001</v>
      </c>
      <c r="Q61" s="17">
        <v>0.81555239449976302</v>
      </c>
      <c r="R61" s="17">
        <v>1.81334836888872</v>
      </c>
      <c r="S61" s="17">
        <v>2.22733849563715</v>
      </c>
      <c r="T61" s="17">
        <v>2.14335931737839</v>
      </c>
      <c r="U61" s="17">
        <v>3.76170785228312E-2</v>
      </c>
      <c r="V61" s="17">
        <v>0.33742434632213297</v>
      </c>
      <c r="W61" s="17">
        <v>1.8859649122807001</v>
      </c>
      <c r="X61" s="17">
        <v>0.86652441915599798</v>
      </c>
      <c r="Y61" s="17">
        <v>0.50972024656235204</v>
      </c>
      <c r="Z61" s="17">
        <v>0.58428781077389402</v>
      </c>
      <c r="AA61" s="17">
        <v>0.86652441915599798</v>
      </c>
      <c r="AB61" s="17">
        <v>1.2495914519170299</v>
      </c>
      <c r="AC61" s="17">
        <v>0.246548016805055</v>
      </c>
      <c r="AD61" s="17">
        <v>3.0000788778048602</v>
      </c>
    </row>
    <row r="62" spans="1:30" x14ac:dyDescent="0.35">
      <c r="A62" s="16" t="s">
        <v>1880</v>
      </c>
      <c r="B62" s="17">
        <v>12.864176053078101</v>
      </c>
      <c r="C62" s="17">
        <v>4.7750421499434701</v>
      </c>
      <c r="D62" s="17">
        <v>4.9031010607352501</v>
      </c>
      <c r="E62" s="17">
        <v>0.60160015423173296</v>
      </c>
      <c r="F62" s="17">
        <v>0.83831199620673302</v>
      </c>
      <c r="G62" s="17">
        <v>1.3084092255791999</v>
      </c>
      <c r="H62" s="17">
        <v>1.18349928876245</v>
      </c>
      <c r="I62" s="17">
        <v>0.39449976292081601</v>
      </c>
      <c r="J62" s="17">
        <v>0.77193728509518</v>
      </c>
      <c r="K62" s="17">
        <v>3.0077343827343799</v>
      </c>
      <c r="L62" s="17">
        <v>4.68198968990498</v>
      </c>
      <c r="M62" s="17">
        <v>5.6902423678739503E-2</v>
      </c>
      <c r="N62" s="17">
        <v>5.02704754349491</v>
      </c>
      <c r="O62" s="17">
        <v>1.8587110643031699</v>
      </c>
      <c r="P62" s="17">
        <v>0.98624940730203903</v>
      </c>
      <c r="Q62" s="17">
        <v>0.78899952584163102</v>
      </c>
      <c r="R62" s="17">
        <v>1.0410500998736301</v>
      </c>
      <c r="S62" s="17">
        <v>6.13600208741909E-3</v>
      </c>
      <c r="T62" s="17">
        <v>26.515674108338001</v>
      </c>
      <c r="U62" s="17">
        <v>27.283163730532099</v>
      </c>
      <c r="V62" s="17">
        <v>3.2829689979556198</v>
      </c>
      <c r="W62" s="17">
        <v>20.901484480431801</v>
      </c>
      <c r="X62" s="17">
        <v>3.1185299374153898E-2</v>
      </c>
      <c r="Y62" s="17">
        <v>0.49312470365101901</v>
      </c>
      <c r="Z62" s="17">
        <v>1.13418681839734</v>
      </c>
      <c r="AA62" s="17">
        <v>20.660144575392302</v>
      </c>
      <c r="AB62" s="17">
        <v>0.50311850311850304</v>
      </c>
      <c r="AC62" s="17">
        <v>3.3513650289966099</v>
      </c>
      <c r="AD62" s="17">
        <v>2.4422461914063298</v>
      </c>
    </row>
    <row r="63" spans="1:30" x14ac:dyDescent="0.35">
      <c r="A63" s="16" t="s">
        <v>1881</v>
      </c>
      <c r="B63" s="17">
        <v>55.218989094532397</v>
      </c>
      <c r="C63" s="17">
        <v>1.5637118192527799</v>
      </c>
      <c r="D63" s="17">
        <v>0.11587259780369399</v>
      </c>
      <c r="E63" s="17">
        <v>2.2684778957703502</v>
      </c>
      <c r="F63" s="17">
        <v>1.04898553400038E-3</v>
      </c>
      <c r="G63" s="17">
        <v>6.9303126953038499</v>
      </c>
      <c r="H63" s="17">
        <v>2.0941913155695002E-2</v>
      </c>
      <c r="I63" s="17">
        <v>6.9806377185650101E-3</v>
      </c>
      <c r="J63" s="17">
        <v>0.110890755600468</v>
      </c>
      <c r="K63" s="17">
        <v>8.9623067839562705</v>
      </c>
      <c r="L63" s="17">
        <v>7.9340023182433699</v>
      </c>
      <c r="M63" s="17">
        <v>3.6377601149711798</v>
      </c>
      <c r="N63" s="17">
        <v>2.0697012802276</v>
      </c>
      <c r="O63" s="17">
        <v>0.73174478059176895</v>
      </c>
      <c r="P63" s="17">
        <v>3.1708021097603298</v>
      </c>
      <c r="Q63" s="17">
        <v>0.73174478059176895</v>
      </c>
      <c r="R63" s="17">
        <v>15.3290877900338</v>
      </c>
      <c r="S63" s="17">
        <v>1.0245342550280101</v>
      </c>
      <c r="T63" s="17">
        <v>11.446906501706399</v>
      </c>
      <c r="U63" s="17">
        <v>4.5007136816686497</v>
      </c>
      <c r="V63" s="17">
        <v>3.3736416912051701</v>
      </c>
      <c r="W63" s="17">
        <v>0.13067462470609501</v>
      </c>
      <c r="X63" s="17">
        <v>2.14004231482448</v>
      </c>
      <c r="Y63" s="17">
        <v>20.4587000239523</v>
      </c>
      <c r="Z63" s="17">
        <v>1.0227447032302099</v>
      </c>
      <c r="AA63" s="17">
        <v>1.04898553400038E-3</v>
      </c>
      <c r="AB63" s="17">
        <v>0.99529116745611601</v>
      </c>
      <c r="AC63" s="17">
        <v>0.27876992565001202</v>
      </c>
      <c r="AD63" s="17">
        <v>0.94241676825345899</v>
      </c>
    </row>
    <row r="64" spans="1:30" x14ac:dyDescent="0.35">
      <c r="A64" s="16" t="s">
        <v>1882</v>
      </c>
      <c r="B64" s="17">
        <v>4.7676447804389603</v>
      </c>
      <c r="C64" s="17">
        <v>3.9330623290103603E-2</v>
      </c>
      <c r="D64" s="17">
        <v>0.121898801651593</v>
      </c>
      <c r="E64" s="17">
        <v>0.92050733528381601</v>
      </c>
      <c r="F64" s="17">
        <v>1.40187728435977E-3</v>
      </c>
      <c r="G64" s="17">
        <v>23.8914950415992</v>
      </c>
      <c r="H64" s="17">
        <v>9.5241850527030006E-2</v>
      </c>
      <c r="I64" s="17">
        <v>0.45329540066382201</v>
      </c>
      <c r="J64" s="17">
        <v>4.8768513864307798E-2</v>
      </c>
      <c r="K64" s="17">
        <v>0.31308325659790098</v>
      </c>
      <c r="L64" s="17">
        <v>0.52032241033149396</v>
      </c>
      <c r="M64" s="17">
        <v>2.8872822392972099E-2</v>
      </c>
      <c r="N64" s="17">
        <v>1.0199146514935999</v>
      </c>
      <c r="O64" s="17">
        <v>9.62427413099071E-3</v>
      </c>
      <c r="P64" s="17">
        <v>1.5665279902232099E-2</v>
      </c>
      <c r="Q64" s="17">
        <v>9.62427413099071E-3</v>
      </c>
      <c r="R64" s="17">
        <v>0.74728543458545904</v>
      </c>
      <c r="S64" s="17">
        <v>4.7469555507432597</v>
      </c>
      <c r="T64" s="17">
        <v>6.3261043927757798E-6</v>
      </c>
      <c r="U64" s="17">
        <v>0.118545345609869</v>
      </c>
      <c r="V64" s="17">
        <v>0.53956446564846905</v>
      </c>
      <c r="W64" s="17">
        <v>0.57347867576891998</v>
      </c>
      <c r="X64" s="17">
        <v>1.40187728435977E-3</v>
      </c>
      <c r="Y64" s="17">
        <v>0.56661925082977704</v>
      </c>
      <c r="Z64" s="17">
        <v>1.3032242769084901</v>
      </c>
      <c r="AA64" s="17">
        <v>4.30659508427427</v>
      </c>
      <c r="AB64" s="17">
        <v>0.183704625127219</v>
      </c>
      <c r="AC64" s="17">
        <v>0.67994310099573296</v>
      </c>
      <c r="AD64" s="17">
        <v>1.34224517216828</v>
      </c>
    </row>
    <row r="65" spans="1:30" x14ac:dyDescent="0.35">
      <c r="A65" s="16" t="s">
        <v>1883</v>
      </c>
      <c r="B65" s="17">
        <v>1.5689540168373501E-2</v>
      </c>
      <c r="C65" s="17">
        <v>2.1567481257634098</v>
      </c>
      <c r="D65" s="17">
        <v>0.16343361922376501</v>
      </c>
      <c r="E65" s="17">
        <v>7.9057089728930795E-3</v>
      </c>
      <c r="F65" s="17">
        <v>0.87458511142721695</v>
      </c>
      <c r="G65" s="17">
        <v>4.5444452993647202</v>
      </c>
      <c r="H65" s="17">
        <v>4.4616226704511902E-2</v>
      </c>
      <c r="I65" s="17">
        <v>0.84129296650519103</v>
      </c>
      <c r="J65" s="17">
        <v>0.66595930263162795</v>
      </c>
      <c r="K65" s="17">
        <v>0.19586439632522601</v>
      </c>
      <c r="L65" s="17">
        <v>0.88544165830880595</v>
      </c>
      <c r="M65" s="17">
        <v>0.87437070225695002</v>
      </c>
      <c r="N65" s="17">
        <v>0.926031294452347</v>
      </c>
      <c r="O65" s="17">
        <v>1.6825859330103801</v>
      </c>
      <c r="P65" s="17">
        <v>1.02892366050261</v>
      </c>
      <c r="Q65" s="17">
        <v>1.6825859330103801</v>
      </c>
      <c r="R65" s="17">
        <v>1.2828801965424399</v>
      </c>
      <c r="S65" s="17">
        <v>6.1981975258715503</v>
      </c>
      <c r="T65" s="17">
        <v>0.38730113929524501</v>
      </c>
      <c r="U65" s="17">
        <v>2.3150782361308702</v>
      </c>
      <c r="V65" s="17">
        <v>0.30658934585440301</v>
      </c>
      <c r="W65" s="17">
        <v>1.90350877192982</v>
      </c>
      <c r="X65" s="17">
        <v>1.44818229223502</v>
      </c>
      <c r="Y65" s="17">
        <v>0.45824063209462201</v>
      </c>
      <c r="Z65" s="17">
        <v>2.7893531733127199</v>
      </c>
      <c r="AA65" s="17">
        <v>1.7984406629168399E-2</v>
      </c>
      <c r="AB65" s="17">
        <v>34.5637688379624</v>
      </c>
      <c r="AC65" s="17">
        <v>0.61735419630156496</v>
      </c>
      <c r="AD65" s="17">
        <v>3.04272618328176</v>
      </c>
    </row>
    <row r="66" spans="1:30" x14ac:dyDescent="0.35">
      <c r="A66" s="16" t="s">
        <v>1884</v>
      </c>
      <c r="B66" s="17">
        <v>2.6669603447652399</v>
      </c>
      <c r="C66" s="17">
        <v>2.8350611516698098E-3</v>
      </c>
      <c r="D66" s="17">
        <v>2.6732123428481599E-3</v>
      </c>
      <c r="E66" s="17">
        <v>2.4510741835132599</v>
      </c>
      <c r="F66" s="17">
        <v>1.23727225557103E-3</v>
      </c>
      <c r="G66" s="17">
        <v>0.55279836763941903</v>
      </c>
      <c r="H66" s="17">
        <v>1.4623044096728299</v>
      </c>
      <c r="I66" s="17">
        <v>0.48743480322427701</v>
      </c>
      <c r="J66" s="17">
        <v>5.2767739720432703</v>
      </c>
      <c r="K66" s="17">
        <v>1.1886508520749799</v>
      </c>
      <c r="L66" s="17">
        <v>6.6714871806580298</v>
      </c>
      <c r="M66" s="17">
        <v>1.4727605703184199</v>
      </c>
      <c r="N66" s="17">
        <v>8.5311606917177207E-3</v>
      </c>
      <c r="O66" s="17">
        <v>4.2068734974991404</v>
      </c>
      <c r="P66" s="17">
        <v>0.50107728043423305</v>
      </c>
      <c r="Q66" s="17">
        <v>0.97486960644855403</v>
      </c>
      <c r="R66" s="17">
        <v>0.560015382743696</v>
      </c>
      <c r="S66" s="17">
        <v>1.59415350384017</v>
      </c>
      <c r="T66" s="17">
        <v>4.53990364152305E-2</v>
      </c>
      <c r="U66" s="17">
        <v>1.1065419095114</v>
      </c>
      <c r="V66" s="17">
        <v>0.70754024068532695</v>
      </c>
      <c r="W66" s="17">
        <v>0.69796573144924601</v>
      </c>
      <c r="X66" s="17">
        <v>1.23727225557103E-3</v>
      </c>
      <c r="Y66" s="17">
        <v>0.60929350403034599</v>
      </c>
      <c r="Z66" s="17">
        <v>31.0708049357712</v>
      </c>
      <c r="AA66" s="17">
        <v>1.23727225557103E-3</v>
      </c>
      <c r="AB66" s="17">
        <v>7.9976864023556707E-2</v>
      </c>
      <c r="AC66" s="17">
        <v>9.8856484992057306E-2</v>
      </c>
      <c r="AD66" s="17">
        <v>0.90179390766752099</v>
      </c>
    </row>
    <row r="67" spans="1:30" x14ac:dyDescent="0.35">
      <c r="A67" s="16" t="s">
        <v>1885</v>
      </c>
      <c r="B67" s="17">
        <v>0.21480925913239801</v>
      </c>
      <c r="C67" s="17">
        <v>9.9853989636522709</v>
      </c>
      <c r="D67" s="17">
        <v>4.7871331269525896</v>
      </c>
      <c r="E67" s="17">
        <v>1.9006130865011099</v>
      </c>
      <c r="F67" s="17">
        <v>1.0116168800379299</v>
      </c>
      <c r="G67" s="17">
        <v>28.8879422186419</v>
      </c>
      <c r="H67" s="17">
        <v>1.72995783579763</v>
      </c>
      <c r="I67" s="17">
        <v>0.47605500237079201</v>
      </c>
      <c r="J67" s="17">
        <v>1.3091512565196799</v>
      </c>
      <c r="K67" s="17">
        <v>8.2604588082675701</v>
      </c>
      <c r="L67" s="17">
        <v>0.17161232972330701</v>
      </c>
      <c r="M67" s="17">
        <v>0.45792363972275901</v>
      </c>
      <c r="N67" s="17">
        <v>1.0711237553342801</v>
      </c>
      <c r="O67" s="17">
        <v>2.4088095224601802E-3</v>
      </c>
      <c r="P67" s="17">
        <v>1.1901375059269801</v>
      </c>
      <c r="Q67" s="17">
        <v>2.4088095224601802E-3</v>
      </c>
      <c r="R67" s="17">
        <v>1.7377115808097801</v>
      </c>
      <c r="S67" s="17">
        <v>1.5033199078072199</v>
      </c>
      <c r="T67" s="17">
        <v>1.7345497992285199</v>
      </c>
      <c r="U67" s="17">
        <v>3.8765563634508997E-2</v>
      </c>
      <c r="V67" s="17">
        <v>5.7398204915628597</v>
      </c>
      <c r="W67" s="17">
        <v>15.2694834696303</v>
      </c>
      <c r="X67" s="17">
        <v>1.0116168800379299</v>
      </c>
      <c r="Y67" s="17">
        <v>0.27554684061289197</v>
      </c>
      <c r="Z67" s="17">
        <v>1.36865813181603</v>
      </c>
      <c r="AA67" s="17">
        <v>1.0116168800379299</v>
      </c>
      <c r="AB67" s="17">
        <v>4.5278346075158897E-2</v>
      </c>
      <c r="AC67" s="17">
        <v>0.71408250355618796</v>
      </c>
      <c r="AD67" s="17">
        <v>2.3087433364310201</v>
      </c>
    </row>
    <row r="68" spans="1:30" x14ac:dyDescent="0.35">
      <c r="A68" s="16" t="s">
        <v>1886</v>
      </c>
      <c r="B68" s="17">
        <v>3.38995689165248</v>
      </c>
      <c r="C68" s="17">
        <v>11.307961419113999</v>
      </c>
      <c r="D68" s="17">
        <v>2.0796041719518499</v>
      </c>
      <c r="E68" s="17">
        <v>1.8336981694743099E-2</v>
      </c>
      <c r="F68" s="17">
        <v>2.3402312254646001</v>
      </c>
      <c r="G68" s="17">
        <v>4.7108854152368904</v>
      </c>
      <c r="H68" s="17">
        <v>1.79800853485064</v>
      </c>
      <c r="I68" s="17">
        <v>0.59933617828354702</v>
      </c>
      <c r="J68" s="17">
        <v>1.6481744902797499</v>
      </c>
      <c r="K68" s="17">
        <v>2.5453382858446099</v>
      </c>
      <c r="L68" s="17">
        <v>0.67176616677470302</v>
      </c>
      <c r="M68" s="17">
        <v>3.5960170697012801</v>
      </c>
      <c r="N68" s="17">
        <v>1.3485064011379799</v>
      </c>
      <c r="O68" s="17">
        <v>1.19867235656709</v>
      </c>
      <c r="P68" s="17">
        <v>8.1834670279873496</v>
      </c>
      <c r="Q68" s="17">
        <v>1.19867235656709</v>
      </c>
      <c r="R68" s="17">
        <v>4.29797481770676</v>
      </c>
      <c r="S68" s="17">
        <v>5.8435277382645801</v>
      </c>
      <c r="T68" s="17">
        <v>0.53375272624075298</v>
      </c>
      <c r="U68" s="17">
        <v>3.3712660028449499</v>
      </c>
      <c r="V68" s="17">
        <v>0.45625535539039502</v>
      </c>
      <c r="W68" s="17">
        <v>2.7719298245614001</v>
      </c>
      <c r="X68" s="17">
        <v>1.2735893788525401</v>
      </c>
      <c r="Y68" s="17">
        <v>0.74917022285443302</v>
      </c>
      <c r="Z68" s="17">
        <v>1.7230915125652</v>
      </c>
      <c r="AA68" s="17">
        <v>5.8771806253876999E-2</v>
      </c>
      <c r="AB68" s="17">
        <v>1.71057133082449E-2</v>
      </c>
      <c r="AC68" s="17">
        <v>0.89900426742532002</v>
      </c>
      <c r="AD68" s="17">
        <v>3.61020440401562</v>
      </c>
    </row>
    <row r="69" spans="1:30" x14ac:dyDescent="0.35">
      <c r="A69" s="16" t="s">
        <v>1887</v>
      </c>
      <c r="B69" s="17">
        <v>31.066698041676499</v>
      </c>
      <c r="C69" s="17">
        <v>0.240701754385965</v>
      </c>
      <c r="D69" s="17">
        <v>3.1142336038115102</v>
      </c>
      <c r="E69" s="17">
        <v>2.99672443657406</v>
      </c>
      <c r="F69" s="17">
        <v>0.875792422232051</v>
      </c>
      <c r="G69" s="17">
        <v>6.6510744073297996</v>
      </c>
      <c r="H69" s="17">
        <v>0.15225563909774401</v>
      </c>
      <c r="I69" s="17">
        <v>0.49122807017543901</v>
      </c>
      <c r="J69" s="17">
        <v>9.1136933242196405E-2</v>
      </c>
      <c r="K69" s="17">
        <v>8.1666666666666696</v>
      </c>
      <c r="L69" s="17">
        <v>3.9298245614035099</v>
      </c>
      <c r="M69" s="17">
        <v>1.28665413533835</v>
      </c>
      <c r="N69" s="17">
        <v>1.1052631578947401</v>
      </c>
      <c r="O69" s="17">
        <v>0.98245614035087703</v>
      </c>
      <c r="P69" s="17">
        <v>4.23558897243108E-2</v>
      </c>
      <c r="Q69" s="17">
        <v>0.98245614035087703</v>
      </c>
      <c r="R69" s="17">
        <v>3.93417366946779</v>
      </c>
      <c r="S69" s="17">
        <v>0.66859456333140499</v>
      </c>
      <c r="T69" s="17">
        <v>6.5087719298245599</v>
      </c>
      <c r="U69" s="17">
        <v>0.21077694235589001</v>
      </c>
      <c r="V69" s="17">
        <v>1.89883607323393</v>
      </c>
      <c r="W69" s="17">
        <v>0.71208426471584396</v>
      </c>
      <c r="X69" s="17">
        <v>1.04385964912281</v>
      </c>
      <c r="Y69" s="17">
        <v>0.24260651629072699</v>
      </c>
      <c r="Z69" s="17">
        <v>1.4122807017543899</v>
      </c>
      <c r="AA69" s="17">
        <v>0.875792422232051</v>
      </c>
      <c r="AB69" s="17">
        <v>1.78571428571429</v>
      </c>
      <c r="AC69" s="17">
        <v>9.3984962406015102E-2</v>
      </c>
      <c r="AD69" s="17">
        <v>5.7719298245613997</v>
      </c>
    </row>
    <row r="70" spans="1:30" x14ac:dyDescent="0.35">
      <c r="A70" s="16" t="s">
        <v>1888</v>
      </c>
      <c r="B70" s="17">
        <v>5.1849159299447601E-3</v>
      </c>
      <c r="C70" s="17">
        <v>6.3660745200524796E-2</v>
      </c>
      <c r="D70" s="17">
        <v>2.45551376964419</v>
      </c>
      <c r="E70" s="17">
        <v>5.8635484058984702</v>
      </c>
      <c r="F70" s="17">
        <v>1.48266669001783</v>
      </c>
      <c r="G70" s="17">
        <v>2.3769757698384999</v>
      </c>
      <c r="H70" s="17">
        <v>6.3023983591915096</v>
      </c>
      <c r="I70" s="17">
        <v>0.40777619724988101</v>
      </c>
      <c r="J70" s="17">
        <v>1.12138454243717</v>
      </c>
      <c r="K70" s="17">
        <v>3.36931250187064</v>
      </c>
      <c r="L70" s="17">
        <v>3.2622095779990499</v>
      </c>
      <c r="M70" s="17">
        <v>0.125145555592312</v>
      </c>
      <c r="N70" s="17">
        <v>7.4189244323883304E-3</v>
      </c>
      <c r="O70" s="17">
        <v>4.1715185197437298E-2</v>
      </c>
      <c r="P70" s="17">
        <v>3.7072568284318502E-4</v>
      </c>
      <c r="Q70" s="17">
        <v>0.81555239449976302</v>
      </c>
      <c r="R70" s="17">
        <v>1.3074771077507E-2</v>
      </c>
      <c r="S70" s="17">
        <v>0.26383223445646897</v>
      </c>
      <c r="T70" s="17">
        <v>1.24822987464035</v>
      </c>
      <c r="U70" s="17">
        <v>2.29374110953058</v>
      </c>
      <c r="V70" s="17">
        <v>1.3398681776189401</v>
      </c>
      <c r="W70" s="17">
        <v>0.41619747042023703</v>
      </c>
      <c r="X70" s="17">
        <v>0.86652441915599798</v>
      </c>
      <c r="Y70" s="17">
        <v>0.50972024656235204</v>
      </c>
      <c r="Z70" s="17">
        <v>1.17235656709341</v>
      </c>
      <c r="AA70" s="17">
        <v>0.86652441915599798</v>
      </c>
      <c r="AB70" s="17">
        <v>1.2495914519170299</v>
      </c>
      <c r="AC70" s="17">
        <v>0.246548016805055</v>
      </c>
      <c r="AD70" s="17">
        <v>1.62620455816112</v>
      </c>
    </row>
    <row r="71" spans="1:30" x14ac:dyDescent="0.35">
      <c r="A71" s="16" t="s">
        <v>1889</v>
      </c>
      <c r="B71" s="17">
        <v>10.302370479101899</v>
      </c>
      <c r="C71" s="17">
        <v>0.25997924970306402</v>
      </c>
      <c r="D71" s="17">
        <v>3.60771722144962</v>
      </c>
      <c r="E71" s="17">
        <v>0.15881287376858</v>
      </c>
      <c r="F71" s="17">
        <v>0.814129919393077</v>
      </c>
      <c r="G71" s="17">
        <v>3.4126381483611601</v>
      </c>
      <c r="H71" s="17">
        <v>7.0701519654099103</v>
      </c>
      <c r="I71" s="17">
        <v>0.38311996206733001</v>
      </c>
      <c r="J71" s="17">
        <v>2.7248101766079798E-3</v>
      </c>
      <c r="K71" s="17">
        <v>6.2438676300062397E-2</v>
      </c>
      <c r="L71" s="17">
        <v>1.3912282608950799</v>
      </c>
      <c r="M71" s="17">
        <v>3.1743385842851701</v>
      </c>
      <c r="N71" s="17">
        <v>0.86201991465149397</v>
      </c>
      <c r="O71" s="17">
        <v>7.1314181560403506E-2</v>
      </c>
      <c r="P71" s="17">
        <v>0.95779990516832603</v>
      </c>
      <c r="Q71" s="17">
        <v>0.76623992413466102</v>
      </c>
      <c r="R71" s="17">
        <v>1.29083305786859</v>
      </c>
      <c r="S71" s="17">
        <v>3.7354196301564699</v>
      </c>
      <c r="T71" s="17">
        <v>3.2733318381356402</v>
      </c>
      <c r="U71" s="17">
        <v>0.33128741039110998</v>
      </c>
      <c r="V71" s="17">
        <v>0.241183491013469</v>
      </c>
      <c r="W71" s="17">
        <v>2.8016327948584299</v>
      </c>
      <c r="X71" s="17">
        <v>4.2435102852599701E-2</v>
      </c>
      <c r="Y71" s="17">
        <v>0.47889995258416301</v>
      </c>
      <c r="Z71" s="17">
        <v>9.3476352397439001E-3</v>
      </c>
      <c r="AA71" s="17">
        <v>0.814129919393077</v>
      </c>
      <c r="AB71" s="17">
        <v>2.7297297297297298</v>
      </c>
      <c r="AC71" s="17">
        <v>3.53507598270496</v>
      </c>
      <c r="AD71" s="17">
        <v>4.5016595542911304</v>
      </c>
    </row>
    <row r="72" spans="1:30" x14ac:dyDescent="0.35">
      <c r="A72" s="16" t="s">
        <v>1890</v>
      </c>
      <c r="B72" s="17">
        <v>19.144557414321699</v>
      </c>
      <c r="C72" s="17">
        <v>1.5689934381303701</v>
      </c>
      <c r="D72" s="17">
        <v>2.7652833718890402</v>
      </c>
      <c r="E72" s="17">
        <v>0.84958158107132298</v>
      </c>
      <c r="F72" s="17">
        <v>1.1565455364584301</v>
      </c>
      <c r="G72" s="17">
        <v>4.2889502523684504</v>
      </c>
      <c r="H72" s="17">
        <v>8.7519890541745998E-2</v>
      </c>
      <c r="I72" s="17">
        <v>28.1933682121015</v>
      </c>
      <c r="J72" s="17">
        <v>1.2309151256519699</v>
      </c>
      <c r="K72" s="17">
        <v>3.97897170778527</v>
      </c>
      <c r="L72" s="17">
        <v>3.5808440018966299</v>
      </c>
      <c r="M72" s="17">
        <v>1.05798469633773</v>
      </c>
      <c r="N72" s="17">
        <v>1.0071123755334299</v>
      </c>
      <c r="O72" s="17">
        <v>0.89521100047415803</v>
      </c>
      <c r="P72" s="17">
        <v>1.2657818389308099E-2</v>
      </c>
      <c r="Q72" s="17">
        <v>0.89521100047415803</v>
      </c>
      <c r="R72" s="17">
        <v>6.3597495800885501E-2</v>
      </c>
      <c r="S72" s="17">
        <v>2.5932931318747601</v>
      </c>
      <c r="T72" s="17">
        <v>4.0993849664048101</v>
      </c>
      <c r="U72" s="17">
        <v>0.91495608007650797</v>
      </c>
      <c r="V72" s="17">
        <v>0.51281133414216795</v>
      </c>
      <c r="W72" s="17">
        <v>0.41763306571513498</v>
      </c>
      <c r="X72" s="17">
        <v>0.95116168800379297</v>
      </c>
      <c r="Y72" s="17">
        <v>0.55950687529634902</v>
      </c>
      <c r="Z72" s="17">
        <v>0.39519300551763797</v>
      </c>
      <c r="AA72" s="17">
        <v>0.95116168800379297</v>
      </c>
      <c r="AB72" s="17">
        <v>1.1223087494273899E-2</v>
      </c>
      <c r="AC72" s="17">
        <v>0.160815030016636</v>
      </c>
      <c r="AD72" s="17">
        <v>6.2659459476558599</v>
      </c>
    </row>
    <row r="73" spans="1:30" x14ac:dyDescent="0.35">
      <c r="A73" s="16" t="s">
        <v>24</v>
      </c>
      <c r="B73" s="17">
        <v>50.245590659851899</v>
      </c>
      <c r="C73" s="17">
        <v>0.48254313198033899</v>
      </c>
      <c r="D73" s="17">
        <v>0.33858189911775999</v>
      </c>
      <c r="E73" s="17">
        <v>0.30823345492443999</v>
      </c>
      <c r="F73" s="17">
        <v>1.2211948790896201</v>
      </c>
      <c r="G73" s="17">
        <v>8.9540489284336395</v>
      </c>
      <c r="H73" s="17">
        <v>1.7240398293029899</v>
      </c>
      <c r="I73" s="17">
        <v>0.57467994310099602</v>
      </c>
      <c r="J73" s="17">
        <v>0.21313311985537101</v>
      </c>
      <c r="K73" s="17">
        <v>4.4960625406170003</v>
      </c>
      <c r="L73" s="17">
        <v>2.8149519210455902</v>
      </c>
      <c r="M73" s="17">
        <v>1.73809616025614</v>
      </c>
      <c r="N73" s="17">
        <v>1.29302987197724</v>
      </c>
      <c r="O73" s="17">
        <v>1.14935988620199</v>
      </c>
      <c r="P73" s="17">
        <v>1.4366998577524901</v>
      </c>
      <c r="Q73" s="17">
        <v>1.9409391152486501E-2</v>
      </c>
      <c r="R73" s="17">
        <v>14.2801633899479</v>
      </c>
      <c r="S73" s="17">
        <v>2.8110404869133299E-2</v>
      </c>
      <c r="T73" s="17">
        <v>5.7458374732505302</v>
      </c>
      <c r="U73" s="17">
        <v>3.2325746799431001</v>
      </c>
      <c r="V73" s="17">
        <v>4.2382645803698402</v>
      </c>
      <c r="W73" s="17">
        <v>2.6578947368421102</v>
      </c>
      <c r="X73" s="17">
        <v>1.2211948790896201</v>
      </c>
      <c r="Y73" s="17">
        <v>0.71834992887624505</v>
      </c>
      <c r="Z73" s="17">
        <v>0.25745666594614203</v>
      </c>
      <c r="AA73" s="17">
        <v>4.0065001395964202E-2</v>
      </c>
      <c r="AB73" s="17">
        <v>4.0945945945946001</v>
      </c>
      <c r="AC73" s="17">
        <v>0.86201991465149397</v>
      </c>
      <c r="AD73" s="17">
        <v>2.0853311262544798</v>
      </c>
    </row>
    <row r="74" spans="1:30" x14ac:dyDescent="0.35">
      <c r="A74" s="1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spans="1:30" s="55" customFormat="1" ht="47.4" customHeight="1" x14ac:dyDescent="0.4">
      <c r="A75" s="54" t="s">
        <v>1926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</row>
    <row r="76" spans="1:30" x14ac:dyDescent="0.35">
      <c r="A76" s="15" t="s">
        <v>0</v>
      </c>
      <c r="B76" s="15" t="s">
        <v>1</v>
      </c>
      <c r="C76" s="15" t="s">
        <v>29</v>
      </c>
      <c r="D76" s="15" t="s">
        <v>1140</v>
      </c>
      <c r="E76" s="15" t="s">
        <v>14</v>
      </c>
      <c r="F76" s="15" t="s">
        <v>18</v>
      </c>
      <c r="G76" s="15" t="s">
        <v>5</v>
      </c>
      <c r="H76" s="15" t="s">
        <v>1141</v>
      </c>
      <c r="I76" s="15" t="s">
        <v>1174</v>
      </c>
      <c r="J76" s="15" t="s">
        <v>21</v>
      </c>
      <c r="K76" s="15" t="s">
        <v>1138</v>
      </c>
      <c r="L76" s="15" t="s">
        <v>1136</v>
      </c>
      <c r="M76" s="15" t="s">
        <v>1142</v>
      </c>
      <c r="N76" s="15" t="s">
        <v>1148</v>
      </c>
      <c r="O76" s="15" t="s">
        <v>1144</v>
      </c>
      <c r="P76" s="15" t="s">
        <v>1149</v>
      </c>
      <c r="Q76" s="15" t="s">
        <v>1145</v>
      </c>
      <c r="R76" s="15" t="s">
        <v>37</v>
      </c>
      <c r="S76" s="15" t="s">
        <v>9</v>
      </c>
      <c r="T76" s="15" t="s">
        <v>19</v>
      </c>
      <c r="U76" s="15" t="s">
        <v>15</v>
      </c>
      <c r="V76" s="15" t="s">
        <v>17</v>
      </c>
      <c r="W76" s="15" t="s">
        <v>11</v>
      </c>
      <c r="X76" s="15" t="s">
        <v>7</v>
      </c>
      <c r="Y76" s="15" t="s">
        <v>1147</v>
      </c>
      <c r="Z76" s="15" t="s">
        <v>1146</v>
      </c>
      <c r="AA76" s="15" t="s">
        <v>10</v>
      </c>
      <c r="AB76" s="15" t="s">
        <v>1175</v>
      </c>
      <c r="AC76" s="15" t="s">
        <v>16</v>
      </c>
      <c r="AD76" s="15" t="s">
        <v>12</v>
      </c>
    </row>
    <row r="77" spans="1:30" x14ac:dyDescent="0.35">
      <c r="A77" s="16" t="s">
        <v>1876</v>
      </c>
      <c r="B77" s="17">
        <v>-0.79658766010493598</v>
      </c>
      <c r="C77" s="17">
        <v>-1.3672033433708799</v>
      </c>
      <c r="D77" s="17">
        <v>1.34058256828514</v>
      </c>
      <c r="E77" s="17">
        <v>-0.83951525473313604</v>
      </c>
      <c r="F77" s="17">
        <v>-1.0397019123023601</v>
      </c>
      <c r="G77" s="17">
        <v>-0.17416235485505099</v>
      </c>
      <c r="H77" s="17">
        <v>-0.33732384353212003</v>
      </c>
      <c r="I77" s="17">
        <v>-0.33732384353212003</v>
      </c>
      <c r="J77" s="17">
        <v>-0.413135647364063</v>
      </c>
      <c r="K77" s="17">
        <v>-0.354129758876159</v>
      </c>
      <c r="L77" s="17">
        <v>-0.53335582732187903</v>
      </c>
      <c r="M77" s="17">
        <v>1.34156509558481</v>
      </c>
      <c r="N77" s="17">
        <v>-0.33732384353212003</v>
      </c>
      <c r="O77" s="17">
        <v>-0.92379939143442702</v>
      </c>
      <c r="P77" s="17">
        <v>3.3359083139757197E-2</v>
      </c>
      <c r="Q77" s="15">
        <v>0</v>
      </c>
      <c r="R77" s="17">
        <v>1.32705614088204</v>
      </c>
      <c r="S77" s="17">
        <v>-1.84759878286885</v>
      </c>
      <c r="T77" s="17">
        <v>1.39881713633191</v>
      </c>
      <c r="U77" s="17">
        <v>-0.631075125443468</v>
      </c>
      <c r="V77" s="17">
        <v>-0.92379939143442702</v>
      </c>
      <c r="W77" s="17">
        <v>1.61917736359306</v>
      </c>
      <c r="X77" s="17">
        <v>7.6166253421796704</v>
      </c>
      <c r="Y77" s="17">
        <v>2.0073768559270899</v>
      </c>
      <c r="Z77" s="17">
        <v>-0.82627129472812599</v>
      </c>
      <c r="AA77" s="17">
        <v>-1.0667116546437601</v>
      </c>
      <c r="AB77" s="17">
        <v>0.71483361628040598</v>
      </c>
      <c r="AC77" s="17">
        <v>-0.413135647364063</v>
      </c>
      <c r="AD77" s="17">
        <v>-0.67464768706424105</v>
      </c>
    </row>
    <row r="78" spans="1:30" x14ac:dyDescent="0.35">
      <c r="A78" s="16" t="s">
        <v>1877</v>
      </c>
      <c r="B78" s="17">
        <v>-0.82208975485899405</v>
      </c>
      <c r="C78" s="17">
        <v>-0.83859591187003302</v>
      </c>
      <c r="D78" s="17">
        <v>-2.5830436517856001</v>
      </c>
      <c r="E78" s="17">
        <v>-0.241292315815473</v>
      </c>
      <c r="F78" s="17">
        <v>-0.93585819694227901</v>
      </c>
      <c r="G78" s="17">
        <v>3.6417338412012898</v>
      </c>
      <c r="H78" s="17">
        <v>-0.303632493369699</v>
      </c>
      <c r="I78" s="17">
        <v>2.98982265993767</v>
      </c>
      <c r="J78" s="17">
        <v>-0.37187233904237998</v>
      </c>
      <c r="K78" s="17">
        <v>0.78955660269846695</v>
      </c>
      <c r="L78" s="17">
        <v>-0.48008512534211101</v>
      </c>
      <c r="M78" s="17">
        <v>-0.48008512534211101</v>
      </c>
      <c r="N78" s="17">
        <v>-0.303632493369699</v>
      </c>
      <c r="O78" s="17">
        <v>-0.83153182905060996</v>
      </c>
      <c r="P78" s="17">
        <v>-0.88523323127532505</v>
      </c>
      <c r="Q78" s="15">
        <v>0</v>
      </c>
      <c r="R78" s="17">
        <v>2.90456590471757</v>
      </c>
      <c r="S78" s="17">
        <v>1.3434358078955799</v>
      </c>
      <c r="T78" s="17">
        <v>-1.0518138106902799</v>
      </c>
      <c r="U78" s="17">
        <v>-0.568044380840662</v>
      </c>
      <c r="V78" s="17">
        <v>9.9918662485378693</v>
      </c>
      <c r="W78" s="17">
        <v>-0.42940119010058703</v>
      </c>
      <c r="X78" s="17">
        <v>4.40683155705727</v>
      </c>
      <c r="Y78" s="17">
        <v>-0.37187233904237998</v>
      </c>
      <c r="Z78" s="17">
        <v>-0.74374467808475897</v>
      </c>
      <c r="AA78" s="17">
        <v>-0.96017025068422301</v>
      </c>
      <c r="AB78" s="17">
        <v>-1.2701858497965</v>
      </c>
      <c r="AC78" s="17">
        <v>-0.37187233904237998</v>
      </c>
      <c r="AD78" s="17">
        <v>-0.60726498673939799</v>
      </c>
    </row>
    <row r="79" spans="1:30" x14ac:dyDescent="0.35">
      <c r="A79" s="16" t="s">
        <v>1878</v>
      </c>
      <c r="B79" s="17">
        <v>-1.5245668889989099</v>
      </c>
      <c r="C79" s="17">
        <v>2.4470352373336302</v>
      </c>
      <c r="D79" s="17">
        <v>0.239086381696653</v>
      </c>
      <c r="E79" s="17">
        <v>2.2943304686606401</v>
      </c>
      <c r="F79" s="17">
        <v>1.51124760256209</v>
      </c>
      <c r="G79" s="17">
        <v>-2.1415305667368099</v>
      </c>
      <c r="H79" s="17">
        <v>-0.36794301162090898</v>
      </c>
      <c r="I79" s="17">
        <v>-0.36794301162090898</v>
      </c>
      <c r="J79" s="17">
        <v>1.7684480393905</v>
      </c>
      <c r="K79" s="17">
        <v>-0.53216162291833702</v>
      </c>
      <c r="L79" s="17">
        <v>-0.58176898293193802</v>
      </c>
      <c r="M79" s="17">
        <v>-0.58176898293193802</v>
      </c>
      <c r="N79" s="17">
        <v>-0.36794301162090898</v>
      </c>
      <c r="O79" s="17">
        <v>-1.0076534367057901</v>
      </c>
      <c r="P79" s="17">
        <v>-1.0727290004030099</v>
      </c>
      <c r="Q79" s="15">
        <v>0</v>
      </c>
      <c r="R79" s="17">
        <v>3.6350108092917201E-2</v>
      </c>
      <c r="S79" s="17">
        <v>-0.52669983317382196</v>
      </c>
      <c r="T79" s="17">
        <v>-1.27459198083464</v>
      </c>
      <c r="U79" s="17">
        <v>-0.68835834367161197</v>
      </c>
      <c r="V79" s="17">
        <v>-1.52487432139527E-2</v>
      </c>
      <c r="W79" s="17">
        <v>-0.520349997214691</v>
      </c>
      <c r="X79" s="17">
        <v>0.62947289285297803</v>
      </c>
      <c r="Y79" s="17">
        <v>-0.45063631644708402</v>
      </c>
      <c r="Z79" s="17">
        <v>-0.90127263289416903</v>
      </c>
      <c r="AA79" s="17">
        <v>-1.16353796586388</v>
      </c>
      <c r="AB79" s="17">
        <v>3.00855357862689</v>
      </c>
      <c r="AC79" s="17">
        <v>-0.45063631644708402</v>
      </c>
      <c r="AD79" s="17">
        <v>1.98192616075557</v>
      </c>
    </row>
    <row r="80" spans="1:30" x14ac:dyDescent="0.35">
      <c r="A80" s="16" t="s">
        <v>1879</v>
      </c>
      <c r="B80" s="17">
        <v>-0.30033259611425001</v>
      </c>
      <c r="C80" s="17">
        <v>-0.50520648934064505</v>
      </c>
      <c r="D80" s="17">
        <v>2.9408162400829601</v>
      </c>
      <c r="E80" s="17">
        <v>-0.58471739309944903</v>
      </c>
      <c r="F80" s="17">
        <v>0.26819923757063402</v>
      </c>
      <c r="G80" s="17">
        <v>-1.9562278094651699</v>
      </c>
      <c r="H80" s="17">
        <v>-0.28383936311434399</v>
      </c>
      <c r="I80" s="17">
        <v>-0.28383936311434399</v>
      </c>
      <c r="J80" s="17">
        <v>2.5289842358992298</v>
      </c>
      <c r="K80" s="17">
        <v>-1.00352369212912</v>
      </c>
      <c r="L80" s="17">
        <v>-0.44878943852645498</v>
      </c>
      <c r="M80" s="17">
        <v>-0.44878943852645498</v>
      </c>
      <c r="N80" s="17">
        <v>3.2392801543049301</v>
      </c>
      <c r="O80" s="17">
        <v>-0.77732610942812896</v>
      </c>
      <c r="P80" s="17">
        <v>0.38089318895909602</v>
      </c>
      <c r="Q80" s="15">
        <v>0</v>
      </c>
      <c r="R80" s="17">
        <v>-0.547012268716495</v>
      </c>
      <c r="S80" s="17">
        <v>-1.5546522188562599</v>
      </c>
      <c r="T80" s="17">
        <v>1.0508256055651699</v>
      </c>
      <c r="U80" s="17">
        <v>-0.53101482482699702</v>
      </c>
      <c r="V80" s="17">
        <v>-0.77732610942812896</v>
      </c>
      <c r="W80" s="17">
        <v>-0.40140947685164602</v>
      </c>
      <c r="X80" s="17">
        <v>-0.87485167228792804</v>
      </c>
      <c r="Y80" s="17">
        <v>-0.34763080427334703</v>
      </c>
      <c r="Z80" s="17">
        <v>0.74304591153959398</v>
      </c>
      <c r="AA80" s="17">
        <v>0.21652933735090801</v>
      </c>
      <c r="AB80" s="17">
        <v>-1.18738524537331</v>
      </c>
      <c r="AC80" s="17">
        <v>-0.34763080427334703</v>
      </c>
      <c r="AD80" s="17">
        <v>-0.56767872622868698</v>
      </c>
    </row>
    <row r="81" spans="1:30" x14ac:dyDescent="0.35">
      <c r="A81" s="16" t="s">
        <v>1880</v>
      </c>
      <c r="B81" s="17">
        <v>-3.2183878370730898</v>
      </c>
      <c r="C81" s="17">
        <v>-1.32671569757071</v>
      </c>
      <c r="D81" s="17">
        <v>-1.6101185099606401</v>
      </c>
      <c r="E81" s="17">
        <v>-0.32935851267810001</v>
      </c>
      <c r="F81" s="17">
        <v>-0.89270762867749898</v>
      </c>
      <c r="G81" s="17">
        <v>6.5202180333048503</v>
      </c>
      <c r="H81" s="17">
        <v>3.16301740785556</v>
      </c>
      <c r="I81" s="17">
        <v>-0.28963260035667399</v>
      </c>
      <c r="J81" s="17">
        <v>-0.35472604187464601</v>
      </c>
      <c r="K81" s="17">
        <v>-1.0240058788244899</v>
      </c>
      <c r="L81" s="17">
        <v>1.72569824698775</v>
      </c>
      <c r="M81" s="17">
        <v>-0.45794935088219302</v>
      </c>
      <c r="N81" s="17">
        <v>-0.28963260035667399</v>
      </c>
      <c r="O81" s="17">
        <v>9.2926446845427808</v>
      </c>
      <c r="P81" s="17">
        <v>-0.84441687992935899</v>
      </c>
      <c r="Q81" s="15">
        <v>0</v>
      </c>
      <c r="R81" s="17">
        <v>2.7662865575987898</v>
      </c>
      <c r="S81" s="17">
        <v>1.5654407350714401</v>
      </c>
      <c r="T81" s="17">
        <v>7.9669310937729296</v>
      </c>
      <c r="U81" s="17">
        <v>1.3036660788799399</v>
      </c>
      <c r="V81" s="17">
        <v>-0.79319154302114603</v>
      </c>
      <c r="W81" s="17">
        <v>-0.40960235152979502</v>
      </c>
      <c r="X81" s="17">
        <v>-0.89270762867749898</v>
      </c>
      <c r="Y81" s="17">
        <v>-0.35472604187464601</v>
      </c>
      <c r="Z81" s="17">
        <v>-0.70945208374929203</v>
      </c>
      <c r="AA81" s="17">
        <v>-0.91589870176438604</v>
      </c>
      <c r="AB81" s="17">
        <v>-0.38627888193096299</v>
      </c>
      <c r="AC81" s="17">
        <v>-0.35472604187464601</v>
      </c>
      <c r="AD81" s="17">
        <v>1.1470598033927699</v>
      </c>
    </row>
    <row r="82" spans="1:30" x14ac:dyDescent="0.35">
      <c r="A82" s="16" t="s">
        <v>1881</v>
      </c>
      <c r="B82" s="17">
        <v>-1.04379346294596</v>
      </c>
      <c r="C82" s="17">
        <v>-0.58844740775918503</v>
      </c>
      <c r="D82" s="17">
        <v>-3.3379569274316803E-2</v>
      </c>
      <c r="E82" s="17">
        <v>-0.67440806397345598</v>
      </c>
      <c r="F82" s="17">
        <v>1.14700915987977</v>
      </c>
      <c r="G82" s="17">
        <v>1.15634908191771</v>
      </c>
      <c r="H82" s="17">
        <v>-0.30905493066138401</v>
      </c>
      <c r="I82" s="17">
        <v>-0.30905493066138401</v>
      </c>
      <c r="J82" s="17">
        <v>-0.37851344130581299</v>
      </c>
      <c r="K82" s="17">
        <v>1.6528834906302801</v>
      </c>
      <c r="L82" s="17">
        <v>1.5577591156439401</v>
      </c>
      <c r="M82" s="17">
        <v>-0.488658751497691</v>
      </c>
      <c r="N82" s="17">
        <v>-0.30905493066138401</v>
      </c>
      <c r="O82" s="17">
        <v>2.6981179342488701</v>
      </c>
      <c r="P82" s="17">
        <v>0.20878369524264201</v>
      </c>
      <c r="Q82" s="15">
        <v>0</v>
      </c>
      <c r="R82" s="17">
        <v>1.41758258254514</v>
      </c>
      <c r="S82" s="17">
        <v>0.67023624262301595</v>
      </c>
      <c r="T82" s="17">
        <v>-1.0705976844703899</v>
      </c>
      <c r="U82" s="17">
        <v>-0.57818883211403804</v>
      </c>
      <c r="V82" s="17">
        <v>1.5166180277801899</v>
      </c>
      <c r="W82" s="17">
        <v>-0.43706967445960598</v>
      </c>
      <c r="X82" s="17">
        <v>-0.95257127112782103</v>
      </c>
      <c r="Y82" s="17">
        <v>-0.37851344130581299</v>
      </c>
      <c r="Z82" s="17">
        <v>0.56393017052518302</v>
      </c>
      <c r="AA82" s="17">
        <v>1.06910036414625</v>
      </c>
      <c r="AB82" s="17">
        <v>-0.51939628172734698</v>
      </c>
      <c r="AC82" s="17">
        <v>-0.37851344130581299</v>
      </c>
      <c r="AD82" s="17">
        <v>-0.61810986132276802</v>
      </c>
    </row>
    <row r="83" spans="1:30" x14ac:dyDescent="0.35">
      <c r="A83" s="16" t="s">
        <v>1882</v>
      </c>
      <c r="B83" s="17">
        <v>-0.80472533147250802</v>
      </c>
      <c r="C83" s="17">
        <v>1.74610750590021</v>
      </c>
      <c r="D83" s="17">
        <v>-1.60640315938038</v>
      </c>
      <c r="E83" s="17">
        <v>0.628141515142986</v>
      </c>
      <c r="F83" s="17">
        <v>1.1338070059277401</v>
      </c>
      <c r="G83" s="17">
        <v>-0.269445185268336</v>
      </c>
      <c r="H83" s="17">
        <v>-0.31039573925904002</v>
      </c>
      <c r="I83" s="17">
        <v>-0.31039573925904002</v>
      </c>
      <c r="J83" s="17">
        <v>-0.38015558975931002</v>
      </c>
      <c r="K83" s="17">
        <v>-0.186182073420841</v>
      </c>
      <c r="L83" s="17">
        <v>1.54679925177977</v>
      </c>
      <c r="M83" s="17">
        <v>-0.49077875603515603</v>
      </c>
      <c r="N83" s="17">
        <v>-0.31039573925904002</v>
      </c>
      <c r="O83" s="17">
        <v>0.32634247057846699</v>
      </c>
      <c r="P83" s="17">
        <v>0.20008051319908801</v>
      </c>
      <c r="Q83" s="15">
        <v>0</v>
      </c>
      <c r="R83" s="17">
        <v>0.49009516481196003</v>
      </c>
      <c r="S83" s="17">
        <v>1.82908115246374</v>
      </c>
      <c r="T83" s="17">
        <v>0.78480334756199999</v>
      </c>
      <c r="U83" s="17">
        <v>-0.58069725531087302</v>
      </c>
      <c r="V83" s="17">
        <v>-0.85005374072834095</v>
      </c>
      <c r="W83" s="17">
        <v>-0.43896586416295802</v>
      </c>
      <c r="X83" s="17">
        <v>8.8551542576286002E-2</v>
      </c>
      <c r="Y83" s="17">
        <v>-0.38015558975931002</v>
      </c>
      <c r="Z83" s="17">
        <v>0.554939768958993</v>
      </c>
      <c r="AA83" s="17">
        <v>3.7231491837149799E-2</v>
      </c>
      <c r="AB83" s="17">
        <v>1.0119177565942099</v>
      </c>
      <c r="AC83" s="17">
        <v>-0.38015558975931002</v>
      </c>
      <c r="AD83" s="17">
        <v>0.99005537522280096</v>
      </c>
    </row>
    <row r="84" spans="1:30" x14ac:dyDescent="0.35">
      <c r="A84" s="16" t="s">
        <v>1883</v>
      </c>
      <c r="B84" s="17">
        <v>-1.88064443957966</v>
      </c>
      <c r="C84" s="17">
        <v>-0.26966566965764899</v>
      </c>
      <c r="D84" s="17">
        <v>-1.4937858961981001</v>
      </c>
      <c r="E84" s="17">
        <v>-9.1920430406383896E-2</v>
      </c>
      <c r="F84" s="17">
        <v>-0.214542322008694</v>
      </c>
      <c r="G84" s="17">
        <v>-0.88153739633252703</v>
      </c>
      <c r="H84" s="17">
        <v>-0.36110756167151298</v>
      </c>
      <c r="I84" s="17">
        <v>-0.36110756167151298</v>
      </c>
      <c r="J84" s="17">
        <v>-0.44226463417790701</v>
      </c>
      <c r="K84" s="17">
        <v>2.6396141775908699</v>
      </c>
      <c r="L84" s="17">
        <v>2.931903881782</v>
      </c>
      <c r="M84" s="17">
        <v>-0.57096118759585002</v>
      </c>
      <c r="N84" s="17">
        <v>-0.36110756167151298</v>
      </c>
      <c r="O84" s="17">
        <v>2.2256259304242701E-2</v>
      </c>
      <c r="P84" s="17">
        <v>-0.10295275651434101</v>
      </c>
      <c r="Q84" s="15">
        <v>0</v>
      </c>
      <c r="R84" s="17">
        <v>0.91113932173166601</v>
      </c>
      <c r="S84" s="17">
        <v>8.1340328815694498</v>
      </c>
      <c r="T84" s="17">
        <v>-1.25091328762474</v>
      </c>
      <c r="U84" s="17">
        <v>2.28489092935052</v>
      </c>
      <c r="V84" s="17">
        <v>-0.98893378606587801</v>
      </c>
      <c r="W84" s="17">
        <v>-0.51068321119133198</v>
      </c>
      <c r="X84" s="17">
        <v>-0.214542322008694</v>
      </c>
      <c r="Y84" s="17">
        <v>1.8188250454407799</v>
      </c>
      <c r="Z84" s="17">
        <v>1.37656041126287</v>
      </c>
      <c r="AA84" s="17">
        <v>-1.1419223751917</v>
      </c>
      <c r="AB84" s="17">
        <v>4.4471921642155197</v>
      </c>
      <c r="AC84" s="17">
        <v>-0.44226463417790701</v>
      </c>
      <c r="AD84" s="17">
        <v>-0.72221512334302596</v>
      </c>
    </row>
    <row r="85" spans="1:30" x14ac:dyDescent="0.35">
      <c r="A85" s="16" t="s">
        <v>1884</v>
      </c>
      <c r="B85" s="17">
        <v>-1.74583709971465</v>
      </c>
      <c r="C85" s="17">
        <v>-0.20563605301764001</v>
      </c>
      <c r="D85" s="17">
        <v>1.7589203338658099</v>
      </c>
      <c r="E85" s="17">
        <v>1.1254432379017401</v>
      </c>
      <c r="F85" s="17">
        <v>-0.19514811361322701</v>
      </c>
      <c r="G85" s="17">
        <v>1.9978415525344</v>
      </c>
      <c r="H85" s="17">
        <v>-0.35764084881929498</v>
      </c>
      <c r="I85" s="17">
        <v>-0.35764084881929498</v>
      </c>
      <c r="J85" s="17">
        <v>-0.43801879539156702</v>
      </c>
      <c r="K85" s="17">
        <v>0.31726233801147502</v>
      </c>
      <c r="L85" s="17">
        <v>-0.56547983329245699</v>
      </c>
      <c r="M85" s="17">
        <v>-0.56547983329245699</v>
      </c>
      <c r="N85" s="17">
        <v>-0.35764084881929498</v>
      </c>
      <c r="O85" s="17">
        <v>-0.97943980191811497</v>
      </c>
      <c r="P85" s="17">
        <v>2.7935258800362899</v>
      </c>
      <c r="Q85" s="15">
        <v>0</v>
      </c>
      <c r="R85" s="17">
        <v>-0.98793660591388499</v>
      </c>
      <c r="S85" s="17">
        <v>-1.9588796038362299</v>
      </c>
      <c r="T85" s="17">
        <v>0.37542552788913902</v>
      </c>
      <c r="U85" s="17">
        <v>-0.66908476189840904</v>
      </c>
      <c r="V85" s="17">
        <v>-0.97943980191811497</v>
      </c>
      <c r="W85" s="17">
        <v>-0.50578053885887297</v>
      </c>
      <c r="X85" s="17">
        <v>-1.10232312824769</v>
      </c>
      <c r="Y85" s="17">
        <v>-0.43801879539156702</v>
      </c>
      <c r="Z85" s="17">
        <v>0.26546593660094903</v>
      </c>
      <c r="AA85" s="17">
        <v>-1.13095966658491</v>
      </c>
      <c r="AB85" s="17">
        <v>3.1826531673954599</v>
      </c>
      <c r="AC85" s="17">
        <v>-0.43801879539156702</v>
      </c>
      <c r="AD85" s="17">
        <v>-0.71528169763859095</v>
      </c>
    </row>
    <row r="86" spans="1:30" x14ac:dyDescent="0.35">
      <c r="A86" s="16" t="s">
        <v>1885</v>
      </c>
      <c r="B86" s="17">
        <v>-0.78293300997334803</v>
      </c>
      <c r="C86" s="17">
        <v>-1.7629975246254901</v>
      </c>
      <c r="D86" s="17">
        <v>0.94017052720165295</v>
      </c>
      <c r="E86" s="17">
        <v>-0.34307648058963103</v>
      </c>
      <c r="F86" s="17">
        <v>0.83095353900011204</v>
      </c>
      <c r="G86" s="17">
        <v>0.168085903510448</v>
      </c>
      <c r="H86" s="17">
        <v>-0.34342422648314702</v>
      </c>
      <c r="I86" s="17">
        <v>-0.34342422648314702</v>
      </c>
      <c r="J86" s="17">
        <v>-0.420607060096858</v>
      </c>
      <c r="K86" s="17">
        <v>0.43300338141181999</v>
      </c>
      <c r="L86" s="17">
        <v>-0.54300137968413198</v>
      </c>
      <c r="M86" s="17">
        <v>3.1402305140606299</v>
      </c>
      <c r="N86" s="17">
        <v>-0.34342422648314702</v>
      </c>
      <c r="O86" s="17">
        <v>-0.94050597819291504</v>
      </c>
      <c r="P86" s="17">
        <v>-1.0012450720738499</v>
      </c>
      <c r="Q86" s="15">
        <v>0</v>
      </c>
      <c r="R86" s="17">
        <v>1.2171260819388501</v>
      </c>
      <c r="S86" s="17">
        <v>1.8403891629615301</v>
      </c>
      <c r="T86" s="17">
        <v>1.3320800732703899</v>
      </c>
      <c r="U86" s="17">
        <v>4.0268607623163302</v>
      </c>
      <c r="V86" s="17">
        <v>0.12275148447776101</v>
      </c>
      <c r="W86" s="17">
        <v>3.6323032469143199</v>
      </c>
      <c r="X86" s="17">
        <v>-1.0585045553457499</v>
      </c>
      <c r="Y86" s="17">
        <v>-0.420607060096858</v>
      </c>
      <c r="Z86" s="17">
        <v>-0.841214120193717</v>
      </c>
      <c r="AA86" s="17">
        <v>-1.08600275936826</v>
      </c>
      <c r="AB86" s="17">
        <v>-1.4366466122091699</v>
      </c>
      <c r="AC86" s="17">
        <v>-0.420607060096858</v>
      </c>
      <c r="AD86" s="17">
        <v>-0.68684845296629504</v>
      </c>
    </row>
    <row r="87" spans="1:30" x14ac:dyDescent="0.35">
      <c r="A87" s="16" t="s">
        <v>1886</v>
      </c>
      <c r="B87" s="17">
        <v>1.89123674609099</v>
      </c>
      <c r="C87" s="17">
        <v>2.3560615691678102</v>
      </c>
      <c r="D87" s="17">
        <v>-1.04641974170429</v>
      </c>
      <c r="E87" s="17">
        <v>0.42846780588038202</v>
      </c>
      <c r="F87" s="17">
        <v>1.29653251920242</v>
      </c>
      <c r="G87" s="17">
        <v>-0.17624696432627401</v>
      </c>
      <c r="H87" s="17">
        <v>-0.47179589032360802</v>
      </c>
      <c r="I87" s="17">
        <v>-0.47179589032360802</v>
      </c>
      <c r="J87" s="17">
        <v>-0.57782959701746806</v>
      </c>
      <c r="K87" s="17">
        <v>2.5284656009593598</v>
      </c>
      <c r="L87" s="17">
        <v>-0.74597480206479805</v>
      </c>
      <c r="M87" s="17">
        <v>0.59455305119791402</v>
      </c>
      <c r="N87" s="17">
        <v>-0.47179589032360802</v>
      </c>
      <c r="O87" s="17">
        <v>-1.2920662583423701</v>
      </c>
      <c r="P87" s="17">
        <v>0.80550033662071996</v>
      </c>
      <c r="Q87" s="15">
        <v>0</v>
      </c>
      <c r="R87" s="17">
        <v>-1.88530730696349</v>
      </c>
      <c r="S87" s="17">
        <v>-2.58413251668473</v>
      </c>
      <c r="T87" s="17">
        <v>-1.6343489056853699</v>
      </c>
      <c r="U87" s="17">
        <v>-0.88264928903945805</v>
      </c>
      <c r="V87" s="17">
        <v>-0.51811214140494899</v>
      </c>
      <c r="W87" s="17">
        <v>-0.66722014676753605</v>
      </c>
      <c r="X87" s="17">
        <v>-1.45417259642703</v>
      </c>
      <c r="Y87" s="17">
        <v>-0.57782959701746806</v>
      </c>
      <c r="Z87" s="17">
        <v>-1.1556591940349401</v>
      </c>
      <c r="AA87" s="17">
        <v>-1.4919496041296001</v>
      </c>
      <c r="AB87" s="17">
        <v>-1.4669919069714601</v>
      </c>
      <c r="AC87" s="17">
        <v>-0.57782959701746806</v>
      </c>
      <c r="AD87" s="17">
        <v>-0.94359178064721605</v>
      </c>
    </row>
    <row r="88" spans="1:30" x14ac:dyDescent="0.35">
      <c r="A88" s="16" t="s">
        <v>1887</v>
      </c>
      <c r="B88" s="17">
        <v>1.1958119148947199</v>
      </c>
      <c r="C88" s="17">
        <v>-1.55895882719262</v>
      </c>
      <c r="D88" s="17">
        <v>2.37036424473184</v>
      </c>
      <c r="E88" s="17">
        <v>0.87751240154202803</v>
      </c>
      <c r="F88" s="17">
        <v>-1.2499169407620601</v>
      </c>
      <c r="G88" s="17">
        <v>-0.648131340247732</v>
      </c>
      <c r="H88" s="17">
        <v>-0.40552660485167302</v>
      </c>
      <c r="I88" s="17">
        <v>-0.40552660485167302</v>
      </c>
      <c r="J88" s="17">
        <v>-0.49666662950493001</v>
      </c>
      <c r="K88" s="17">
        <v>-0.73628288517132301</v>
      </c>
      <c r="L88" s="17">
        <v>-0.64119386156318803</v>
      </c>
      <c r="M88" s="17">
        <v>-0.64119386156318803</v>
      </c>
      <c r="N88" s="17">
        <v>-0.40552660485167302</v>
      </c>
      <c r="O88" s="17">
        <v>-0.210150220302877</v>
      </c>
      <c r="P88" s="17">
        <v>-1.1823030624850199</v>
      </c>
      <c r="Q88" s="15">
        <v>0</v>
      </c>
      <c r="R88" s="17">
        <v>-2.2054408433131298</v>
      </c>
      <c r="S88" s="17">
        <v>-1.77094562874453</v>
      </c>
      <c r="T88" s="17">
        <v>-0.69293284930381704</v>
      </c>
      <c r="U88" s="17">
        <v>-0.75867080828831002</v>
      </c>
      <c r="V88" s="17">
        <v>-1.11058034572873</v>
      </c>
      <c r="W88" s="17">
        <v>-0.57350122448435104</v>
      </c>
      <c r="X88" s="17">
        <v>-1.2499169407620601</v>
      </c>
      <c r="Y88" s="17">
        <v>-0.49666662950493001</v>
      </c>
      <c r="Z88" s="17">
        <v>1.0200897104310001</v>
      </c>
      <c r="AA88" s="17">
        <v>-0.50259236017478204</v>
      </c>
      <c r="AB88" s="17">
        <v>-0.517499726225218</v>
      </c>
      <c r="AC88" s="17">
        <v>-0.49666662950493001</v>
      </c>
      <c r="AD88" s="17">
        <v>-0.81105320970334605</v>
      </c>
    </row>
    <row r="89" spans="1:30" x14ac:dyDescent="0.35">
      <c r="A89" s="16" t="s">
        <v>1888</v>
      </c>
      <c r="B89" s="17">
        <v>0.216780309536033</v>
      </c>
      <c r="C89" s="17">
        <v>2.5736509312256501</v>
      </c>
      <c r="D89" s="17">
        <v>-0.110672011814322</v>
      </c>
      <c r="E89" s="17">
        <v>-0.48579544739063002</v>
      </c>
      <c r="F89" s="17">
        <v>4.63264232854032E-2</v>
      </c>
      <c r="G89" s="17">
        <v>-0.81179587899365602</v>
      </c>
      <c r="H89" s="17">
        <v>-0.31701472973732903</v>
      </c>
      <c r="I89" s="17">
        <v>-0.31701472973732903</v>
      </c>
      <c r="J89" s="17">
        <v>-0.388262164401385</v>
      </c>
      <c r="K89" s="17">
        <v>-1.1208163256664301</v>
      </c>
      <c r="L89" s="17">
        <v>-0.50124429889633604</v>
      </c>
      <c r="M89" s="17">
        <v>-0.50124429889633604</v>
      </c>
      <c r="N89" s="17">
        <v>2.8374128289713001</v>
      </c>
      <c r="O89" s="17">
        <v>-0.86818059269269499</v>
      </c>
      <c r="P89" s="17">
        <v>-0.92424881952787497</v>
      </c>
      <c r="Q89" s="15">
        <v>0</v>
      </c>
      <c r="R89" s="17">
        <v>0.386311248968284</v>
      </c>
      <c r="S89" s="17">
        <v>-1.1604441420785001</v>
      </c>
      <c r="T89" s="17">
        <v>0.72303836285406098</v>
      </c>
      <c r="U89" s="17">
        <v>-0.59308025261891095</v>
      </c>
      <c r="V89" s="17">
        <v>-0.86818059269269499</v>
      </c>
      <c r="W89" s="17">
        <v>-0.44832653026657199</v>
      </c>
      <c r="X89" s="17">
        <v>-0.97710501957010898</v>
      </c>
      <c r="Y89" s="17">
        <v>-0.388262164401385</v>
      </c>
      <c r="Z89" s="17">
        <v>-0.776524328802769</v>
      </c>
      <c r="AA89" s="17">
        <v>-4.9710178402942199E-3</v>
      </c>
      <c r="AB89" s="17">
        <v>-0.57211534812035303</v>
      </c>
      <c r="AC89" s="17">
        <v>2.18731715206841</v>
      </c>
      <c r="AD89" s="17">
        <v>0.94318431987965701</v>
      </c>
    </row>
    <row r="90" spans="1:30" x14ac:dyDescent="0.35">
      <c r="A90" s="16" t="s">
        <v>1889</v>
      </c>
      <c r="B90" s="17">
        <v>2.80708670372174</v>
      </c>
      <c r="C90" s="17">
        <v>-2.0761517854378102</v>
      </c>
      <c r="D90" s="17">
        <v>-1.1939737203172001E-2</v>
      </c>
      <c r="E90" s="17">
        <v>-1.81972577503279</v>
      </c>
      <c r="F90" s="17">
        <v>-0.98514717183074396</v>
      </c>
      <c r="G90" s="17">
        <v>-0.84098766046472295</v>
      </c>
      <c r="H90" s="17">
        <v>2.80905275041559</v>
      </c>
      <c r="I90" s="17">
        <v>-0.31962394847467002</v>
      </c>
      <c r="J90" s="17">
        <v>2.1630960358038598</v>
      </c>
      <c r="K90" s="17">
        <v>-1.1300413069802899</v>
      </c>
      <c r="L90" s="17">
        <v>-0.50536983595812801</v>
      </c>
      <c r="M90" s="17">
        <v>1.47337905019988</v>
      </c>
      <c r="N90" s="17">
        <v>-0.31962394847467002</v>
      </c>
      <c r="O90" s="17">
        <v>-0.87532623249222696</v>
      </c>
      <c r="P90" s="17">
        <v>3.3606530838259601</v>
      </c>
      <c r="Q90" s="15">
        <v>0</v>
      </c>
      <c r="R90" s="17">
        <v>-0.53016208375270801</v>
      </c>
      <c r="S90" s="17">
        <v>-1.7506524649844499</v>
      </c>
      <c r="T90" s="17">
        <v>-1.10720983614781</v>
      </c>
      <c r="U90" s="17">
        <v>-0.59796165390004996</v>
      </c>
      <c r="V90" s="17">
        <v>-0.87532623249222696</v>
      </c>
      <c r="W90" s="17">
        <v>1.7602919871335301</v>
      </c>
      <c r="X90" s="17">
        <v>2.9929588874618201E-2</v>
      </c>
      <c r="Y90" s="17">
        <v>-0.39145779166828099</v>
      </c>
      <c r="Z90" s="17">
        <v>-0.78291558333656197</v>
      </c>
      <c r="AA90" s="17">
        <v>-1.01073967191626</v>
      </c>
      <c r="AB90" s="17">
        <v>-1.3370829060587199</v>
      </c>
      <c r="AC90" s="17">
        <v>4.7176498632760104</v>
      </c>
      <c r="AD90" s="17">
        <v>-0.63924789694933903</v>
      </c>
    </row>
    <row r="91" spans="1:30" x14ac:dyDescent="0.35">
      <c r="A91" s="16" t="s">
        <v>1890</v>
      </c>
      <c r="B91" s="17">
        <v>1.1453309325086101</v>
      </c>
      <c r="C91" s="17">
        <v>2.3844279689935499</v>
      </c>
      <c r="D91" s="17">
        <v>-1.46931760463702</v>
      </c>
      <c r="E91" s="17">
        <v>0.65073184977562404</v>
      </c>
      <c r="F91" s="17">
        <v>-0.38050179940865297</v>
      </c>
      <c r="G91" s="17">
        <v>-1.59113269727913</v>
      </c>
      <c r="H91" s="17">
        <v>-0.39198786339609298</v>
      </c>
      <c r="I91" s="17">
        <v>2.15911152865199</v>
      </c>
      <c r="J91" s="17">
        <v>-0.48008512534211101</v>
      </c>
      <c r="K91" s="17">
        <v>-1.3858863817510201</v>
      </c>
      <c r="L91" s="17">
        <v>-0.61978723173729899</v>
      </c>
      <c r="M91" s="17">
        <v>-0.61978723173729899</v>
      </c>
      <c r="N91" s="17">
        <v>-0.39198786339609298</v>
      </c>
      <c r="O91" s="17">
        <v>-1.07350297525147</v>
      </c>
      <c r="P91" s="17">
        <v>-1.1428311874129</v>
      </c>
      <c r="Q91" s="15">
        <v>0</v>
      </c>
      <c r="R91" s="17">
        <v>-1.0132264357701799</v>
      </c>
      <c r="S91" s="17">
        <v>-0.74971126704048496</v>
      </c>
      <c r="T91" s="17">
        <v>-1.3578857907048001</v>
      </c>
      <c r="U91" s="17">
        <v>0.63027784122074204</v>
      </c>
      <c r="V91" s="17">
        <v>-1.07350297525147</v>
      </c>
      <c r="W91" s="17">
        <v>-0.55435455270040601</v>
      </c>
      <c r="X91" s="17">
        <v>-1.2081877370563801</v>
      </c>
      <c r="Y91" s="17">
        <v>-0.48008512534211101</v>
      </c>
      <c r="Z91" s="17">
        <v>2.1642756461368702</v>
      </c>
      <c r="AA91" s="17">
        <v>4.4075247679653602</v>
      </c>
      <c r="AB91" s="17">
        <v>-1.63980288095005</v>
      </c>
      <c r="AC91" s="17">
        <v>-0.48008512534211101</v>
      </c>
      <c r="AD91" s="17">
        <v>3.0426733612799399</v>
      </c>
    </row>
    <row r="92" spans="1:30" x14ac:dyDescent="0.35">
      <c r="A92" s="16" t="s">
        <v>24</v>
      </c>
      <c r="B92" s="17">
        <v>3.3905142697384401</v>
      </c>
      <c r="C92" s="17">
        <v>-1.88785023027827</v>
      </c>
      <c r="D92" s="17">
        <v>0.27946348934259602</v>
      </c>
      <c r="E92" s="17">
        <v>-1.2676102712817801</v>
      </c>
      <c r="F92" s="17">
        <v>-0.55853106779750405</v>
      </c>
      <c r="G92" s="17">
        <v>-1.9277810540615199</v>
      </c>
      <c r="H92" s="17">
        <v>-0.42746257437545798</v>
      </c>
      <c r="I92" s="17">
        <v>-0.42746257437545798</v>
      </c>
      <c r="J92" s="17">
        <v>-0.523532595678188</v>
      </c>
      <c r="K92" s="17">
        <v>-1.5113084252217299</v>
      </c>
      <c r="L92" s="17">
        <v>-0.67587767475278804</v>
      </c>
      <c r="M92" s="17">
        <v>-0.67587767475278804</v>
      </c>
      <c r="N92" s="17">
        <v>-0.42746257437545798</v>
      </c>
      <c r="O92" s="17">
        <v>-0.31643145132030898</v>
      </c>
      <c r="P92" s="17">
        <v>-0.44385404533368999</v>
      </c>
      <c r="Q92" s="15">
        <v>0</v>
      </c>
      <c r="R92" s="17">
        <v>-1.7423750811528</v>
      </c>
      <c r="S92" s="17">
        <v>-0.20575139211410201</v>
      </c>
      <c r="T92" s="17">
        <v>-1.4807737943049699</v>
      </c>
      <c r="U92" s="17">
        <v>-0.79970924949067002</v>
      </c>
      <c r="V92" s="17">
        <v>-0.31643145132030898</v>
      </c>
      <c r="W92" s="17">
        <v>-0.60452337008869095</v>
      </c>
      <c r="X92" s="17">
        <v>-1.3175281396126199</v>
      </c>
      <c r="Y92" s="17">
        <v>1.38656814734163</v>
      </c>
      <c r="Z92" s="17">
        <v>-9.20148198464696E-2</v>
      </c>
      <c r="AA92" s="17">
        <v>3.8266965076003299</v>
      </c>
      <c r="AB92" s="17">
        <v>-1.78820424409648</v>
      </c>
      <c r="AC92" s="17">
        <v>-0.523532595678188</v>
      </c>
      <c r="AD92" s="17">
        <v>-0.85492514875091696</v>
      </c>
    </row>
    <row r="93" spans="1:30" x14ac:dyDescent="0.35">
      <c r="A93" s="39" t="s">
        <v>1896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</row>
    <row r="94" spans="1:30" x14ac:dyDescent="0.35">
      <c r="A94" s="15" t="s">
        <v>0</v>
      </c>
      <c r="B94" s="15" t="s">
        <v>1</v>
      </c>
      <c r="C94" s="15" t="s">
        <v>29</v>
      </c>
      <c r="D94" s="15" t="s">
        <v>1140</v>
      </c>
      <c r="E94" s="15" t="s">
        <v>14</v>
      </c>
      <c r="F94" s="15" t="s">
        <v>18</v>
      </c>
      <c r="G94" s="15" t="s">
        <v>5</v>
      </c>
      <c r="H94" s="15" t="s">
        <v>1141</v>
      </c>
      <c r="I94" s="15" t="s">
        <v>1174</v>
      </c>
      <c r="J94" s="15" t="s">
        <v>21</v>
      </c>
      <c r="K94" s="15" t="s">
        <v>1138</v>
      </c>
      <c r="L94" s="15" t="s">
        <v>1136</v>
      </c>
      <c r="M94" s="15" t="s">
        <v>1142</v>
      </c>
      <c r="N94" s="15" t="s">
        <v>1148</v>
      </c>
      <c r="O94" s="15" t="s">
        <v>1144</v>
      </c>
      <c r="P94" s="15" t="s">
        <v>1149</v>
      </c>
      <c r="Q94" s="15" t="s">
        <v>1145</v>
      </c>
      <c r="R94" s="15" t="s">
        <v>37</v>
      </c>
      <c r="S94" s="15" t="s">
        <v>9</v>
      </c>
      <c r="T94" s="15" t="s">
        <v>19</v>
      </c>
      <c r="U94" s="15" t="s">
        <v>15</v>
      </c>
      <c r="V94" s="15" t="s">
        <v>17</v>
      </c>
      <c r="W94" s="15" t="s">
        <v>11</v>
      </c>
      <c r="X94" s="15" t="s">
        <v>7</v>
      </c>
      <c r="Y94" s="15" t="s">
        <v>1147</v>
      </c>
      <c r="Z94" s="15" t="s">
        <v>1146</v>
      </c>
      <c r="AA94" s="15" t="s">
        <v>10</v>
      </c>
      <c r="AB94" s="15" t="s">
        <v>1175</v>
      </c>
      <c r="AC94" s="15" t="s">
        <v>16</v>
      </c>
      <c r="AD94" s="15" t="s">
        <v>12</v>
      </c>
    </row>
    <row r="95" spans="1:30" x14ac:dyDescent="0.35">
      <c r="A95" s="16" t="s">
        <v>1876</v>
      </c>
      <c r="B95" s="17">
        <v>0.63455190023145602</v>
      </c>
      <c r="C95" s="17">
        <v>1.8692449821245201</v>
      </c>
      <c r="D95" s="17">
        <v>1.79716162238998</v>
      </c>
      <c r="E95" s="17">
        <v>0.70478586292964096</v>
      </c>
      <c r="F95" s="17">
        <v>1.0809800664451801</v>
      </c>
      <c r="G95" s="17">
        <v>3.03325258486567E-2</v>
      </c>
      <c r="H95" s="17">
        <v>0.113787375415282</v>
      </c>
      <c r="I95" s="17">
        <v>0.113787375415282</v>
      </c>
      <c r="J95" s="17">
        <v>0.170681063122924</v>
      </c>
      <c r="K95" s="17">
        <v>0.12540788612168699</v>
      </c>
      <c r="L95" s="17">
        <v>0.28446843853820603</v>
      </c>
      <c r="M95" s="17">
        <v>1.79979690569149</v>
      </c>
      <c r="N95" s="17">
        <v>0.113787375415282</v>
      </c>
      <c r="O95" s="17">
        <v>0.85340531561461797</v>
      </c>
      <c r="P95" s="17">
        <v>1.1128284279252299E-3</v>
      </c>
      <c r="Q95" s="18">
        <v>0</v>
      </c>
      <c r="R95" s="17">
        <v>1.76107800105274</v>
      </c>
      <c r="S95" s="17">
        <v>3.4136212624584701</v>
      </c>
      <c r="T95" s="17">
        <v>1.9566893808957999</v>
      </c>
      <c r="U95" s="17">
        <v>0.39825581395348802</v>
      </c>
      <c r="V95" s="17">
        <v>0.85340531561461797</v>
      </c>
      <c r="W95" s="17">
        <v>2.6217353347721701</v>
      </c>
      <c r="X95" s="17">
        <v>58.012981603133603</v>
      </c>
      <c r="Y95" s="17">
        <v>4.0295618417117298</v>
      </c>
      <c r="Z95" s="17">
        <v>0.68272425249169399</v>
      </c>
      <c r="AA95" s="17">
        <v>1.1378737541528201</v>
      </c>
      <c r="AB95" s="17">
        <v>0.51098709896452199</v>
      </c>
      <c r="AC95" s="17">
        <v>0.170681063122924</v>
      </c>
      <c r="AD95" s="17">
        <v>0.45514950166113</v>
      </c>
    </row>
    <row r="96" spans="1:30" x14ac:dyDescent="0.35">
      <c r="A96" s="16" t="s">
        <v>1877</v>
      </c>
      <c r="B96" s="17">
        <v>0.67583156504412001</v>
      </c>
      <c r="C96" s="17">
        <v>0.70324310340513196</v>
      </c>
      <c r="D96" s="17">
        <v>6.6721145070299102</v>
      </c>
      <c r="E96" s="17">
        <v>5.8221981671594002E-2</v>
      </c>
      <c r="F96" s="17">
        <v>0.87583056478405297</v>
      </c>
      <c r="G96" s="17">
        <v>13.2622253701507</v>
      </c>
      <c r="H96" s="17">
        <v>9.2192691029900298E-2</v>
      </c>
      <c r="I96" s="17">
        <v>8.9390395378767504</v>
      </c>
      <c r="J96" s="17">
        <v>0.13828903654485</v>
      </c>
      <c r="K96" s="17">
        <v>0.62339962886474498</v>
      </c>
      <c r="L96" s="17">
        <v>0.23048172757475099</v>
      </c>
      <c r="M96" s="17">
        <v>0.23048172757475099</v>
      </c>
      <c r="N96" s="17">
        <v>9.2192691029900298E-2</v>
      </c>
      <c r="O96" s="17">
        <v>0.69144518272425304</v>
      </c>
      <c r="P96" s="17">
        <v>0.78363787375415295</v>
      </c>
      <c r="Q96" s="18">
        <v>0</v>
      </c>
      <c r="R96" s="17">
        <v>8.4365030948478203</v>
      </c>
      <c r="S96" s="17">
        <v>1.80481976993605</v>
      </c>
      <c r="T96" s="17">
        <v>1.1063122923588</v>
      </c>
      <c r="U96" s="17">
        <v>0.32267441860465101</v>
      </c>
      <c r="V96" s="17">
        <v>99.837391128670205</v>
      </c>
      <c r="W96" s="17">
        <v>0.18438538205980101</v>
      </c>
      <c r="X96" s="17">
        <v>19.420164372275799</v>
      </c>
      <c r="Y96" s="17">
        <v>0.13828903654485</v>
      </c>
      <c r="Z96" s="17">
        <v>0.55315614617940201</v>
      </c>
      <c r="AA96" s="17">
        <v>0.92192691029900298</v>
      </c>
      <c r="AB96" s="17">
        <v>1.61337209302326</v>
      </c>
      <c r="AC96" s="17">
        <v>0.13828903654485</v>
      </c>
      <c r="AD96" s="17">
        <v>0.36877076411960102</v>
      </c>
    </row>
    <row r="97" spans="1:30" x14ac:dyDescent="0.35">
      <c r="A97" s="16" t="s">
        <v>1878</v>
      </c>
      <c r="B97" s="17">
        <v>2.3243041990318298</v>
      </c>
      <c r="C97" s="17">
        <v>5.9879814527524502</v>
      </c>
      <c r="D97" s="17">
        <v>5.7162297912797699E-2</v>
      </c>
      <c r="E97" s="17">
        <v>5.2639522994245498</v>
      </c>
      <c r="F97" s="17">
        <v>2.2838693162496799</v>
      </c>
      <c r="G97" s="17">
        <v>4.5861531682680798</v>
      </c>
      <c r="H97" s="17">
        <v>0.13538205980066401</v>
      </c>
      <c r="I97" s="17">
        <v>0.13538205980066401</v>
      </c>
      <c r="J97" s="17">
        <v>3.1274084680240999</v>
      </c>
      <c r="K97" s="17">
        <v>0.28319599290707897</v>
      </c>
      <c r="L97" s="17">
        <v>0.338455149501661</v>
      </c>
      <c r="M97" s="17">
        <v>0.338455149501661</v>
      </c>
      <c r="N97" s="17">
        <v>0.13538205980066401</v>
      </c>
      <c r="O97" s="17">
        <v>1.0153654485049799</v>
      </c>
      <c r="P97" s="17">
        <v>1.15074750830565</v>
      </c>
      <c r="Q97" s="18">
        <v>0</v>
      </c>
      <c r="R97" s="17">
        <v>1.32133035836676E-3</v>
      </c>
      <c r="S97" s="17">
        <v>0.27741271426533198</v>
      </c>
      <c r="T97" s="17">
        <v>1.62458471760797</v>
      </c>
      <c r="U97" s="17">
        <v>0.47383720930232598</v>
      </c>
      <c r="V97" s="17">
        <v>2.3252416960506701E-4</v>
      </c>
      <c r="W97" s="17">
        <v>0.27076411960132901</v>
      </c>
      <c r="X97" s="17">
        <v>0.39623612283669701</v>
      </c>
      <c r="Y97" s="17">
        <v>0.20307308970099699</v>
      </c>
      <c r="Z97" s="17">
        <v>0.81229235880398698</v>
      </c>
      <c r="AA97" s="17">
        <v>1.35382059800665</v>
      </c>
      <c r="AB97" s="17">
        <v>9.0513946354686894</v>
      </c>
      <c r="AC97" s="17">
        <v>0.20307308970099699</v>
      </c>
      <c r="AD97" s="17">
        <v>3.9280313066873198</v>
      </c>
    </row>
    <row r="98" spans="1:30" x14ac:dyDescent="0.35">
      <c r="A98" s="16" t="s">
        <v>1879</v>
      </c>
      <c r="B98" s="17">
        <v>9.0199668288725193E-2</v>
      </c>
      <c r="C98" s="17">
        <v>0.255233596871899</v>
      </c>
      <c r="D98" s="17">
        <v>8.6484001579356704</v>
      </c>
      <c r="E98" s="17">
        <v>0.34189442979301499</v>
      </c>
      <c r="F98" s="17">
        <v>7.1930831033469603E-2</v>
      </c>
      <c r="G98" s="17">
        <v>3.8268272425249199</v>
      </c>
      <c r="H98" s="17">
        <v>8.0564784053156202E-2</v>
      </c>
      <c r="I98" s="17">
        <v>8.0564784053156202E-2</v>
      </c>
      <c r="J98" s="17">
        <v>6.3957612654268097</v>
      </c>
      <c r="K98" s="17">
        <v>1.00705980066445</v>
      </c>
      <c r="L98" s="17">
        <v>0.20141196013289001</v>
      </c>
      <c r="M98" s="17">
        <v>0.20141196013289001</v>
      </c>
      <c r="N98" s="17">
        <v>10.492935918073799</v>
      </c>
      <c r="O98" s="17">
        <v>0.60423588039867104</v>
      </c>
      <c r="P98" s="17">
        <v>0.14507962139542899</v>
      </c>
      <c r="Q98" s="18">
        <v>0</v>
      </c>
      <c r="R98" s="17">
        <v>0.29922242212636702</v>
      </c>
      <c r="S98" s="17">
        <v>2.4169435215946802</v>
      </c>
      <c r="T98" s="17">
        <v>1.1042344533114099</v>
      </c>
      <c r="U98" s="17">
        <v>0.28197674418604601</v>
      </c>
      <c r="V98" s="17">
        <v>0.60423588039867104</v>
      </c>
      <c r="W98" s="17">
        <v>0.16112956810631199</v>
      </c>
      <c r="X98" s="17">
        <v>0.765365448504983</v>
      </c>
      <c r="Y98" s="17">
        <v>0.120847176079734</v>
      </c>
      <c r="Z98" s="17">
        <v>0.55211722665570695</v>
      </c>
      <c r="AA98" s="17">
        <v>4.6884953933623297E-2</v>
      </c>
      <c r="AB98" s="17">
        <v>1.40988372093023</v>
      </c>
      <c r="AC98" s="17">
        <v>0.120847176079734</v>
      </c>
      <c r="AD98" s="17">
        <v>0.32225913621262497</v>
      </c>
    </row>
    <row r="99" spans="1:30" x14ac:dyDescent="0.35">
      <c r="A99" s="16" t="s">
        <v>1880</v>
      </c>
      <c r="B99" s="17">
        <v>10.358020269820001</v>
      </c>
      <c r="C99" s="17">
        <v>1.7601745421805399</v>
      </c>
      <c r="D99" s="17">
        <v>2.5924816161178699</v>
      </c>
      <c r="E99" s="17">
        <v>0.10847702987353</v>
      </c>
      <c r="F99" s="17">
        <v>0.79692691029900298</v>
      </c>
      <c r="G99" s="17">
        <v>42.513243201833703</v>
      </c>
      <c r="H99" s="17">
        <v>10.004679122397301</v>
      </c>
      <c r="I99" s="17">
        <v>8.3887043189368807E-2</v>
      </c>
      <c r="J99" s="17">
        <v>0.125830564784053</v>
      </c>
      <c r="K99" s="17">
        <v>1.0485880398671099</v>
      </c>
      <c r="L99" s="17">
        <v>2.9780344396565899</v>
      </c>
      <c r="M99" s="17">
        <v>0.20971760797342201</v>
      </c>
      <c r="N99" s="17">
        <v>8.3887043189368807E-2</v>
      </c>
      <c r="O99" s="17">
        <v>86.353245233161203</v>
      </c>
      <c r="P99" s="17">
        <v>0.71303986710963396</v>
      </c>
      <c r="Q99" s="18">
        <v>0</v>
      </c>
      <c r="R99" s="17">
        <v>7.6523413187517697</v>
      </c>
      <c r="S99" s="17">
        <v>2.4506046950210001</v>
      </c>
      <c r="T99" s="17">
        <v>63.471991052925901</v>
      </c>
      <c r="U99" s="17">
        <v>1.6995452452222</v>
      </c>
      <c r="V99" s="17">
        <v>0.62915282392026595</v>
      </c>
      <c r="W99" s="17">
        <v>0.167774086378738</v>
      </c>
      <c r="X99" s="17">
        <v>0.79692691029900298</v>
      </c>
      <c r="Y99" s="17">
        <v>0.125830564784053</v>
      </c>
      <c r="Z99" s="17">
        <v>0.50332225913621298</v>
      </c>
      <c r="AA99" s="17">
        <v>0.83887043189368804</v>
      </c>
      <c r="AB99" s="17">
        <v>0.149211374625835</v>
      </c>
      <c r="AC99" s="17">
        <v>0.125830564784053</v>
      </c>
      <c r="AD99" s="17">
        <v>1.31574619255946</v>
      </c>
    </row>
    <row r="100" spans="1:30" x14ac:dyDescent="0.35">
      <c r="A100" s="16" t="s">
        <v>1881</v>
      </c>
      <c r="B100" s="17">
        <v>1.0895047932887201</v>
      </c>
      <c r="C100" s="17">
        <v>0.34627035169850401</v>
      </c>
      <c r="D100" s="17">
        <v>1.1141956449389099E-3</v>
      </c>
      <c r="E100" s="17">
        <v>0.45482623675242501</v>
      </c>
      <c r="F100" s="17">
        <v>1.3156300128481</v>
      </c>
      <c r="G100" s="17">
        <v>1.33714319925192</v>
      </c>
      <c r="H100" s="17">
        <v>9.5514950166113E-2</v>
      </c>
      <c r="I100" s="17">
        <v>9.5514950166113E-2</v>
      </c>
      <c r="J100" s="17">
        <v>0.143272425249169</v>
      </c>
      <c r="K100" s="17">
        <v>2.7320238335981499</v>
      </c>
      <c r="L100" s="17">
        <v>2.4266134623718001</v>
      </c>
      <c r="M100" s="17">
        <v>0.238787375415282</v>
      </c>
      <c r="N100" s="17">
        <v>9.5514950166113E-2</v>
      </c>
      <c r="O100" s="17">
        <v>7.27984038711541</v>
      </c>
      <c r="P100" s="17">
        <v>4.3590631399172401E-2</v>
      </c>
      <c r="Q100" s="18">
        <v>0</v>
      </c>
      <c r="R100" s="17">
        <v>2.0095403783353598</v>
      </c>
      <c r="S100" s="17">
        <v>0.44921662092541798</v>
      </c>
      <c r="T100" s="17">
        <v>1.14617940199336</v>
      </c>
      <c r="U100" s="17">
        <v>0.334302325581395</v>
      </c>
      <c r="V100" s="17">
        <v>2.3001302421878802</v>
      </c>
      <c r="W100" s="17">
        <v>0.191029900332226</v>
      </c>
      <c r="X100" s="17">
        <v>0.90739202657807305</v>
      </c>
      <c r="Y100" s="17">
        <v>0.143272425249169</v>
      </c>
      <c r="Z100" s="17">
        <v>0.31801723722856201</v>
      </c>
      <c r="AA100" s="17">
        <v>1.14297558861765</v>
      </c>
      <c r="AB100" s="17">
        <v>0.26977249747219401</v>
      </c>
      <c r="AC100" s="17">
        <v>0.143272425249169</v>
      </c>
      <c r="AD100" s="17">
        <v>0.382059800664452</v>
      </c>
    </row>
    <row r="101" spans="1:30" x14ac:dyDescent="0.35">
      <c r="A101" s="16" t="s">
        <v>1882</v>
      </c>
      <c r="B101" s="17">
        <v>0.64758285911353897</v>
      </c>
      <c r="C101" s="17">
        <v>3.0488914221610401</v>
      </c>
      <c r="D101" s="17">
        <v>2.5805311104672799</v>
      </c>
      <c r="E101" s="17">
        <v>0.394561763046126</v>
      </c>
      <c r="F101" s="17">
        <v>1.2855183266908301</v>
      </c>
      <c r="G101" s="17">
        <v>7.2600707864287906E-2</v>
      </c>
      <c r="H101" s="17">
        <v>9.6345514950166106E-2</v>
      </c>
      <c r="I101" s="17">
        <v>9.6345514950166106E-2</v>
      </c>
      <c r="J101" s="17">
        <v>0.14451827242524901</v>
      </c>
      <c r="K101" s="17">
        <v>3.46637644632833E-2</v>
      </c>
      <c r="L101" s="17">
        <v>2.3925879253064499</v>
      </c>
      <c r="M101" s="17">
        <v>0.240863787375415</v>
      </c>
      <c r="N101" s="17">
        <v>9.6345514950166106E-2</v>
      </c>
      <c r="O101" s="17">
        <v>0.106499408103257</v>
      </c>
      <c r="P101" s="17">
        <v>4.00322117620103E-2</v>
      </c>
      <c r="Q101" s="18">
        <v>0</v>
      </c>
      <c r="R101" s="17">
        <v>0.240193270572062</v>
      </c>
      <c r="S101" s="17">
        <v>3.34553786229809</v>
      </c>
      <c r="T101" s="17">
        <v>0.615916294344522</v>
      </c>
      <c r="U101" s="17">
        <v>0.337209302325581</v>
      </c>
      <c r="V101" s="17">
        <v>0.72259136212624597</v>
      </c>
      <c r="W101" s="17">
        <v>0.19269102990033199</v>
      </c>
      <c r="X101" s="17">
        <v>7.8413756926397904E-3</v>
      </c>
      <c r="Y101" s="17">
        <v>0.14451827242524901</v>
      </c>
      <c r="Z101" s="17">
        <v>0.307958147172261</v>
      </c>
      <c r="AA101" s="17">
        <v>1.38618398441975E-3</v>
      </c>
      <c r="AB101" s="17">
        <v>1.0239775461106699</v>
      </c>
      <c r="AC101" s="17">
        <v>0.14451827242524901</v>
      </c>
      <c r="AD101" s="17">
        <v>0.980209646007561</v>
      </c>
    </row>
    <row r="102" spans="1:30" x14ac:dyDescent="0.35">
      <c r="A102" s="16" t="s">
        <v>1883</v>
      </c>
      <c r="B102" s="17">
        <v>3.5368235081218899</v>
      </c>
      <c r="C102" s="17">
        <v>7.2719573391908501E-2</v>
      </c>
      <c r="D102" s="17">
        <v>2.2313963036803601</v>
      </c>
      <c r="E102" s="17">
        <v>8.4493655260948694E-3</v>
      </c>
      <c r="F102" s="17">
        <v>4.6028407932882202E-2</v>
      </c>
      <c r="G102" s="17">
        <v>0.77710818113273095</v>
      </c>
      <c r="H102" s="17">
        <v>0.13039867109634601</v>
      </c>
      <c r="I102" s="17">
        <v>0.13039867109634601</v>
      </c>
      <c r="J102" s="17">
        <v>0.19559800664451801</v>
      </c>
      <c r="K102" s="17">
        <v>6.96756300653872</v>
      </c>
      <c r="L102" s="17">
        <v>8.5960603720083792</v>
      </c>
      <c r="M102" s="17">
        <v>0.32599667774086399</v>
      </c>
      <c r="N102" s="17">
        <v>0.13039867109634601</v>
      </c>
      <c r="O102" s="17">
        <v>4.95341078217689E-4</v>
      </c>
      <c r="P102" s="17">
        <v>1.0599270073901299E-2</v>
      </c>
      <c r="Q102" s="18">
        <v>0</v>
      </c>
      <c r="R102" s="17">
        <v>0.83017486360564097</v>
      </c>
      <c r="S102" s="17">
        <v>66.162490918453003</v>
      </c>
      <c r="T102" s="17">
        <v>1.5647840531561501</v>
      </c>
      <c r="U102" s="17">
        <v>5.2207265590282903</v>
      </c>
      <c r="V102" s="17">
        <v>0.97799003322259104</v>
      </c>
      <c r="W102" s="17">
        <v>0.26079734219269102</v>
      </c>
      <c r="X102" s="17">
        <v>4.6028407932882202E-2</v>
      </c>
      <c r="Y102" s="17">
        <v>3.30812454592265</v>
      </c>
      <c r="Z102" s="17">
        <v>1.89491856585621</v>
      </c>
      <c r="AA102" s="17">
        <v>1.30398671096345</v>
      </c>
      <c r="AB102" s="17">
        <v>19.777518145459901</v>
      </c>
      <c r="AC102" s="17">
        <v>0.19559800664451801</v>
      </c>
      <c r="AD102" s="17">
        <v>0.52159468438538203</v>
      </c>
    </row>
    <row r="103" spans="1:30" x14ac:dyDescent="0.35">
      <c r="A103" s="16" t="s">
        <v>1884</v>
      </c>
      <c r="B103" s="17">
        <v>3.0479471787400501</v>
      </c>
      <c r="C103" s="17">
        <v>4.2286186300673503E-2</v>
      </c>
      <c r="D103" s="17">
        <v>3.0938007408866102</v>
      </c>
      <c r="E103" s="17">
        <v>1.2666224817387599</v>
      </c>
      <c r="F103" s="17">
        <v>3.80827862468009E-2</v>
      </c>
      <c r="G103" s="17">
        <v>3.9913708690330498</v>
      </c>
      <c r="H103" s="17">
        <v>0.127906976744186</v>
      </c>
      <c r="I103" s="17">
        <v>0.127906976744186</v>
      </c>
      <c r="J103" s="17">
        <v>0.19186046511627899</v>
      </c>
      <c r="K103" s="17">
        <v>0.100655391120507</v>
      </c>
      <c r="L103" s="17">
        <v>0.31976744186046502</v>
      </c>
      <c r="M103" s="17">
        <v>0.31976744186046502</v>
      </c>
      <c r="N103" s="17">
        <v>0.127906976744186</v>
      </c>
      <c r="O103" s="17">
        <v>0.95930232558139505</v>
      </c>
      <c r="P103" s="17">
        <v>7.8037868424325403</v>
      </c>
      <c r="Q103" s="18">
        <v>0</v>
      </c>
      <c r="R103" s="17">
        <v>0.97601873730464705</v>
      </c>
      <c r="S103" s="17">
        <v>3.8372093023255802</v>
      </c>
      <c r="T103" s="17">
        <v>0.140944326990839</v>
      </c>
      <c r="U103" s="17">
        <v>0.44767441860465101</v>
      </c>
      <c r="V103" s="17">
        <v>0.95930232558139505</v>
      </c>
      <c r="W103" s="17">
        <v>0.25581395348837199</v>
      </c>
      <c r="X103" s="17">
        <v>1.21511627906977</v>
      </c>
      <c r="Y103" s="17">
        <v>0.19186046511627899</v>
      </c>
      <c r="Z103" s="17">
        <v>7.0472163495419293E-2</v>
      </c>
      <c r="AA103" s="17">
        <v>1.2790697674418601</v>
      </c>
      <c r="AB103" s="17">
        <v>10.129281183932299</v>
      </c>
      <c r="AC103" s="17">
        <v>0.19186046511627899</v>
      </c>
      <c r="AD103" s="17">
        <v>0.51162790697674398</v>
      </c>
    </row>
    <row r="104" spans="1:30" x14ac:dyDescent="0.35">
      <c r="A104" s="16" t="s">
        <v>1885</v>
      </c>
      <c r="B104" s="17">
        <v>0.61298409810592702</v>
      </c>
      <c r="C104" s="17">
        <v>3.1081602718356098</v>
      </c>
      <c r="D104" s="17">
        <v>0.88392062021863405</v>
      </c>
      <c r="E104" s="17">
        <v>0.117701471533768</v>
      </c>
      <c r="F104" s="17">
        <v>0.69048378397681098</v>
      </c>
      <c r="G104" s="17">
        <v>2.82528709589237E-2</v>
      </c>
      <c r="H104" s="17">
        <v>0.117940199335548</v>
      </c>
      <c r="I104" s="17">
        <v>0.117940199335548</v>
      </c>
      <c r="J104" s="17">
        <v>0.176910299003322</v>
      </c>
      <c r="K104" s="17">
        <v>0.18749192831406999</v>
      </c>
      <c r="L104" s="17">
        <v>0.29485049833887</v>
      </c>
      <c r="M104" s="17">
        <v>9.8610476814374604</v>
      </c>
      <c r="N104" s="17">
        <v>0.117940199335548</v>
      </c>
      <c r="O104" s="17">
        <v>0.88455149501661101</v>
      </c>
      <c r="P104" s="17">
        <v>1.00249169435216</v>
      </c>
      <c r="Q104" s="18">
        <v>0</v>
      </c>
      <c r="R104" s="17">
        <v>1.4813958993358201</v>
      </c>
      <c r="S104" s="17">
        <v>3.3870322711462602</v>
      </c>
      <c r="T104" s="17">
        <v>1.7744373216040401</v>
      </c>
      <c r="U104" s="17">
        <v>16.215607599082901</v>
      </c>
      <c r="V104" s="17">
        <v>1.5067926941493901E-2</v>
      </c>
      <c r="W104" s="17">
        <v>13.1936268775443</v>
      </c>
      <c r="X104" s="17">
        <v>1.12043189368771</v>
      </c>
      <c r="Y104" s="17">
        <v>0.176910299003322</v>
      </c>
      <c r="Z104" s="17">
        <v>0.70764119601328901</v>
      </c>
      <c r="AA104" s="17">
        <v>1.17940199335548</v>
      </c>
      <c r="AB104" s="17">
        <v>2.06395348837209</v>
      </c>
      <c r="AC104" s="17">
        <v>0.176910299003322</v>
      </c>
      <c r="AD104" s="17">
        <v>0.47176079734219301</v>
      </c>
    </row>
    <row r="105" spans="1:30" x14ac:dyDescent="0.35">
      <c r="A105" s="16" t="s">
        <v>1886</v>
      </c>
      <c r="B105" s="17">
        <v>3.5767764297648301</v>
      </c>
      <c r="C105" s="17">
        <v>5.5510261177094797</v>
      </c>
      <c r="D105" s="17">
        <v>1.0949942758284701</v>
      </c>
      <c r="E105" s="17">
        <v>0.183584660675949</v>
      </c>
      <c r="F105" s="17">
        <v>1.6809965733493699</v>
      </c>
      <c r="G105" s="17">
        <v>3.1062992434226801E-2</v>
      </c>
      <c r="H105" s="17">
        <v>0.222591362126246</v>
      </c>
      <c r="I105" s="17">
        <v>0.222591362126246</v>
      </c>
      <c r="J105" s="17">
        <v>0.33388704318936901</v>
      </c>
      <c r="K105" s="17">
        <v>6.3931382952347899</v>
      </c>
      <c r="L105" s="17">
        <v>0.55647840531561499</v>
      </c>
      <c r="M105" s="17">
        <v>0.353493330688749</v>
      </c>
      <c r="N105" s="17">
        <v>0.222591362126246</v>
      </c>
      <c r="O105" s="17">
        <v>1.66943521594684</v>
      </c>
      <c r="P105" s="17">
        <v>0.64883079229609297</v>
      </c>
      <c r="Q105" s="18">
        <v>0</v>
      </c>
      <c r="R105" s="17">
        <v>3.5543836416899302</v>
      </c>
      <c r="S105" s="17">
        <v>6.6777408637873803</v>
      </c>
      <c r="T105" s="17">
        <v>2.6710963455149499</v>
      </c>
      <c r="U105" s="17">
        <v>0.77906976744185996</v>
      </c>
      <c r="V105" s="17">
        <v>0.26844019107122202</v>
      </c>
      <c r="W105" s="17">
        <v>0.445182724252492</v>
      </c>
      <c r="X105" s="17">
        <v>2.1146179401993401</v>
      </c>
      <c r="Y105" s="17">
        <v>0.33388704318936901</v>
      </c>
      <c r="Z105" s="17">
        <v>1.3355481727574801</v>
      </c>
      <c r="AA105" s="17">
        <v>2.22591362126246</v>
      </c>
      <c r="AB105" s="17">
        <v>2.1520652551197501</v>
      </c>
      <c r="AC105" s="17">
        <v>0.33388704318936901</v>
      </c>
      <c r="AD105" s="17">
        <v>0.890365448504983</v>
      </c>
    </row>
    <row r="106" spans="1:30" x14ac:dyDescent="0.35">
      <c r="A106" s="16" t="s">
        <v>1887</v>
      </c>
      <c r="B106" s="17">
        <v>1.42996613580419</v>
      </c>
      <c r="C106" s="17">
        <v>2.4303526248817899</v>
      </c>
      <c r="D106" s="17">
        <v>5.6186266527031696</v>
      </c>
      <c r="E106" s="17">
        <v>0.77002801486005601</v>
      </c>
      <c r="F106" s="17">
        <v>1.5622923588039901</v>
      </c>
      <c r="G106" s="17">
        <v>0.42007423421132101</v>
      </c>
      <c r="H106" s="17">
        <v>0.16445182724252499</v>
      </c>
      <c r="I106" s="17">
        <v>0.16445182724252499</v>
      </c>
      <c r="J106" s="17">
        <v>0.24667774086378699</v>
      </c>
      <c r="K106" s="17">
        <v>0.54211248699620795</v>
      </c>
      <c r="L106" s="17">
        <v>0.41112956810631202</v>
      </c>
      <c r="M106" s="17">
        <v>0.41112956810631202</v>
      </c>
      <c r="N106" s="17">
        <v>0.16445182724252499</v>
      </c>
      <c r="O106" s="17">
        <v>4.4163115093347603E-2</v>
      </c>
      <c r="P106" s="17">
        <v>1.3978405315614599</v>
      </c>
      <c r="Q106" s="18">
        <v>0</v>
      </c>
      <c r="R106" s="17">
        <v>4.8639693133537198</v>
      </c>
      <c r="S106" s="17">
        <v>3.1362484199693501</v>
      </c>
      <c r="T106" s="17">
        <v>0.48015593364430598</v>
      </c>
      <c r="U106" s="17">
        <v>0.57558139534883701</v>
      </c>
      <c r="V106" s="17">
        <v>1.23338870431894</v>
      </c>
      <c r="W106" s="17">
        <v>0.32890365448504999</v>
      </c>
      <c r="X106" s="17">
        <v>1.5622923588039901</v>
      </c>
      <c r="Y106" s="17">
        <v>0.24667774086378699</v>
      </c>
      <c r="Z106" s="17">
        <v>1.0405830173271999</v>
      </c>
      <c r="AA106" s="17">
        <v>0.25259908050605701</v>
      </c>
      <c r="AB106" s="17">
        <v>0.26780596664317602</v>
      </c>
      <c r="AC106" s="17">
        <v>0.24667774086378699</v>
      </c>
      <c r="AD106" s="17">
        <v>0.65780730897009998</v>
      </c>
    </row>
    <row r="107" spans="1:30" x14ac:dyDescent="0.35">
      <c r="A107" s="16" t="s">
        <v>1888</v>
      </c>
      <c r="B107" s="17">
        <v>4.6993702602538101E-2</v>
      </c>
      <c r="C107" s="17">
        <v>6.6236791157986499</v>
      </c>
      <c r="D107" s="17">
        <v>1.22482941990293E-2</v>
      </c>
      <c r="E107" s="17">
        <v>0.235997216705462</v>
      </c>
      <c r="F107" s="17">
        <v>2.1461374944183498E-3</v>
      </c>
      <c r="G107" s="17">
        <v>0.65901254915108198</v>
      </c>
      <c r="H107" s="17">
        <v>0.100498338870432</v>
      </c>
      <c r="I107" s="17">
        <v>0.100498338870432</v>
      </c>
      <c r="J107" s="17">
        <v>0.15074750830564801</v>
      </c>
      <c r="K107" s="17">
        <v>1.2562292358803999</v>
      </c>
      <c r="L107" s="17">
        <v>0.25124584717608001</v>
      </c>
      <c r="M107" s="17">
        <v>0.25124584717608001</v>
      </c>
      <c r="N107" s="17">
        <v>8.0509115620109295</v>
      </c>
      <c r="O107" s="17">
        <v>0.75373754152823902</v>
      </c>
      <c r="P107" s="17">
        <v>0.85423588039867104</v>
      </c>
      <c r="Q107" s="18">
        <v>0</v>
      </c>
      <c r="R107" s="17">
        <v>0.14923638107943499</v>
      </c>
      <c r="S107" s="17">
        <v>1.3466306068843099</v>
      </c>
      <c r="T107" s="17">
        <v>0.52278447415868101</v>
      </c>
      <c r="U107" s="17">
        <v>0.35174418604651198</v>
      </c>
      <c r="V107" s="17">
        <v>0.75373754152823902</v>
      </c>
      <c r="W107" s="17">
        <v>0.20099667774086399</v>
      </c>
      <c r="X107" s="17">
        <v>0.95473421926910296</v>
      </c>
      <c r="Y107" s="17">
        <v>0.15074750830564801</v>
      </c>
      <c r="Z107" s="17">
        <v>0.60299003322259104</v>
      </c>
      <c r="AA107" s="17">
        <v>2.4711018368523399E-5</v>
      </c>
      <c r="AB107" s="17">
        <v>0.32731597155487202</v>
      </c>
      <c r="AC107" s="17">
        <v>4.7843563237326396</v>
      </c>
      <c r="AD107" s="17">
        <v>0.889596661266851</v>
      </c>
    </row>
    <row r="108" spans="1:30" x14ac:dyDescent="0.35">
      <c r="A108" s="16" t="s">
        <v>1889</v>
      </c>
      <c r="B108" s="17">
        <v>7.8797357622113902</v>
      </c>
      <c r="C108" s="17">
        <v>4.3104062361766298</v>
      </c>
      <c r="D108" s="17">
        <v>1.42557324480809E-4</v>
      </c>
      <c r="E108" s="17">
        <v>3.3114018963187002</v>
      </c>
      <c r="F108" s="17">
        <v>0.970514950166113</v>
      </c>
      <c r="G108" s="17">
        <v>0.70726024505392804</v>
      </c>
      <c r="H108" s="17">
        <v>7.8907773546174003</v>
      </c>
      <c r="I108" s="17">
        <v>0.102159468438538</v>
      </c>
      <c r="J108" s="17">
        <v>4.6789844601103798</v>
      </c>
      <c r="K108" s="17">
        <v>1.2769933554817301</v>
      </c>
      <c r="L108" s="17">
        <v>0.25539867109634501</v>
      </c>
      <c r="M108" s="17">
        <v>2.17084582556789</v>
      </c>
      <c r="N108" s="17">
        <v>0.102159468438538</v>
      </c>
      <c r="O108" s="17">
        <v>0.76619601328903697</v>
      </c>
      <c r="P108" s="17">
        <v>11.293989149829001</v>
      </c>
      <c r="Q108" s="18">
        <v>0</v>
      </c>
      <c r="R108" s="17">
        <v>0.28107183504901301</v>
      </c>
      <c r="S108" s="17">
        <v>3.0647840531561501</v>
      </c>
      <c r="T108" s="17">
        <v>1.22591362126246</v>
      </c>
      <c r="U108" s="17">
        <v>0.35755813953488402</v>
      </c>
      <c r="V108" s="17">
        <v>0.76619601328903697</v>
      </c>
      <c r="W108" s="17">
        <v>3.0986278799665099</v>
      </c>
      <c r="X108" s="17">
        <v>8.9578029020366903E-4</v>
      </c>
      <c r="Y108" s="17">
        <v>0.15323920265780699</v>
      </c>
      <c r="Z108" s="17">
        <v>0.61295681063122898</v>
      </c>
      <c r="AA108" s="17">
        <v>1.02159468438538</v>
      </c>
      <c r="AB108" s="17">
        <v>1.78779069767442</v>
      </c>
      <c r="AC108" s="17">
        <v>22.256220232468099</v>
      </c>
      <c r="AD108" s="17">
        <v>0.408637873754153</v>
      </c>
    </row>
    <row r="109" spans="1:30" x14ac:dyDescent="0.35">
      <c r="A109" s="16" t="s">
        <v>1890</v>
      </c>
      <c r="B109" s="17">
        <v>1.3117829449610401</v>
      </c>
      <c r="C109" s="17">
        <v>5.6854967393187001</v>
      </c>
      <c r="D109" s="17">
        <v>2.1588942232962798</v>
      </c>
      <c r="E109" s="17">
        <v>0.42345194031240502</v>
      </c>
      <c r="F109" s="17">
        <v>0.14478161935322301</v>
      </c>
      <c r="G109" s="17">
        <v>2.5317032603507501</v>
      </c>
      <c r="H109" s="17">
        <v>0.15365448504983401</v>
      </c>
      <c r="I109" s="17">
        <v>4.6617625931579401</v>
      </c>
      <c r="J109" s="17">
        <v>0.23048172757475099</v>
      </c>
      <c r="K109" s="17">
        <v>1.9206810631229201</v>
      </c>
      <c r="L109" s="17">
        <v>0.38413621262458503</v>
      </c>
      <c r="M109" s="17">
        <v>0.38413621262458503</v>
      </c>
      <c r="N109" s="17">
        <v>0.15365448504983401</v>
      </c>
      <c r="O109" s="17">
        <v>1.1524086378737499</v>
      </c>
      <c r="P109" s="17">
        <v>1.3060631229235899</v>
      </c>
      <c r="Q109" s="18">
        <v>0</v>
      </c>
      <c r="R109" s="17">
        <v>1.02662781014354</v>
      </c>
      <c r="S109" s="17">
        <v>0.56206698392744903</v>
      </c>
      <c r="T109" s="17">
        <v>1.84385382059801</v>
      </c>
      <c r="U109" s="17">
        <v>0.39725015713387801</v>
      </c>
      <c r="V109" s="17">
        <v>1.1524086378737499</v>
      </c>
      <c r="W109" s="17">
        <v>0.30730897009966801</v>
      </c>
      <c r="X109" s="17">
        <v>1.45971760797342</v>
      </c>
      <c r="Y109" s="17">
        <v>0.23048172757475099</v>
      </c>
      <c r="Z109" s="17">
        <v>4.6840890724611697</v>
      </c>
      <c r="AA109" s="17">
        <v>19.4262745802281</v>
      </c>
      <c r="AB109" s="17">
        <v>2.68895348837209</v>
      </c>
      <c r="AC109" s="17">
        <v>0.23048172757475099</v>
      </c>
      <c r="AD109" s="17">
        <v>9.2578611834425804</v>
      </c>
    </row>
    <row r="110" spans="1:30" x14ac:dyDescent="0.35">
      <c r="A110" s="16" t="s">
        <v>24</v>
      </c>
      <c r="B110" s="17">
        <v>11.4955870133</v>
      </c>
      <c r="C110" s="17">
        <v>3.5639784919617199</v>
      </c>
      <c r="D110" s="17">
        <v>7.8099841875539505E-2</v>
      </c>
      <c r="E110" s="17">
        <v>1.6068357998590601</v>
      </c>
      <c r="F110" s="17">
        <v>0.31195695369502002</v>
      </c>
      <c r="G110" s="17">
        <v>3.7163397923985402</v>
      </c>
      <c r="H110" s="17">
        <v>0.18272425249169399</v>
      </c>
      <c r="I110" s="17">
        <v>0.18272425249169399</v>
      </c>
      <c r="J110" s="17">
        <v>0.27408637873754199</v>
      </c>
      <c r="K110" s="17">
        <v>2.2840531561461801</v>
      </c>
      <c r="L110" s="17">
        <v>0.45681063122923599</v>
      </c>
      <c r="M110" s="17">
        <v>0.45681063122923599</v>
      </c>
      <c r="N110" s="17">
        <v>0.18272425249169399</v>
      </c>
      <c r="O110" s="17">
        <v>0.100128863384677</v>
      </c>
      <c r="P110" s="17">
        <v>0.197006413559081</v>
      </c>
      <c r="Q110" s="18">
        <v>0</v>
      </c>
      <c r="R110" s="17">
        <v>3.0358709234222201</v>
      </c>
      <c r="S110" s="17">
        <v>4.2333635356891101E-2</v>
      </c>
      <c r="T110" s="17">
        <v>2.1926910299003302</v>
      </c>
      <c r="U110" s="17">
        <v>0.63953488372093004</v>
      </c>
      <c r="V110" s="17">
        <v>0.100128863384677</v>
      </c>
      <c r="W110" s="17">
        <v>0.36544850498338899</v>
      </c>
      <c r="X110" s="17">
        <v>1.7358803986711</v>
      </c>
      <c r="Y110" s="17">
        <v>1.92257122722239</v>
      </c>
      <c r="Z110" s="17">
        <v>8.4667270713782508E-3</v>
      </c>
      <c r="AA110" s="17">
        <v>14.6436061612806</v>
      </c>
      <c r="AB110" s="17">
        <v>3.1976744186046502</v>
      </c>
      <c r="AC110" s="17">
        <v>0.27408637873754199</v>
      </c>
      <c r="AD110" s="17">
        <v>0.73089700996677698</v>
      </c>
    </row>
  </sheetData>
  <mergeCells count="1029">
    <mergeCell ref="A1:P1"/>
    <mergeCell ref="Q1:AF1"/>
    <mergeCell ref="AG1:AV1"/>
    <mergeCell ref="AW1:BL1"/>
    <mergeCell ref="BM1:CB1"/>
    <mergeCell ref="CC1:CR1"/>
    <mergeCell ref="KC1:KR1"/>
    <mergeCell ref="KS1:LH1"/>
    <mergeCell ref="LI1:LX1"/>
    <mergeCell ref="LY1:MN1"/>
    <mergeCell ref="MO1:ND1"/>
    <mergeCell ref="NE1:NT1"/>
    <mergeCell ref="GK1:GZ1"/>
    <mergeCell ref="HA1:HP1"/>
    <mergeCell ref="HQ1:IF1"/>
    <mergeCell ref="IG1:IV1"/>
    <mergeCell ref="IW1:JL1"/>
    <mergeCell ref="JM1:KB1"/>
    <mergeCell ref="CS1:DH1"/>
    <mergeCell ref="DI1:DX1"/>
    <mergeCell ref="DY1:EN1"/>
    <mergeCell ref="EO1:FD1"/>
    <mergeCell ref="FE1:FT1"/>
    <mergeCell ref="FU1:GJ1"/>
    <mergeCell ref="VE1:VT1"/>
    <mergeCell ref="VU1:WJ1"/>
    <mergeCell ref="WK1:WZ1"/>
    <mergeCell ref="XA1:XP1"/>
    <mergeCell ref="XQ1:YF1"/>
    <mergeCell ref="YG1:YV1"/>
    <mergeCell ref="RM1:SB1"/>
    <mergeCell ref="SC1:SR1"/>
    <mergeCell ref="SS1:TH1"/>
    <mergeCell ref="TI1:TX1"/>
    <mergeCell ref="TY1:UN1"/>
    <mergeCell ref="UO1:VD1"/>
    <mergeCell ref="NU1:OJ1"/>
    <mergeCell ref="OK1:OZ1"/>
    <mergeCell ref="PA1:PP1"/>
    <mergeCell ref="PQ1:QF1"/>
    <mergeCell ref="QG1:QV1"/>
    <mergeCell ref="QW1:RL1"/>
    <mergeCell ref="AGG1:AGV1"/>
    <mergeCell ref="AGW1:AHL1"/>
    <mergeCell ref="AHM1:AIB1"/>
    <mergeCell ref="AIC1:AIR1"/>
    <mergeCell ref="AIS1:AJH1"/>
    <mergeCell ref="AJI1:AJX1"/>
    <mergeCell ref="ACO1:ADD1"/>
    <mergeCell ref="ADE1:ADT1"/>
    <mergeCell ref="ADU1:AEJ1"/>
    <mergeCell ref="AEK1:AEZ1"/>
    <mergeCell ref="AFA1:AFP1"/>
    <mergeCell ref="AFQ1:AGF1"/>
    <mergeCell ref="YW1:ZL1"/>
    <mergeCell ref="ZM1:AAB1"/>
    <mergeCell ref="AAC1:AAR1"/>
    <mergeCell ref="AAS1:ABH1"/>
    <mergeCell ref="ABI1:ABX1"/>
    <mergeCell ref="ABY1:ACN1"/>
    <mergeCell ref="ARI1:ARX1"/>
    <mergeCell ref="ARY1:ASN1"/>
    <mergeCell ref="ASO1:ATD1"/>
    <mergeCell ref="ATE1:ATT1"/>
    <mergeCell ref="ATU1:AUJ1"/>
    <mergeCell ref="AUK1:AUZ1"/>
    <mergeCell ref="ANQ1:AOF1"/>
    <mergeCell ref="AOG1:AOV1"/>
    <mergeCell ref="AOW1:APL1"/>
    <mergeCell ref="APM1:AQB1"/>
    <mergeCell ref="AQC1:AQR1"/>
    <mergeCell ref="AQS1:ARH1"/>
    <mergeCell ref="AJY1:AKN1"/>
    <mergeCell ref="AKO1:ALD1"/>
    <mergeCell ref="ALE1:ALT1"/>
    <mergeCell ref="ALU1:AMJ1"/>
    <mergeCell ref="AMK1:AMZ1"/>
    <mergeCell ref="ANA1:ANP1"/>
    <mergeCell ref="BCK1:BCZ1"/>
    <mergeCell ref="BDA1:BDP1"/>
    <mergeCell ref="BDQ1:BEF1"/>
    <mergeCell ref="BEG1:BEV1"/>
    <mergeCell ref="BEW1:BFL1"/>
    <mergeCell ref="BFM1:BGB1"/>
    <mergeCell ref="AYS1:AZH1"/>
    <mergeCell ref="AZI1:AZX1"/>
    <mergeCell ref="AZY1:BAN1"/>
    <mergeCell ref="BAO1:BBD1"/>
    <mergeCell ref="BBE1:BBT1"/>
    <mergeCell ref="BBU1:BCJ1"/>
    <mergeCell ref="AVA1:AVP1"/>
    <mergeCell ref="AVQ1:AWF1"/>
    <mergeCell ref="AWG1:AWV1"/>
    <mergeCell ref="AWW1:AXL1"/>
    <mergeCell ref="AXM1:AYB1"/>
    <mergeCell ref="AYC1:AYR1"/>
    <mergeCell ref="BNM1:BOB1"/>
    <mergeCell ref="BOC1:BOR1"/>
    <mergeCell ref="BOS1:BPH1"/>
    <mergeCell ref="BPI1:BPX1"/>
    <mergeCell ref="BPY1:BQN1"/>
    <mergeCell ref="BQO1:BRD1"/>
    <mergeCell ref="BJU1:BKJ1"/>
    <mergeCell ref="BKK1:BKZ1"/>
    <mergeCell ref="BLA1:BLP1"/>
    <mergeCell ref="BLQ1:BMF1"/>
    <mergeCell ref="BMG1:BMV1"/>
    <mergeCell ref="BMW1:BNL1"/>
    <mergeCell ref="BGC1:BGR1"/>
    <mergeCell ref="BGS1:BHH1"/>
    <mergeCell ref="BHI1:BHX1"/>
    <mergeCell ref="BHY1:BIN1"/>
    <mergeCell ref="BIO1:BJD1"/>
    <mergeCell ref="BJE1:BJT1"/>
    <mergeCell ref="BYO1:BZD1"/>
    <mergeCell ref="BZE1:BZT1"/>
    <mergeCell ref="BZU1:CAJ1"/>
    <mergeCell ref="CAK1:CAZ1"/>
    <mergeCell ref="CBA1:CBP1"/>
    <mergeCell ref="CBQ1:CCF1"/>
    <mergeCell ref="BUW1:BVL1"/>
    <mergeCell ref="BVM1:BWB1"/>
    <mergeCell ref="BWC1:BWR1"/>
    <mergeCell ref="BWS1:BXH1"/>
    <mergeCell ref="BXI1:BXX1"/>
    <mergeCell ref="BXY1:BYN1"/>
    <mergeCell ref="BRE1:BRT1"/>
    <mergeCell ref="BRU1:BSJ1"/>
    <mergeCell ref="BSK1:BSZ1"/>
    <mergeCell ref="BTA1:BTP1"/>
    <mergeCell ref="BTQ1:BUF1"/>
    <mergeCell ref="BUG1:BUV1"/>
    <mergeCell ref="CJQ1:CKF1"/>
    <mergeCell ref="CKG1:CKV1"/>
    <mergeCell ref="CKW1:CLL1"/>
    <mergeCell ref="CLM1:CMB1"/>
    <mergeCell ref="CMC1:CMR1"/>
    <mergeCell ref="CMS1:CNH1"/>
    <mergeCell ref="CFY1:CGN1"/>
    <mergeCell ref="CGO1:CHD1"/>
    <mergeCell ref="CHE1:CHT1"/>
    <mergeCell ref="CHU1:CIJ1"/>
    <mergeCell ref="CIK1:CIZ1"/>
    <mergeCell ref="CJA1:CJP1"/>
    <mergeCell ref="CCG1:CCV1"/>
    <mergeCell ref="CCW1:CDL1"/>
    <mergeCell ref="CDM1:CEB1"/>
    <mergeCell ref="CEC1:CER1"/>
    <mergeCell ref="CES1:CFH1"/>
    <mergeCell ref="CFI1:CFX1"/>
    <mergeCell ref="CUS1:CVH1"/>
    <mergeCell ref="CVI1:CVX1"/>
    <mergeCell ref="CVY1:CWN1"/>
    <mergeCell ref="CWO1:CXD1"/>
    <mergeCell ref="CXE1:CXT1"/>
    <mergeCell ref="CXU1:CYJ1"/>
    <mergeCell ref="CRA1:CRP1"/>
    <mergeCell ref="CRQ1:CSF1"/>
    <mergeCell ref="CSG1:CSV1"/>
    <mergeCell ref="CSW1:CTL1"/>
    <mergeCell ref="CTM1:CUB1"/>
    <mergeCell ref="CUC1:CUR1"/>
    <mergeCell ref="CNI1:CNX1"/>
    <mergeCell ref="CNY1:CON1"/>
    <mergeCell ref="COO1:CPD1"/>
    <mergeCell ref="CPE1:CPT1"/>
    <mergeCell ref="CPU1:CQJ1"/>
    <mergeCell ref="CQK1:CQZ1"/>
    <mergeCell ref="DFU1:DGJ1"/>
    <mergeCell ref="DGK1:DGZ1"/>
    <mergeCell ref="DHA1:DHP1"/>
    <mergeCell ref="DHQ1:DIF1"/>
    <mergeCell ref="DIG1:DIV1"/>
    <mergeCell ref="DIW1:DJL1"/>
    <mergeCell ref="DCC1:DCR1"/>
    <mergeCell ref="DCS1:DDH1"/>
    <mergeCell ref="DDI1:DDX1"/>
    <mergeCell ref="DDY1:DEN1"/>
    <mergeCell ref="DEO1:DFD1"/>
    <mergeCell ref="DFE1:DFT1"/>
    <mergeCell ref="CYK1:CYZ1"/>
    <mergeCell ref="CZA1:CZP1"/>
    <mergeCell ref="CZQ1:DAF1"/>
    <mergeCell ref="DAG1:DAV1"/>
    <mergeCell ref="DAW1:DBL1"/>
    <mergeCell ref="DBM1:DCB1"/>
    <mergeCell ref="DQW1:DRL1"/>
    <mergeCell ref="DRM1:DSB1"/>
    <mergeCell ref="DSC1:DSR1"/>
    <mergeCell ref="DSS1:DTH1"/>
    <mergeCell ref="DTI1:DTX1"/>
    <mergeCell ref="DTY1:DUN1"/>
    <mergeCell ref="DNE1:DNT1"/>
    <mergeCell ref="DNU1:DOJ1"/>
    <mergeCell ref="DOK1:DOZ1"/>
    <mergeCell ref="DPA1:DPP1"/>
    <mergeCell ref="DPQ1:DQF1"/>
    <mergeCell ref="DQG1:DQV1"/>
    <mergeCell ref="DJM1:DKB1"/>
    <mergeCell ref="DKC1:DKR1"/>
    <mergeCell ref="DKS1:DLH1"/>
    <mergeCell ref="DLI1:DLX1"/>
    <mergeCell ref="DLY1:DMN1"/>
    <mergeCell ref="DMO1:DND1"/>
    <mergeCell ref="EBY1:ECN1"/>
    <mergeCell ref="ECO1:EDD1"/>
    <mergeCell ref="EDE1:EDT1"/>
    <mergeCell ref="EDU1:EEJ1"/>
    <mergeCell ref="EEK1:EEZ1"/>
    <mergeCell ref="EFA1:EFP1"/>
    <mergeCell ref="DYG1:DYV1"/>
    <mergeCell ref="DYW1:DZL1"/>
    <mergeCell ref="DZM1:EAB1"/>
    <mergeCell ref="EAC1:EAR1"/>
    <mergeCell ref="EAS1:EBH1"/>
    <mergeCell ref="EBI1:EBX1"/>
    <mergeCell ref="DUO1:DVD1"/>
    <mergeCell ref="DVE1:DVT1"/>
    <mergeCell ref="DVU1:DWJ1"/>
    <mergeCell ref="DWK1:DWZ1"/>
    <mergeCell ref="DXA1:DXP1"/>
    <mergeCell ref="DXQ1:DYF1"/>
    <mergeCell ref="ENA1:ENP1"/>
    <mergeCell ref="ENQ1:EOF1"/>
    <mergeCell ref="EOG1:EOV1"/>
    <mergeCell ref="EOW1:EPL1"/>
    <mergeCell ref="EPM1:EQB1"/>
    <mergeCell ref="EQC1:EQR1"/>
    <mergeCell ref="EJI1:EJX1"/>
    <mergeCell ref="EJY1:EKN1"/>
    <mergeCell ref="EKO1:ELD1"/>
    <mergeCell ref="ELE1:ELT1"/>
    <mergeCell ref="ELU1:EMJ1"/>
    <mergeCell ref="EMK1:EMZ1"/>
    <mergeCell ref="EFQ1:EGF1"/>
    <mergeCell ref="EGG1:EGV1"/>
    <mergeCell ref="EGW1:EHL1"/>
    <mergeCell ref="EHM1:EIB1"/>
    <mergeCell ref="EIC1:EIR1"/>
    <mergeCell ref="EIS1:EJH1"/>
    <mergeCell ref="EYC1:EYR1"/>
    <mergeCell ref="EYS1:EZH1"/>
    <mergeCell ref="EZI1:EZX1"/>
    <mergeCell ref="EZY1:FAN1"/>
    <mergeCell ref="FAO1:FBD1"/>
    <mergeCell ref="FBE1:FBT1"/>
    <mergeCell ref="EUK1:EUZ1"/>
    <mergeCell ref="EVA1:EVP1"/>
    <mergeCell ref="EVQ1:EWF1"/>
    <mergeCell ref="EWG1:EWV1"/>
    <mergeCell ref="EWW1:EXL1"/>
    <mergeCell ref="EXM1:EYB1"/>
    <mergeCell ref="EQS1:ERH1"/>
    <mergeCell ref="ERI1:ERX1"/>
    <mergeCell ref="ERY1:ESN1"/>
    <mergeCell ref="ESO1:ETD1"/>
    <mergeCell ref="ETE1:ETT1"/>
    <mergeCell ref="ETU1:EUJ1"/>
    <mergeCell ref="FJE1:FJT1"/>
    <mergeCell ref="FJU1:FKJ1"/>
    <mergeCell ref="FKK1:FKZ1"/>
    <mergeCell ref="FLA1:FLP1"/>
    <mergeCell ref="FLQ1:FMF1"/>
    <mergeCell ref="FMG1:FMV1"/>
    <mergeCell ref="FFM1:FGB1"/>
    <mergeCell ref="FGC1:FGR1"/>
    <mergeCell ref="FGS1:FHH1"/>
    <mergeCell ref="FHI1:FHX1"/>
    <mergeCell ref="FHY1:FIN1"/>
    <mergeCell ref="FIO1:FJD1"/>
    <mergeCell ref="FBU1:FCJ1"/>
    <mergeCell ref="FCK1:FCZ1"/>
    <mergeCell ref="FDA1:FDP1"/>
    <mergeCell ref="FDQ1:FEF1"/>
    <mergeCell ref="FEG1:FEV1"/>
    <mergeCell ref="FEW1:FFL1"/>
    <mergeCell ref="FUG1:FUV1"/>
    <mergeCell ref="FUW1:FVL1"/>
    <mergeCell ref="FVM1:FWB1"/>
    <mergeCell ref="FWC1:FWR1"/>
    <mergeCell ref="FWS1:FXH1"/>
    <mergeCell ref="FXI1:FXX1"/>
    <mergeCell ref="FQO1:FRD1"/>
    <mergeCell ref="FRE1:FRT1"/>
    <mergeCell ref="FRU1:FSJ1"/>
    <mergeCell ref="FSK1:FSZ1"/>
    <mergeCell ref="FTA1:FTP1"/>
    <mergeCell ref="FTQ1:FUF1"/>
    <mergeCell ref="FMW1:FNL1"/>
    <mergeCell ref="FNM1:FOB1"/>
    <mergeCell ref="FOC1:FOR1"/>
    <mergeCell ref="FOS1:FPH1"/>
    <mergeCell ref="FPI1:FPX1"/>
    <mergeCell ref="FPY1:FQN1"/>
    <mergeCell ref="GFI1:GFX1"/>
    <mergeCell ref="GFY1:GGN1"/>
    <mergeCell ref="GGO1:GHD1"/>
    <mergeCell ref="GHE1:GHT1"/>
    <mergeCell ref="GHU1:GIJ1"/>
    <mergeCell ref="GIK1:GIZ1"/>
    <mergeCell ref="GBQ1:GCF1"/>
    <mergeCell ref="GCG1:GCV1"/>
    <mergeCell ref="GCW1:GDL1"/>
    <mergeCell ref="GDM1:GEB1"/>
    <mergeCell ref="GEC1:GER1"/>
    <mergeCell ref="GES1:GFH1"/>
    <mergeCell ref="FXY1:FYN1"/>
    <mergeCell ref="FYO1:FZD1"/>
    <mergeCell ref="FZE1:FZT1"/>
    <mergeCell ref="FZU1:GAJ1"/>
    <mergeCell ref="GAK1:GAZ1"/>
    <mergeCell ref="GBA1:GBP1"/>
    <mergeCell ref="GQK1:GQZ1"/>
    <mergeCell ref="GRA1:GRP1"/>
    <mergeCell ref="GRQ1:GSF1"/>
    <mergeCell ref="GSG1:GSV1"/>
    <mergeCell ref="GSW1:GTL1"/>
    <mergeCell ref="GTM1:GUB1"/>
    <mergeCell ref="GMS1:GNH1"/>
    <mergeCell ref="GNI1:GNX1"/>
    <mergeCell ref="GNY1:GON1"/>
    <mergeCell ref="GOO1:GPD1"/>
    <mergeCell ref="GPE1:GPT1"/>
    <mergeCell ref="GPU1:GQJ1"/>
    <mergeCell ref="GJA1:GJP1"/>
    <mergeCell ref="GJQ1:GKF1"/>
    <mergeCell ref="GKG1:GKV1"/>
    <mergeCell ref="GKW1:GLL1"/>
    <mergeCell ref="GLM1:GMB1"/>
    <mergeCell ref="GMC1:GMR1"/>
    <mergeCell ref="HBM1:HCB1"/>
    <mergeCell ref="HCC1:HCR1"/>
    <mergeCell ref="HCS1:HDH1"/>
    <mergeCell ref="HDI1:HDX1"/>
    <mergeCell ref="HDY1:HEN1"/>
    <mergeCell ref="HEO1:HFD1"/>
    <mergeCell ref="GXU1:GYJ1"/>
    <mergeCell ref="GYK1:GYZ1"/>
    <mergeCell ref="GZA1:GZP1"/>
    <mergeCell ref="GZQ1:HAF1"/>
    <mergeCell ref="HAG1:HAV1"/>
    <mergeCell ref="HAW1:HBL1"/>
    <mergeCell ref="GUC1:GUR1"/>
    <mergeCell ref="GUS1:GVH1"/>
    <mergeCell ref="GVI1:GVX1"/>
    <mergeCell ref="GVY1:GWN1"/>
    <mergeCell ref="GWO1:GXD1"/>
    <mergeCell ref="GXE1:GXT1"/>
    <mergeCell ref="HMO1:HND1"/>
    <mergeCell ref="HNE1:HNT1"/>
    <mergeCell ref="HNU1:HOJ1"/>
    <mergeCell ref="HOK1:HOZ1"/>
    <mergeCell ref="HPA1:HPP1"/>
    <mergeCell ref="HPQ1:HQF1"/>
    <mergeCell ref="HIW1:HJL1"/>
    <mergeCell ref="HJM1:HKB1"/>
    <mergeCell ref="HKC1:HKR1"/>
    <mergeCell ref="HKS1:HLH1"/>
    <mergeCell ref="HLI1:HLX1"/>
    <mergeCell ref="HLY1:HMN1"/>
    <mergeCell ref="HFE1:HFT1"/>
    <mergeCell ref="HFU1:HGJ1"/>
    <mergeCell ref="HGK1:HGZ1"/>
    <mergeCell ref="HHA1:HHP1"/>
    <mergeCell ref="HHQ1:HIF1"/>
    <mergeCell ref="HIG1:HIV1"/>
    <mergeCell ref="HXQ1:HYF1"/>
    <mergeCell ref="HYG1:HYV1"/>
    <mergeCell ref="HYW1:HZL1"/>
    <mergeCell ref="HZM1:IAB1"/>
    <mergeCell ref="IAC1:IAR1"/>
    <mergeCell ref="IAS1:IBH1"/>
    <mergeCell ref="HTY1:HUN1"/>
    <mergeCell ref="HUO1:HVD1"/>
    <mergeCell ref="HVE1:HVT1"/>
    <mergeCell ref="HVU1:HWJ1"/>
    <mergeCell ref="HWK1:HWZ1"/>
    <mergeCell ref="HXA1:HXP1"/>
    <mergeCell ref="HQG1:HQV1"/>
    <mergeCell ref="HQW1:HRL1"/>
    <mergeCell ref="HRM1:HSB1"/>
    <mergeCell ref="HSC1:HSR1"/>
    <mergeCell ref="HSS1:HTH1"/>
    <mergeCell ref="HTI1:HTX1"/>
    <mergeCell ref="IIS1:IJH1"/>
    <mergeCell ref="IJI1:IJX1"/>
    <mergeCell ref="IJY1:IKN1"/>
    <mergeCell ref="IKO1:ILD1"/>
    <mergeCell ref="ILE1:ILT1"/>
    <mergeCell ref="ILU1:IMJ1"/>
    <mergeCell ref="IFA1:IFP1"/>
    <mergeCell ref="IFQ1:IGF1"/>
    <mergeCell ref="IGG1:IGV1"/>
    <mergeCell ref="IGW1:IHL1"/>
    <mergeCell ref="IHM1:IIB1"/>
    <mergeCell ref="IIC1:IIR1"/>
    <mergeCell ref="IBI1:IBX1"/>
    <mergeCell ref="IBY1:ICN1"/>
    <mergeCell ref="ICO1:IDD1"/>
    <mergeCell ref="IDE1:IDT1"/>
    <mergeCell ref="IDU1:IEJ1"/>
    <mergeCell ref="IEK1:IEZ1"/>
    <mergeCell ref="ITU1:IUJ1"/>
    <mergeCell ref="IUK1:IUZ1"/>
    <mergeCell ref="IVA1:IVP1"/>
    <mergeCell ref="IVQ1:IWF1"/>
    <mergeCell ref="IWG1:IWV1"/>
    <mergeCell ref="IWW1:IXL1"/>
    <mergeCell ref="IQC1:IQR1"/>
    <mergeCell ref="IQS1:IRH1"/>
    <mergeCell ref="IRI1:IRX1"/>
    <mergeCell ref="IRY1:ISN1"/>
    <mergeCell ref="ISO1:ITD1"/>
    <mergeCell ref="ITE1:ITT1"/>
    <mergeCell ref="IMK1:IMZ1"/>
    <mergeCell ref="INA1:INP1"/>
    <mergeCell ref="INQ1:IOF1"/>
    <mergeCell ref="IOG1:IOV1"/>
    <mergeCell ref="IOW1:IPL1"/>
    <mergeCell ref="IPM1:IQB1"/>
    <mergeCell ref="JEW1:JFL1"/>
    <mergeCell ref="JFM1:JGB1"/>
    <mergeCell ref="JGC1:JGR1"/>
    <mergeCell ref="JGS1:JHH1"/>
    <mergeCell ref="JHI1:JHX1"/>
    <mergeCell ref="JHY1:JIN1"/>
    <mergeCell ref="JBE1:JBT1"/>
    <mergeCell ref="JBU1:JCJ1"/>
    <mergeCell ref="JCK1:JCZ1"/>
    <mergeCell ref="JDA1:JDP1"/>
    <mergeCell ref="JDQ1:JEF1"/>
    <mergeCell ref="JEG1:JEV1"/>
    <mergeCell ref="IXM1:IYB1"/>
    <mergeCell ref="IYC1:IYR1"/>
    <mergeCell ref="IYS1:IZH1"/>
    <mergeCell ref="IZI1:IZX1"/>
    <mergeCell ref="IZY1:JAN1"/>
    <mergeCell ref="JAO1:JBD1"/>
    <mergeCell ref="JPY1:JQN1"/>
    <mergeCell ref="JQO1:JRD1"/>
    <mergeCell ref="JRE1:JRT1"/>
    <mergeCell ref="JRU1:JSJ1"/>
    <mergeCell ref="JSK1:JSZ1"/>
    <mergeCell ref="JTA1:JTP1"/>
    <mergeCell ref="JMG1:JMV1"/>
    <mergeCell ref="JMW1:JNL1"/>
    <mergeCell ref="JNM1:JOB1"/>
    <mergeCell ref="JOC1:JOR1"/>
    <mergeCell ref="JOS1:JPH1"/>
    <mergeCell ref="JPI1:JPX1"/>
    <mergeCell ref="JIO1:JJD1"/>
    <mergeCell ref="JJE1:JJT1"/>
    <mergeCell ref="JJU1:JKJ1"/>
    <mergeCell ref="JKK1:JKZ1"/>
    <mergeCell ref="JLA1:JLP1"/>
    <mergeCell ref="JLQ1:JMF1"/>
    <mergeCell ref="KBA1:KBP1"/>
    <mergeCell ref="KBQ1:KCF1"/>
    <mergeCell ref="KCG1:KCV1"/>
    <mergeCell ref="KCW1:KDL1"/>
    <mergeCell ref="KDM1:KEB1"/>
    <mergeCell ref="KEC1:KER1"/>
    <mergeCell ref="JXI1:JXX1"/>
    <mergeCell ref="JXY1:JYN1"/>
    <mergeCell ref="JYO1:JZD1"/>
    <mergeCell ref="JZE1:JZT1"/>
    <mergeCell ref="JZU1:KAJ1"/>
    <mergeCell ref="KAK1:KAZ1"/>
    <mergeCell ref="JTQ1:JUF1"/>
    <mergeCell ref="JUG1:JUV1"/>
    <mergeCell ref="JUW1:JVL1"/>
    <mergeCell ref="JVM1:JWB1"/>
    <mergeCell ref="JWC1:JWR1"/>
    <mergeCell ref="JWS1:JXH1"/>
    <mergeCell ref="KMC1:KMR1"/>
    <mergeCell ref="KMS1:KNH1"/>
    <mergeCell ref="KNI1:KNX1"/>
    <mergeCell ref="KNY1:KON1"/>
    <mergeCell ref="KOO1:KPD1"/>
    <mergeCell ref="KPE1:KPT1"/>
    <mergeCell ref="KIK1:KIZ1"/>
    <mergeCell ref="KJA1:KJP1"/>
    <mergeCell ref="KJQ1:KKF1"/>
    <mergeCell ref="KKG1:KKV1"/>
    <mergeCell ref="KKW1:KLL1"/>
    <mergeCell ref="KLM1:KMB1"/>
    <mergeCell ref="KES1:KFH1"/>
    <mergeCell ref="KFI1:KFX1"/>
    <mergeCell ref="KFY1:KGN1"/>
    <mergeCell ref="KGO1:KHD1"/>
    <mergeCell ref="KHE1:KHT1"/>
    <mergeCell ref="KHU1:KIJ1"/>
    <mergeCell ref="KXE1:KXT1"/>
    <mergeCell ref="KXU1:KYJ1"/>
    <mergeCell ref="KYK1:KYZ1"/>
    <mergeCell ref="KZA1:KZP1"/>
    <mergeCell ref="KZQ1:LAF1"/>
    <mergeCell ref="LAG1:LAV1"/>
    <mergeCell ref="KTM1:KUB1"/>
    <mergeCell ref="KUC1:KUR1"/>
    <mergeCell ref="KUS1:KVH1"/>
    <mergeCell ref="KVI1:KVX1"/>
    <mergeCell ref="KVY1:KWN1"/>
    <mergeCell ref="KWO1:KXD1"/>
    <mergeCell ref="KPU1:KQJ1"/>
    <mergeCell ref="KQK1:KQZ1"/>
    <mergeCell ref="KRA1:KRP1"/>
    <mergeCell ref="KRQ1:KSF1"/>
    <mergeCell ref="KSG1:KSV1"/>
    <mergeCell ref="KSW1:KTL1"/>
    <mergeCell ref="LIG1:LIV1"/>
    <mergeCell ref="LIW1:LJL1"/>
    <mergeCell ref="LJM1:LKB1"/>
    <mergeCell ref="LKC1:LKR1"/>
    <mergeCell ref="LKS1:LLH1"/>
    <mergeCell ref="LLI1:LLX1"/>
    <mergeCell ref="LEO1:LFD1"/>
    <mergeCell ref="LFE1:LFT1"/>
    <mergeCell ref="LFU1:LGJ1"/>
    <mergeCell ref="LGK1:LGZ1"/>
    <mergeCell ref="LHA1:LHP1"/>
    <mergeCell ref="LHQ1:LIF1"/>
    <mergeCell ref="LAW1:LBL1"/>
    <mergeCell ref="LBM1:LCB1"/>
    <mergeCell ref="LCC1:LCR1"/>
    <mergeCell ref="LCS1:LDH1"/>
    <mergeCell ref="LDI1:LDX1"/>
    <mergeCell ref="LDY1:LEN1"/>
    <mergeCell ref="LTI1:LTX1"/>
    <mergeCell ref="LTY1:LUN1"/>
    <mergeCell ref="LUO1:LVD1"/>
    <mergeCell ref="LVE1:LVT1"/>
    <mergeCell ref="LVU1:LWJ1"/>
    <mergeCell ref="LWK1:LWZ1"/>
    <mergeCell ref="LPQ1:LQF1"/>
    <mergeCell ref="LQG1:LQV1"/>
    <mergeCell ref="LQW1:LRL1"/>
    <mergeCell ref="LRM1:LSB1"/>
    <mergeCell ref="LSC1:LSR1"/>
    <mergeCell ref="LSS1:LTH1"/>
    <mergeCell ref="LLY1:LMN1"/>
    <mergeCell ref="LMO1:LND1"/>
    <mergeCell ref="LNE1:LNT1"/>
    <mergeCell ref="LNU1:LOJ1"/>
    <mergeCell ref="LOK1:LOZ1"/>
    <mergeCell ref="LPA1:LPP1"/>
    <mergeCell ref="MEK1:MEZ1"/>
    <mergeCell ref="MFA1:MFP1"/>
    <mergeCell ref="MFQ1:MGF1"/>
    <mergeCell ref="MGG1:MGV1"/>
    <mergeCell ref="MGW1:MHL1"/>
    <mergeCell ref="MHM1:MIB1"/>
    <mergeCell ref="MAS1:MBH1"/>
    <mergeCell ref="MBI1:MBX1"/>
    <mergeCell ref="MBY1:MCN1"/>
    <mergeCell ref="MCO1:MDD1"/>
    <mergeCell ref="MDE1:MDT1"/>
    <mergeCell ref="MDU1:MEJ1"/>
    <mergeCell ref="LXA1:LXP1"/>
    <mergeCell ref="LXQ1:LYF1"/>
    <mergeCell ref="LYG1:LYV1"/>
    <mergeCell ref="LYW1:LZL1"/>
    <mergeCell ref="LZM1:MAB1"/>
    <mergeCell ref="MAC1:MAR1"/>
    <mergeCell ref="MPM1:MQB1"/>
    <mergeCell ref="MQC1:MQR1"/>
    <mergeCell ref="MQS1:MRH1"/>
    <mergeCell ref="MRI1:MRX1"/>
    <mergeCell ref="MRY1:MSN1"/>
    <mergeCell ref="MSO1:MTD1"/>
    <mergeCell ref="MLU1:MMJ1"/>
    <mergeCell ref="MMK1:MMZ1"/>
    <mergeCell ref="MNA1:MNP1"/>
    <mergeCell ref="MNQ1:MOF1"/>
    <mergeCell ref="MOG1:MOV1"/>
    <mergeCell ref="MOW1:MPL1"/>
    <mergeCell ref="MIC1:MIR1"/>
    <mergeCell ref="MIS1:MJH1"/>
    <mergeCell ref="MJI1:MJX1"/>
    <mergeCell ref="MJY1:MKN1"/>
    <mergeCell ref="MKO1:MLD1"/>
    <mergeCell ref="MLE1:MLT1"/>
    <mergeCell ref="NAO1:NBD1"/>
    <mergeCell ref="NBE1:NBT1"/>
    <mergeCell ref="NBU1:NCJ1"/>
    <mergeCell ref="NCK1:NCZ1"/>
    <mergeCell ref="NDA1:NDP1"/>
    <mergeCell ref="NDQ1:NEF1"/>
    <mergeCell ref="MWW1:MXL1"/>
    <mergeCell ref="MXM1:MYB1"/>
    <mergeCell ref="MYC1:MYR1"/>
    <mergeCell ref="MYS1:MZH1"/>
    <mergeCell ref="MZI1:MZX1"/>
    <mergeCell ref="MZY1:NAN1"/>
    <mergeCell ref="MTE1:MTT1"/>
    <mergeCell ref="MTU1:MUJ1"/>
    <mergeCell ref="MUK1:MUZ1"/>
    <mergeCell ref="MVA1:MVP1"/>
    <mergeCell ref="MVQ1:MWF1"/>
    <mergeCell ref="MWG1:MWV1"/>
    <mergeCell ref="NLQ1:NMF1"/>
    <mergeCell ref="NMG1:NMV1"/>
    <mergeCell ref="NMW1:NNL1"/>
    <mergeCell ref="NNM1:NOB1"/>
    <mergeCell ref="NOC1:NOR1"/>
    <mergeCell ref="NOS1:NPH1"/>
    <mergeCell ref="NHY1:NIN1"/>
    <mergeCell ref="NIO1:NJD1"/>
    <mergeCell ref="NJE1:NJT1"/>
    <mergeCell ref="NJU1:NKJ1"/>
    <mergeCell ref="NKK1:NKZ1"/>
    <mergeCell ref="NLA1:NLP1"/>
    <mergeCell ref="NEG1:NEV1"/>
    <mergeCell ref="NEW1:NFL1"/>
    <mergeCell ref="NFM1:NGB1"/>
    <mergeCell ref="NGC1:NGR1"/>
    <mergeCell ref="NGS1:NHH1"/>
    <mergeCell ref="NHI1:NHX1"/>
    <mergeCell ref="NWS1:NXH1"/>
    <mergeCell ref="NXI1:NXX1"/>
    <mergeCell ref="NXY1:NYN1"/>
    <mergeCell ref="NYO1:NZD1"/>
    <mergeCell ref="NZE1:NZT1"/>
    <mergeCell ref="NZU1:OAJ1"/>
    <mergeCell ref="NTA1:NTP1"/>
    <mergeCell ref="NTQ1:NUF1"/>
    <mergeCell ref="NUG1:NUV1"/>
    <mergeCell ref="NUW1:NVL1"/>
    <mergeCell ref="NVM1:NWB1"/>
    <mergeCell ref="NWC1:NWR1"/>
    <mergeCell ref="NPI1:NPX1"/>
    <mergeCell ref="NPY1:NQN1"/>
    <mergeCell ref="NQO1:NRD1"/>
    <mergeCell ref="NRE1:NRT1"/>
    <mergeCell ref="NRU1:NSJ1"/>
    <mergeCell ref="NSK1:NSZ1"/>
    <mergeCell ref="OHU1:OIJ1"/>
    <mergeCell ref="OIK1:OIZ1"/>
    <mergeCell ref="OJA1:OJP1"/>
    <mergeCell ref="OJQ1:OKF1"/>
    <mergeCell ref="OKG1:OKV1"/>
    <mergeCell ref="OKW1:OLL1"/>
    <mergeCell ref="OEC1:OER1"/>
    <mergeCell ref="OES1:OFH1"/>
    <mergeCell ref="OFI1:OFX1"/>
    <mergeCell ref="OFY1:OGN1"/>
    <mergeCell ref="OGO1:OHD1"/>
    <mergeCell ref="OHE1:OHT1"/>
    <mergeCell ref="OAK1:OAZ1"/>
    <mergeCell ref="OBA1:OBP1"/>
    <mergeCell ref="OBQ1:OCF1"/>
    <mergeCell ref="OCG1:OCV1"/>
    <mergeCell ref="OCW1:ODL1"/>
    <mergeCell ref="ODM1:OEB1"/>
    <mergeCell ref="OSW1:OTL1"/>
    <mergeCell ref="OTM1:OUB1"/>
    <mergeCell ref="OUC1:OUR1"/>
    <mergeCell ref="OUS1:OVH1"/>
    <mergeCell ref="OVI1:OVX1"/>
    <mergeCell ref="OVY1:OWN1"/>
    <mergeCell ref="OPE1:OPT1"/>
    <mergeCell ref="OPU1:OQJ1"/>
    <mergeCell ref="OQK1:OQZ1"/>
    <mergeCell ref="ORA1:ORP1"/>
    <mergeCell ref="ORQ1:OSF1"/>
    <mergeCell ref="OSG1:OSV1"/>
    <mergeCell ref="OLM1:OMB1"/>
    <mergeCell ref="OMC1:OMR1"/>
    <mergeCell ref="OMS1:ONH1"/>
    <mergeCell ref="ONI1:ONX1"/>
    <mergeCell ref="ONY1:OON1"/>
    <mergeCell ref="OOO1:OPD1"/>
    <mergeCell ref="PDY1:PEN1"/>
    <mergeCell ref="PEO1:PFD1"/>
    <mergeCell ref="PFE1:PFT1"/>
    <mergeCell ref="PFU1:PGJ1"/>
    <mergeCell ref="PGK1:PGZ1"/>
    <mergeCell ref="PHA1:PHP1"/>
    <mergeCell ref="PAG1:PAV1"/>
    <mergeCell ref="PAW1:PBL1"/>
    <mergeCell ref="PBM1:PCB1"/>
    <mergeCell ref="PCC1:PCR1"/>
    <mergeCell ref="PCS1:PDH1"/>
    <mergeCell ref="PDI1:PDX1"/>
    <mergeCell ref="OWO1:OXD1"/>
    <mergeCell ref="OXE1:OXT1"/>
    <mergeCell ref="OXU1:OYJ1"/>
    <mergeCell ref="OYK1:OYZ1"/>
    <mergeCell ref="OZA1:OZP1"/>
    <mergeCell ref="OZQ1:PAF1"/>
    <mergeCell ref="PPA1:PPP1"/>
    <mergeCell ref="PPQ1:PQF1"/>
    <mergeCell ref="PQG1:PQV1"/>
    <mergeCell ref="PQW1:PRL1"/>
    <mergeCell ref="PRM1:PSB1"/>
    <mergeCell ref="PSC1:PSR1"/>
    <mergeCell ref="PLI1:PLX1"/>
    <mergeCell ref="PLY1:PMN1"/>
    <mergeCell ref="PMO1:PND1"/>
    <mergeCell ref="PNE1:PNT1"/>
    <mergeCell ref="PNU1:POJ1"/>
    <mergeCell ref="POK1:POZ1"/>
    <mergeCell ref="PHQ1:PIF1"/>
    <mergeCell ref="PIG1:PIV1"/>
    <mergeCell ref="PIW1:PJL1"/>
    <mergeCell ref="PJM1:PKB1"/>
    <mergeCell ref="PKC1:PKR1"/>
    <mergeCell ref="PKS1:PLH1"/>
    <mergeCell ref="QAC1:QAR1"/>
    <mergeCell ref="QAS1:QBH1"/>
    <mergeCell ref="QBI1:QBX1"/>
    <mergeCell ref="QBY1:QCN1"/>
    <mergeCell ref="QCO1:QDD1"/>
    <mergeCell ref="QDE1:QDT1"/>
    <mergeCell ref="PWK1:PWZ1"/>
    <mergeCell ref="PXA1:PXP1"/>
    <mergeCell ref="PXQ1:PYF1"/>
    <mergeCell ref="PYG1:PYV1"/>
    <mergeCell ref="PYW1:PZL1"/>
    <mergeCell ref="PZM1:QAB1"/>
    <mergeCell ref="PSS1:PTH1"/>
    <mergeCell ref="PTI1:PTX1"/>
    <mergeCell ref="PTY1:PUN1"/>
    <mergeCell ref="PUO1:PVD1"/>
    <mergeCell ref="PVE1:PVT1"/>
    <mergeCell ref="PVU1:PWJ1"/>
    <mergeCell ref="QLE1:QLT1"/>
    <mergeCell ref="QLU1:QMJ1"/>
    <mergeCell ref="QMK1:QMZ1"/>
    <mergeCell ref="QNA1:QNP1"/>
    <mergeCell ref="QNQ1:QOF1"/>
    <mergeCell ref="QOG1:QOV1"/>
    <mergeCell ref="QHM1:QIB1"/>
    <mergeCell ref="QIC1:QIR1"/>
    <mergeCell ref="QIS1:QJH1"/>
    <mergeCell ref="QJI1:QJX1"/>
    <mergeCell ref="QJY1:QKN1"/>
    <mergeCell ref="QKO1:QLD1"/>
    <mergeCell ref="QDU1:QEJ1"/>
    <mergeCell ref="QEK1:QEZ1"/>
    <mergeCell ref="QFA1:QFP1"/>
    <mergeCell ref="QFQ1:QGF1"/>
    <mergeCell ref="QGG1:QGV1"/>
    <mergeCell ref="QGW1:QHL1"/>
    <mergeCell ref="QWG1:QWV1"/>
    <mergeCell ref="QWW1:QXL1"/>
    <mergeCell ref="QXM1:QYB1"/>
    <mergeCell ref="QYC1:QYR1"/>
    <mergeCell ref="QYS1:QZH1"/>
    <mergeCell ref="QZI1:QZX1"/>
    <mergeCell ref="QSO1:QTD1"/>
    <mergeCell ref="QTE1:QTT1"/>
    <mergeCell ref="QTU1:QUJ1"/>
    <mergeCell ref="QUK1:QUZ1"/>
    <mergeCell ref="QVA1:QVP1"/>
    <mergeCell ref="QVQ1:QWF1"/>
    <mergeCell ref="QOW1:QPL1"/>
    <mergeCell ref="QPM1:QQB1"/>
    <mergeCell ref="QQC1:QQR1"/>
    <mergeCell ref="QQS1:QRH1"/>
    <mergeCell ref="QRI1:QRX1"/>
    <mergeCell ref="QRY1:QSN1"/>
    <mergeCell ref="RHI1:RHX1"/>
    <mergeCell ref="RHY1:RIN1"/>
    <mergeCell ref="RIO1:RJD1"/>
    <mergeCell ref="RJE1:RJT1"/>
    <mergeCell ref="RJU1:RKJ1"/>
    <mergeCell ref="RKK1:RKZ1"/>
    <mergeCell ref="RDQ1:REF1"/>
    <mergeCell ref="REG1:REV1"/>
    <mergeCell ref="REW1:RFL1"/>
    <mergeCell ref="RFM1:RGB1"/>
    <mergeCell ref="RGC1:RGR1"/>
    <mergeCell ref="RGS1:RHH1"/>
    <mergeCell ref="QZY1:RAN1"/>
    <mergeCell ref="RAO1:RBD1"/>
    <mergeCell ref="RBE1:RBT1"/>
    <mergeCell ref="RBU1:RCJ1"/>
    <mergeCell ref="RCK1:RCZ1"/>
    <mergeCell ref="RDA1:RDP1"/>
    <mergeCell ref="RSK1:RSZ1"/>
    <mergeCell ref="RTA1:RTP1"/>
    <mergeCell ref="RTQ1:RUF1"/>
    <mergeCell ref="RUG1:RUV1"/>
    <mergeCell ref="RUW1:RVL1"/>
    <mergeCell ref="RVM1:RWB1"/>
    <mergeCell ref="ROS1:RPH1"/>
    <mergeCell ref="RPI1:RPX1"/>
    <mergeCell ref="RPY1:RQN1"/>
    <mergeCell ref="RQO1:RRD1"/>
    <mergeCell ref="RRE1:RRT1"/>
    <mergeCell ref="RRU1:RSJ1"/>
    <mergeCell ref="RLA1:RLP1"/>
    <mergeCell ref="RLQ1:RMF1"/>
    <mergeCell ref="RMG1:RMV1"/>
    <mergeCell ref="RMW1:RNL1"/>
    <mergeCell ref="RNM1:ROB1"/>
    <mergeCell ref="ROC1:ROR1"/>
    <mergeCell ref="SDM1:SEB1"/>
    <mergeCell ref="SEC1:SER1"/>
    <mergeCell ref="SES1:SFH1"/>
    <mergeCell ref="SFI1:SFX1"/>
    <mergeCell ref="SFY1:SGN1"/>
    <mergeCell ref="SGO1:SHD1"/>
    <mergeCell ref="RZU1:SAJ1"/>
    <mergeCell ref="SAK1:SAZ1"/>
    <mergeCell ref="SBA1:SBP1"/>
    <mergeCell ref="SBQ1:SCF1"/>
    <mergeCell ref="SCG1:SCV1"/>
    <mergeCell ref="SCW1:SDL1"/>
    <mergeCell ref="RWC1:RWR1"/>
    <mergeCell ref="RWS1:RXH1"/>
    <mergeCell ref="RXI1:RXX1"/>
    <mergeCell ref="RXY1:RYN1"/>
    <mergeCell ref="RYO1:RZD1"/>
    <mergeCell ref="RZE1:RZT1"/>
    <mergeCell ref="SOO1:SPD1"/>
    <mergeCell ref="SPE1:SPT1"/>
    <mergeCell ref="SPU1:SQJ1"/>
    <mergeCell ref="SQK1:SQZ1"/>
    <mergeCell ref="SRA1:SRP1"/>
    <mergeCell ref="SRQ1:SSF1"/>
    <mergeCell ref="SKW1:SLL1"/>
    <mergeCell ref="SLM1:SMB1"/>
    <mergeCell ref="SMC1:SMR1"/>
    <mergeCell ref="SMS1:SNH1"/>
    <mergeCell ref="SNI1:SNX1"/>
    <mergeCell ref="SNY1:SON1"/>
    <mergeCell ref="SHE1:SHT1"/>
    <mergeCell ref="SHU1:SIJ1"/>
    <mergeCell ref="SIK1:SIZ1"/>
    <mergeCell ref="SJA1:SJP1"/>
    <mergeCell ref="SJQ1:SKF1"/>
    <mergeCell ref="SKG1:SKV1"/>
    <mergeCell ref="SZQ1:TAF1"/>
    <mergeCell ref="TAG1:TAV1"/>
    <mergeCell ref="TAW1:TBL1"/>
    <mergeCell ref="TBM1:TCB1"/>
    <mergeCell ref="TCC1:TCR1"/>
    <mergeCell ref="TCS1:TDH1"/>
    <mergeCell ref="SVY1:SWN1"/>
    <mergeCell ref="SWO1:SXD1"/>
    <mergeCell ref="SXE1:SXT1"/>
    <mergeCell ref="SXU1:SYJ1"/>
    <mergeCell ref="SYK1:SYZ1"/>
    <mergeCell ref="SZA1:SZP1"/>
    <mergeCell ref="SSG1:SSV1"/>
    <mergeCell ref="SSW1:STL1"/>
    <mergeCell ref="STM1:SUB1"/>
    <mergeCell ref="SUC1:SUR1"/>
    <mergeCell ref="SUS1:SVH1"/>
    <mergeCell ref="SVI1:SVX1"/>
    <mergeCell ref="TKS1:TLH1"/>
    <mergeCell ref="TLI1:TLX1"/>
    <mergeCell ref="TLY1:TMN1"/>
    <mergeCell ref="TMO1:TND1"/>
    <mergeCell ref="TNE1:TNT1"/>
    <mergeCell ref="TNU1:TOJ1"/>
    <mergeCell ref="THA1:THP1"/>
    <mergeCell ref="THQ1:TIF1"/>
    <mergeCell ref="TIG1:TIV1"/>
    <mergeCell ref="TIW1:TJL1"/>
    <mergeCell ref="TJM1:TKB1"/>
    <mergeCell ref="TKC1:TKR1"/>
    <mergeCell ref="TDI1:TDX1"/>
    <mergeCell ref="TDY1:TEN1"/>
    <mergeCell ref="TEO1:TFD1"/>
    <mergeCell ref="TFE1:TFT1"/>
    <mergeCell ref="TFU1:TGJ1"/>
    <mergeCell ref="TGK1:TGZ1"/>
    <mergeCell ref="TVU1:TWJ1"/>
    <mergeCell ref="TWK1:TWZ1"/>
    <mergeCell ref="TXA1:TXP1"/>
    <mergeCell ref="TXQ1:TYF1"/>
    <mergeCell ref="TYG1:TYV1"/>
    <mergeCell ref="TYW1:TZL1"/>
    <mergeCell ref="TSC1:TSR1"/>
    <mergeCell ref="TSS1:TTH1"/>
    <mergeCell ref="TTI1:TTX1"/>
    <mergeCell ref="TTY1:TUN1"/>
    <mergeCell ref="TUO1:TVD1"/>
    <mergeCell ref="TVE1:TVT1"/>
    <mergeCell ref="TOK1:TOZ1"/>
    <mergeCell ref="TPA1:TPP1"/>
    <mergeCell ref="TPQ1:TQF1"/>
    <mergeCell ref="TQG1:TQV1"/>
    <mergeCell ref="TQW1:TRL1"/>
    <mergeCell ref="TRM1:TSB1"/>
    <mergeCell ref="UGW1:UHL1"/>
    <mergeCell ref="UHM1:UIB1"/>
    <mergeCell ref="UIC1:UIR1"/>
    <mergeCell ref="UIS1:UJH1"/>
    <mergeCell ref="UJI1:UJX1"/>
    <mergeCell ref="UJY1:UKN1"/>
    <mergeCell ref="UDE1:UDT1"/>
    <mergeCell ref="UDU1:UEJ1"/>
    <mergeCell ref="UEK1:UEZ1"/>
    <mergeCell ref="UFA1:UFP1"/>
    <mergeCell ref="UFQ1:UGF1"/>
    <mergeCell ref="UGG1:UGV1"/>
    <mergeCell ref="TZM1:UAB1"/>
    <mergeCell ref="UAC1:UAR1"/>
    <mergeCell ref="UAS1:UBH1"/>
    <mergeCell ref="UBI1:UBX1"/>
    <mergeCell ref="UBY1:UCN1"/>
    <mergeCell ref="UCO1:UDD1"/>
    <mergeCell ref="URY1:USN1"/>
    <mergeCell ref="USO1:UTD1"/>
    <mergeCell ref="UTE1:UTT1"/>
    <mergeCell ref="UTU1:UUJ1"/>
    <mergeCell ref="UUK1:UUZ1"/>
    <mergeCell ref="UVA1:UVP1"/>
    <mergeCell ref="UOG1:UOV1"/>
    <mergeCell ref="UOW1:UPL1"/>
    <mergeCell ref="UPM1:UQB1"/>
    <mergeCell ref="UQC1:UQR1"/>
    <mergeCell ref="UQS1:URH1"/>
    <mergeCell ref="URI1:URX1"/>
    <mergeCell ref="UKO1:ULD1"/>
    <mergeCell ref="ULE1:ULT1"/>
    <mergeCell ref="ULU1:UMJ1"/>
    <mergeCell ref="UMK1:UMZ1"/>
    <mergeCell ref="UNA1:UNP1"/>
    <mergeCell ref="UNQ1:UOF1"/>
    <mergeCell ref="VDA1:VDP1"/>
    <mergeCell ref="VDQ1:VEF1"/>
    <mergeCell ref="VEG1:VEV1"/>
    <mergeCell ref="VEW1:VFL1"/>
    <mergeCell ref="VFM1:VGB1"/>
    <mergeCell ref="VGC1:VGR1"/>
    <mergeCell ref="UZI1:UZX1"/>
    <mergeCell ref="UZY1:VAN1"/>
    <mergeCell ref="VAO1:VBD1"/>
    <mergeCell ref="VBE1:VBT1"/>
    <mergeCell ref="VBU1:VCJ1"/>
    <mergeCell ref="VCK1:VCZ1"/>
    <mergeCell ref="UVQ1:UWF1"/>
    <mergeCell ref="UWG1:UWV1"/>
    <mergeCell ref="UWW1:UXL1"/>
    <mergeCell ref="UXM1:UYB1"/>
    <mergeCell ref="UYC1:UYR1"/>
    <mergeCell ref="UYS1:UZH1"/>
    <mergeCell ref="VOC1:VOR1"/>
    <mergeCell ref="VOS1:VPH1"/>
    <mergeCell ref="VPI1:VPX1"/>
    <mergeCell ref="VPY1:VQN1"/>
    <mergeCell ref="VQO1:VRD1"/>
    <mergeCell ref="VRE1:VRT1"/>
    <mergeCell ref="VKK1:VKZ1"/>
    <mergeCell ref="VLA1:VLP1"/>
    <mergeCell ref="VLQ1:VMF1"/>
    <mergeCell ref="VMG1:VMV1"/>
    <mergeCell ref="VMW1:VNL1"/>
    <mergeCell ref="VNM1:VOB1"/>
    <mergeCell ref="VGS1:VHH1"/>
    <mergeCell ref="VHI1:VHX1"/>
    <mergeCell ref="VHY1:VIN1"/>
    <mergeCell ref="VIO1:VJD1"/>
    <mergeCell ref="VJE1:VJT1"/>
    <mergeCell ref="VJU1:VKJ1"/>
    <mergeCell ref="VZE1:VZT1"/>
    <mergeCell ref="VZU1:WAJ1"/>
    <mergeCell ref="WAK1:WAZ1"/>
    <mergeCell ref="WBA1:WBP1"/>
    <mergeCell ref="WBQ1:WCF1"/>
    <mergeCell ref="WCG1:WCV1"/>
    <mergeCell ref="VVM1:VWB1"/>
    <mergeCell ref="VWC1:VWR1"/>
    <mergeCell ref="VWS1:VXH1"/>
    <mergeCell ref="VXI1:VXX1"/>
    <mergeCell ref="VXY1:VYN1"/>
    <mergeCell ref="VYO1:VZD1"/>
    <mergeCell ref="VRU1:VSJ1"/>
    <mergeCell ref="VSK1:VSZ1"/>
    <mergeCell ref="VTA1:VTP1"/>
    <mergeCell ref="VTQ1:VUF1"/>
    <mergeCell ref="VUG1:VUV1"/>
    <mergeCell ref="VUW1:VVL1"/>
    <mergeCell ref="WRA1:WRP1"/>
    <mergeCell ref="WKG1:WKV1"/>
    <mergeCell ref="WKW1:WLL1"/>
    <mergeCell ref="WLM1:WMB1"/>
    <mergeCell ref="WMC1:WMR1"/>
    <mergeCell ref="WMS1:WNH1"/>
    <mergeCell ref="WNI1:WNX1"/>
    <mergeCell ref="WGO1:WHD1"/>
    <mergeCell ref="WHE1:WHT1"/>
    <mergeCell ref="WHU1:WIJ1"/>
    <mergeCell ref="WIK1:WIZ1"/>
    <mergeCell ref="WJA1:WJP1"/>
    <mergeCell ref="WJQ1:WKF1"/>
    <mergeCell ref="WCW1:WDL1"/>
    <mergeCell ref="WDM1:WEB1"/>
    <mergeCell ref="WEC1:WER1"/>
    <mergeCell ref="WES1:WFH1"/>
    <mergeCell ref="WFI1:WFX1"/>
    <mergeCell ref="WFY1:WGN1"/>
    <mergeCell ref="A56:P56"/>
    <mergeCell ref="A93:P93"/>
    <mergeCell ref="A75:P75"/>
    <mergeCell ref="XCS1:XDH1"/>
    <mergeCell ref="XDI1:XDX1"/>
    <mergeCell ref="XDY1:XEN1"/>
    <mergeCell ref="XEO1:XFD1"/>
    <mergeCell ref="A38:P38"/>
    <mergeCell ref="A19:P19"/>
    <mergeCell ref="WZA1:WZP1"/>
    <mergeCell ref="WZQ1:XAF1"/>
    <mergeCell ref="XAG1:XAV1"/>
    <mergeCell ref="XAW1:XBL1"/>
    <mergeCell ref="XBM1:XCB1"/>
    <mergeCell ref="XCC1:XCR1"/>
    <mergeCell ref="WVI1:WVX1"/>
    <mergeCell ref="WVY1:WWN1"/>
    <mergeCell ref="WWO1:WXD1"/>
    <mergeCell ref="WXE1:WXT1"/>
    <mergeCell ref="WXU1:WYJ1"/>
    <mergeCell ref="WYK1:WYZ1"/>
    <mergeCell ref="WRQ1:WSF1"/>
    <mergeCell ref="WSG1:WSV1"/>
    <mergeCell ref="WSW1:WTL1"/>
    <mergeCell ref="WTM1:WUB1"/>
    <mergeCell ref="WUC1:WUR1"/>
    <mergeCell ref="WUS1:WVH1"/>
    <mergeCell ref="WNY1:WON1"/>
    <mergeCell ref="WOO1:WPD1"/>
    <mergeCell ref="WPE1:WPT1"/>
    <mergeCell ref="WPU1:WQJ1"/>
    <mergeCell ref="WQK1:WQZ1"/>
  </mergeCells>
  <conditionalFormatting sqref="B3:AD1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0:AD5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7:P92 R77:AD92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6:AD9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9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6532-7530-46EE-94E9-4DEF62FCB6BF}">
  <dimension ref="A1:I146"/>
  <sheetViews>
    <sheetView zoomScaleNormal="100" workbookViewId="0">
      <pane ySplit="1" topLeftCell="A17" activePane="bottomLeft" state="frozen"/>
      <selection pane="bottomLeft" activeCell="B11" sqref="B11"/>
    </sheetView>
  </sheetViews>
  <sheetFormatPr defaultColWidth="11.5546875" defaultRowHeight="13.2" x14ac:dyDescent="0.25"/>
  <cols>
    <col min="1" max="1" width="8.109375" customWidth="1"/>
    <col min="2" max="2" width="15.33203125" customWidth="1"/>
    <col min="3" max="3" width="32.33203125" customWidth="1"/>
    <col min="4" max="4" width="7" customWidth="1"/>
    <col min="5" max="5" width="24.21875" customWidth="1"/>
    <col min="6" max="6" width="13.77734375" customWidth="1"/>
    <col min="7" max="7" width="19.6640625" customWidth="1"/>
    <col min="8" max="8" width="70.33203125" customWidth="1"/>
    <col min="9" max="9" width="295.88671875" customWidth="1"/>
  </cols>
  <sheetData>
    <row r="1" spans="1:9" s="23" customFormat="1" x14ac:dyDescent="0.25">
      <c r="A1" s="23" t="s">
        <v>845</v>
      </c>
      <c r="B1" s="23" t="s">
        <v>1176</v>
      </c>
      <c r="C1" s="23" t="s">
        <v>1177</v>
      </c>
      <c r="D1" s="23" t="s">
        <v>1178</v>
      </c>
      <c r="E1" s="23" t="s">
        <v>1179</v>
      </c>
      <c r="F1" s="23" t="s">
        <v>90</v>
      </c>
      <c r="G1" s="23" t="s">
        <v>1180</v>
      </c>
      <c r="H1" s="23" t="s">
        <v>1181</v>
      </c>
      <c r="I1" s="23" t="s">
        <v>1182</v>
      </c>
    </row>
    <row r="2" spans="1:9" x14ac:dyDescent="0.25">
      <c r="A2" t="s">
        <v>1183</v>
      </c>
      <c r="B2" t="s">
        <v>112</v>
      </c>
      <c r="C2" t="s">
        <v>1184</v>
      </c>
      <c r="D2">
        <v>45</v>
      </c>
      <c r="E2" t="s">
        <v>1185</v>
      </c>
      <c r="F2" s="22">
        <v>2.7</v>
      </c>
      <c r="G2" t="s">
        <v>1186</v>
      </c>
      <c r="H2" t="s">
        <v>1187</v>
      </c>
      <c r="I2" t="s">
        <v>1188</v>
      </c>
    </row>
    <row r="3" spans="1:9" x14ac:dyDescent="0.25">
      <c r="A3" t="s">
        <v>1189</v>
      </c>
      <c r="B3" t="s">
        <v>112</v>
      </c>
      <c r="C3" t="s">
        <v>1190</v>
      </c>
      <c r="D3">
        <v>76</v>
      </c>
      <c r="E3" t="s">
        <v>1185</v>
      </c>
      <c r="F3" s="22">
        <v>1.93</v>
      </c>
      <c r="G3" t="s">
        <v>1191</v>
      </c>
      <c r="H3" t="s">
        <v>1192</v>
      </c>
      <c r="I3" t="s">
        <v>1193</v>
      </c>
    </row>
    <row r="4" spans="1:9" x14ac:dyDescent="0.25">
      <c r="A4" t="s">
        <v>1194</v>
      </c>
      <c r="B4" t="s">
        <v>112</v>
      </c>
      <c r="C4" t="s">
        <v>1195</v>
      </c>
      <c r="D4">
        <v>35</v>
      </c>
      <c r="E4" t="s">
        <v>1185</v>
      </c>
      <c r="F4" s="22">
        <v>2.2999999999999998</v>
      </c>
      <c r="G4" t="s">
        <v>1196</v>
      </c>
      <c r="H4" t="s">
        <v>1197</v>
      </c>
      <c r="I4" t="s">
        <v>1198</v>
      </c>
    </row>
    <row r="5" spans="1:9" x14ac:dyDescent="0.25">
      <c r="A5" t="s">
        <v>1199</v>
      </c>
      <c r="B5" t="s">
        <v>112</v>
      </c>
      <c r="C5" t="s">
        <v>1200</v>
      </c>
      <c r="D5">
        <v>38</v>
      </c>
      <c r="E5" t="s">
        <v>1185</v>
      </c>
      <c r="F5" s="22">
        <v>2.8</v>
      </c>
      <c r="G5" t="s">
        <v>1201</v>
      </c>
      <c r="H5" t="s">
        <v>1202</v>
      </c>
      <c r="I5" t="s">
        <v>1203</v>
      </c>
    </row>
    <row r="6" spans="1:9" x14ac:dyDescent="0.25">
      <c r="A6" t="s">
        <v>1204</v>
      </c>
      <c r="B6" t="s">
        <v>112</v>
      </c>
      <c r="C6" t="s">
        <v>1205</v>
      </c>
      <c r="D6">
        <v>53</v>
      </c>
      <c r="E6" t="s">
        <v>1185</v>
      </c>
      <c r="F6" s="22">
        <v>2.9</v>
      </c>
      <c r="G6" t="s">
        <v>1206</v>
      </c>
      <c r="H6" t="s">
        <v>1207</v>
      </c>
      <c r="I6" t="s">
        <v>1208</v>
      </c>
    </row>
    <row r="7" spans="1:9" x14ac:dyDescent="0.25">
      <c r="A7" t="s">
        <v>1209</v>
      </c>
      <c r="B7" t="s">
        <v>112</v>
      </c>
      <c r="C7" t="s">
        <v>1210</v>
      </c>
      <c r="D7">
        <v>70</v>
      </c>
      <c r="E7" t="s">
        <v>1185</v>
      </c>
      <c r="F7" s="22">
        <v>3</v>
      </c>
      <c r="G7" t="s">
        <v>1211</v>
      </c>
      <c r="H7" t="s">
        <v>1212</v>
      </c>
      <c r="I7" t="s">
        <v>1213</v>
      </c>
    </row>
    <row r="8" spans="1:9" x14ac:dyDescent="0.25">
      <c r="A8" t="s">
        <v>1214</v>
      </c>
      <c r="B8" t="s">
        <v>112</v>
      </c>
      <c r="C8" t="s">
        <v>1120</v>
      </c>
      <c r="D8">
        <v>28</v>
      </c>
      <c r="E8" t="s">
        <v>1185</v>
      </c>
      <c r="F8" s="22">
        <v>1.25</v>
      </c>
      <c r="G8" t="s">
        <v>1211</v>
      </c>
      <c r="H8" t="s">
        <v>1215</v>
      </c>
      <c r="I8" t="s">
        <v>1216</v>
      </c>
    </row>
    <row r="9" spans="1:9" x14ac:dyDescent="0.25">
      <c r="A9" t="s">
        <v>1217</v>
      </c>
      <c r="B9" t="s">
        <v>112</v>
      </c>
      <c r="C9" t="s">
        <v>1218</v>
      </c>
      <c r="D9">
        <v>161</v>
      </c>
      <c r="E9" t="s">
        <v>1185</v>
      </c>
      <c r="F9" s="22">
        <v>2.9</v>
      </c>
      <c r="G9" t="s">
        <v>1219</v>
      </c>
      <c r="H9" t="s">
        <v>1220</v>
      </c>
      <c r="I9" t="s">
        <v>1221</v>
      </c>
    </row>
    <row r="10" spans="1:9" x14ac:dyDescent="0.25">
      <c r="A10" t="s">
        <v>1222</v>
      </c>
      <c r="B10" t="s">
        <v>112</v>
      </c>
      <c r="C10" t="s">
        <v>1223</v>
      </c>
      <c r="D10">
        <v>47</v>
      </c>
      <c r="E10" t="s">
        <v>1185</v>
      </c>
      <c r="F10" s="22">
        <v>2.7</v>
      </c>
      <c r="G10" t="s">
        <v>1224</v>
      </c>
      <c r="H10" t="s">
        <v>1225</v>
      </c>
      <c r="I10" t="s">
        <v>1226</v>
      </c>
    </row>
    <row r="11" spans="1:9" x14ac:dyDescent="0.25">
      <c r="A11" t="s">
        <v>1227</v>
      </c>
      <c r="B11" t="s">
        <v>112</v>
      </c>
      <c r="C11" t="s">
        <v>1228</v>
      </c>
      <c r="D11">
        <v>75</v>
      </c>
      <c r="E11" t="s">
        <v>1185</v>
      </c>
      <c r="F11" s="22">
        <v>3</v>
      </c>
      <c r="G11" t="s">
        <v>1229</v>
      </c>
      <c r="H11" t="s">
        <v>1228</v>
      </c>
      <c r="I11" t="s">
        <v>1230</v>
      </c>
    </row>
    <row r="12" spans="1:9" x14ac:dyDescent="0.25">
      <c r="A12" t="s">
        <v>1231</v>
      </c>
      <c r="B12" t="s">
        <v>112</v>
      </c>
      <c r="C12" t="s">
        <v>1232</v>
      </c>
      <c r="D12">
        <v>101</v>
      </c>
      <c r="E12" t="s">
        <v>1185</v>
      </c>
      <c r="F12" s="22">
        <v>2.6</v>
      </c>
      <c r="G12" t="s">
        <v>1233</v>
      </c>
      <c r="H12" t="s">
        <v>1234</v>
      </c>
      <c r="I12" t="s">
        <v>1235</v>
      </c>
    </row>
    <row r="13" spans="1:9" x14ac:dyDescent="0.25">
      <c r="A13" t="s">
        <v>1236</v>
      </c>
      <c r="B13" t="s">
        <v>112</v>
      </c>
      <c r="C13" t="s">
        <v>1237</v>
      </c>
      <c r="D13">
        <v>67</v>
      </c>
      <c r="E13" t="s">
        <v>1185</v>
      </c>
      <c r="F13" s="22">
        <v>2.25</v>
      </c>
      <c r="G13" t="s">
        <v>1238</v>
      </c>
      <c r="H13" t="s">
        <v>1239</v>
      </c>
      <c r="I13" t="s">
        <v>1240</v>
      </c>
    </row>
    <row r="14" spans="1:9" x14ac:dyDescent="0.25">
      <c r="A14" t="s">
        <v>1241</v>
      </c>
      <c r="B14" t="s">
        <v>1242</v>
      </c>
      <c r="C14" t="s">
        <v>1243</v>
      </c>
      <c r="D14">
        <v>71</v>
      </c>
      <c r="E14" t="s">
        <v>1185</v>
      </c>
      <c r="F14" s="22">
        <v>2.6</v>
      </c>
      <c r="G14" t="s">
        <v>1244</v>
      </c>
      <c r="H14" t="s">
        <v>1245</v>
      </c>
      <c r="I14" t="s">
        <v>1246</v>
      </c>
    </row>
    <row r="15" spans="1:9" x14ac:dyDescent="0.25">
      <c r="A15" t="s">
        <v>1247</v>
      </c>
      <c r="B15" t="s">
        <v>1248</v>
      </c>
      <c r="C15" t="s">
        <v>1249</v>
      </c>
      <c r="D15">
        <v>161</v>
      </c>
      <c r="E15" t="s">
        <v>1185</v>
      </c>
      <c r="F15" s="22">
        <v>2.6</v>
      </c>
      <c r="G15" t="s">
        <v>1250</v>
      </c>
      <c r="H15" t="s">
        <v>1251</v>
      </c>
      <c r="I15" t="s">
        <v>1252</v>
      </c>
    </row>
    <row r="16" spans="1:9" x14ac:dyDescent="0.25">
      <c r="A16" t="s">
        <v>1253</v>
      </c>
      <c r="B16" t="s">
        <v>112</v>
      </c>
      <c r="C16" t="s">
        <v>1254</v>
      </c>
      <c r="D16">
        <v>52</v>
      </c>
      <c r="E16" t="s">
        <v>1185</v>
      </c>
      <c r="F16" s="22">
        <v>2.8</v>
      </c>
      <c r="G16" t="s">
        <v>1255</v>
      </c>
      <c r="H16" t="s">
        <v>1256</v>
      </c>
      <c r="I16" t="s">
        <v>1257</v>
      </c>
    </row>
    <row r="17" spans="1:9" x14ac:dyDescent="0.25">
      <c r="A17" t="s">
        <v>1258</v>
      </c>
      <c r="B17" t="s">
        <v>112</v>
      </c>
      <c r="C17" t="s">
        <v>1259</v>
      </c>
      <c r="D17">
        <v>39</v>
      </c>
      <c r="E17" t="s">
        <v>1185</v>
      </c>
      <c r="F17" s="22">
        <v>1.75</v>
      </c>
      <c r="G17" t="s">
        <v>1260</v>
      </c>
      <c r="H17" t="s">
        <v>1261</v>
      </c>
      <c r="I17" t="s">
        <v>1262</v>
      </c>
    </row>
    <row r="18" spans="1:9" x14ac:dyDescent="0.25">
      <c r="A18" t="s">
        <v>1263</v>
      </c>
      <c r="B18" t="s">
        <v>112</v>
      </c>
      <c r="C18" t="s">
        <v>1264</v>
      </c>
      <c r="D18">
        <v>161</v>
      </c>
      <c r="E18" t="s">
        <v>1185</v>
      </c>
      <c r="F18" s="22">
        <v>2.95</v>
      </c>
      <c r="G18" t="s">
        <v>1265</v>
      </c>
      <c r="H18" t="s">
        <v>1266</v>
      </c>
      <c r="I18" t="s">
        <v>1267</v>
      </c>
    </row>
    <row r="19" spans="1:9" x14ac:dyDescent="0.25">
      <c r="A19" t="s">
        <v>1268</v>
      </c>
      <c r="B19" t="s">
        <v>112</v>
      </c>
      <c r="C19" t="s">
        <v>1269</v>
      </c>
      <c r="D19">
        <v>77</v>
      </c>
      <c r="E19" t="s">
        <v>1185</v>
      </c>
      <c r="F19" s="22">
        <v>2</v>
      </c>
      <c r="G19" t="s">
        <v>1265</v>
      </c>
      <c r="H19" t="s">
        <v>1270</v>
      </c>
      <c r="I19" t="s">
        <v>1271</v>
      </c>
    </row>
    <row r="20" spans="1:9" x14ac:dyDescent="0.25">
      <c r="A20" t="s">
        <v>1272</v>
      </c>
      <c r="B20" t="s">
        <v>112</v>
      </c>
      <c r="C20" t="s">
        <v>1273</v>
      </c>
      <c r="D20">
        <v>53</v>
      </c>
      <c r="E20" t="s">
        <v>1185</v>
      </c>
      <c r="F20" s="22">
        <v>2.25</v>
      </c>
      <c r="G20" t="s">
        <v>1274</v>
      </c>
      <c r="H20" t="s">
        <v>1275</v>
      </c>
      <c r="I20" t="s">
        <v>1276</v>
      </c>
    </row>
    <row r="21" spans="1:9" x14ac:dyDescent="0.25">
      <c r="A21" t="s">
        <v>1277</v>
      </c>
      <c r="B21" t="s">
        <v>112</v>
      </c>
      <c r="C21" t="s">
        <v>1278</v>
      </c>
      <c r="D21">
        <v>34</v>
      </c>
      <c r="E21" t="s">
        <v>1185</v>
      </c>
      <c r="F21" s="22">
        <v>2.85</v>
      </c>
      <c r="G21" t="s">
        <v>1279</v>
      </c>
      <c r="H21" t="s">
        <v>1280</v>
      </c>
      <c r="I21" t="s">
        <v>1281</v>
      </c>
    </row>
    <row r="22" spans="1:9" x14ac:dyDescent="0.25">
      <c r="A22" t="s">
        <v>1282</v>
      </c>
      <c r="B22" t="s">
        <v>112</v>
      </c>
      <c r="C22" t="s">
        <v>1237</v>
      </c>
      <c r="D22">
        <v>67</v>
      </c>
      <c r="E22" t="s">
        <v>1185</v>
      </c>
      <c r="F22" s="22">
        <v>2.1</v>
      </c>
      <c r="G22" t="s">
        <v>1283</v>
      </c>
      <c r="H22" t="s">
        <v>1284</v>
      </c>
      <c r="I22" t="s">
        <v>1285</v>
      </c>
    </row>
    <row r="23" spans="1:9" x14ac:dyDescent="0.25">
      <c r="A23" t="s">
        <v>1286</v>
      </c>
      <c r="B23" t="s">
        <v>112</v>
      </c>
      <c r="C23" t="s">
        <v>1278</v>
      </c>
      <c r="D23">
        <v>34</v>
      </c>
      <c r="E23" t="s">
        <v>1185</v>
      </c>
      <c r="F23" s="22">
        <v>2.2000000000000002</v>
      </c>
      <c r="G23" t="s">
        <v>1287</v>
      </c>
      <c r="H23" t="s">
        <v>1288</v>
      </c>
      <c r="I23" t="s">
        <v>1289</v>
      </c>
    </row>
    <row r="24" spans="1:9" x14ac:dyDescent="0.25">
      <c r="A24" t="s">
        <v>1290</v>
      </c>
      <c r="B24" t="s">
        <v>112</v>
      </c>
      <c r="C24" t="s">
        <v>1291</v>
      </c>
      <c r="D24">
        <v>76</v>
      </c>
      <c r="E24" t="s">
        <v>1185</v>
      </c>
      <c r="F24" s="22">
        <v>3</v>
      </c>
      <c r="G24" t="s">
        <v>1292</v>
      </c>
      <c r="H24" t="s">
        <v>1293</v>
      </c>
      <c r="I24" t="s">
        <v>1294</v>
      </c>
    </row>
    <row r="25" spans="1:9" x14ac:dyDescent="0.25">
      <c r="A25" t="s">
        <v>1295</v>
      </c>
      <c r="B25" t="s">
        <v>112</v>
      </c>
      <c r="C25" t="s">
        <v>1296</v>
      </c>
      <c r="D25">
        <v>71</v>
      </c>
      <c r="E25" t="s">
        <v>1185</v>
      </c>
      <c r="F25" s="22">
        <v>1.7</v>
      </c>
      <c r="G25" t="s">
        <v>1297</v>
      </c>
      <c r="H25" t="s">
        <v>1298</v>
      </c>
      <c r="I25" t="s">
        <v>1299</v>
      </c>
    </row>
    <row r="26" spans="1:9" x14ac:dyDescent="0.25">
      <c r="A26" t="s">
        <v>1300</v>
      </c>
      <c r="B26" t="s">
        <v>112</v>
      </c>
      <c r="C26" t="s">
        <v>1301</v>
      </c>
      <c r="D26">
        <v>54</v>
      </c>
      <c r="E26" t="s">
        <v>1185</v>
      </c>
      <c r="F26" s="22">
        <v>2.7919999999999998</v>
      </c>
      <c r="G26" t="s">
        <v>1302</v>
      </c>
      <c r="H26" t="s">
        <v>1303</v>
      </c>
      <c r="I26" t="s">
        <v>1304</v>
      </c>
    </row>
    <row r="27" spans="1:9" x14ac:dyDescent="0.25">
      <c r="A27" t="s">
        <v>1305</v>
      </c>
      <c r="B27" t="s">
        <v>112</v>
      </c>
      <c r="C27" t="s">
        <v>1301</v>
      </c>
      <c r="D27">
        <v>54</v>
      </c>
      <c r="E27" t="s">
        <v>1185</v>
      </c>
      <c r="F27" s="22">
        <v>2.1814</v>
      </c>
      <c r="G27" t="s">
        <v>1302</v>
      </c>
      <c r="H27" t="s">
        <v>1306</v>
      </c>
      <c r="I27" t="s">
        <v>1307</v>
      </c>
    </row>
    <row r="28" spans="1:9" x14ac:dyDescent="0.25">
      <c r="A28" t="s">
        <v>1308</v>
      </c>
      <c r="B28" t="s">
        <v>1309</v>
      </c>
      <c r="C28" t="s">
        <v>1310</v>
      </c>
      <c r="D28">
        <v>75</v>
      </c>
      <c r="E28" t="s">
        <v>1185</v>
      </c>
      <c r="F28" s="22">
        <v>2.5099999999999998</v>
      </c>
      <c r="G28" t="s">
        <v>1311</v>
      </c>
      <c r="H28" t="s">
        <v>1312</v>
      </c>
      <c r="I28" t="s">
        <v>1313</v>
      </c>
    </row>
    <row r="29" spans="1:9" x14ac:dyDescent="0.25">
      <c r="A29" t="s">
        <v>1314</v>
      </c>
      <c r="B29" t="s">
        <v>112</v>
      </c>
      <c r="C29" t="s">
        <v>1315</v>
      </c>
      <c r="D29">
        <v>86</v>
      </c>
      <c r="E29" t="s">
        <v>1185</v>
      </c>
      <c r="F29" s="22">
        <v>2</v>
      </c>
      <c r="G29" t="s">
        <v>1316</v>
      </c>
      <c r="H29" t="s">
        <v>1317</v>
      </c>
      <c r="I29" t="s">
        <v>1318</v>
      </c>
    </row>
    <row r="30" spans="1:9" x14ac:dyDescent="0.25">
      <c r="A30" t="s">
        <v>1319</v>
      </c>
      <c r="B30" t="s">
        <v>112</v>
      </c>
      <c r="C30" t="s">
        <v>1237</v>
      </c>
      <c r="D30">
        <v>67</v>
      </c>
      <c r="E30" t="s">
        <v>1185</v>
      </c>
      <c r="F30" s="22">
        <v>2.5</v>
      </c>
      <c r="G30" t="s">
        <v>1320</v>
      </c>
      <c r="H30" t="s">
        <v>1321</v>
      </c>
      <c r="I30" t="s">
        <v>1322</v>
      </c>
    </row>
    <row r="31" spans="1:9" x14ac:dyDescent="0.25">
      <c r="A31" t="s">
        <v>1323</v>
      </c>
      <c r="B31" t="s">
        <v>112</v>
      </c>
      <c r="C31" t="s">
        <v>1324</v>
      </c>
      <c r="D31">
        <v>68</v>
      </c>
      <c r="E31" t="s">
        <v>1185</v>
      </c>
      <c r="F31" s="22">
        <v>2.605</v>
      </c>
      <c r="G31" t="s">
        <v>1320</v>
      </c>
      <c r="H31" t="s">
        <v>1325</v>
      </c>
      <c r="I31" t="s">
        <v>1326</v>
      </c>
    </row>
    <row r="32" spans="1:9" x14ac:dyDescent="0.25">
      <c r="A32" t="s">
        <v>1327</v>
      </c>
      <c r="B32" t="s">
        <v>1248</v>
      </c>
      <c r="C32" t="s">
        <v>1328</v>
      </c>
      <c r="D32">
        <v>101</v>
      </c>
      <c r="E32" t="s">
        <v>1185</v>
      </c>
      <c r="F32" s="22">
        <v>2.65</v>
      </c>
      <c r="G32" t="s">
        <v>1329</v>
      </c>
      <c r="H32" t="s">
        <v>1330</v>
      </c>
      <c r="I32" t="s">
        <v>1331</v>
      </c>
    </row>
    <row r="33" spans="1:9" x14ac:dyDescent="0.25">
      <c r="A33" t="s">
        <v>1332</v>
      </c>
      <c r="B33" t="s">
        <v>112</v>
      </c>
      <c r="C33" t="s">
        <v>1333</v>
      </c>
      <c r="D33">
        <v>75</v>
      </c>
      <c r="E33" t="s">
        <v>1185</v>
      </c>
      <c r="F33" s="22">
        <v>3</v>
      </c>
      <c r="G33" t="s">
        <v>1334</v>
      </c>
      <c r="H33" t="s">
        <v>1335</v>
      </c>
      <c r="I33" t="s">
        <v>1336</v>
      </c>
    </row>
    <row r="34" spans="1:9" x14ac:dyDescent="0.25">
      <c r="A34" t="s">
        <v>1337</v>
      </c>
      <c r="B34" t="s">
        <v>112</v>
      </c>
      <c r="C34" t="s">
        <v>1338</v>
      </c>
      <c r="D34">
        <v>29</v>
      </c>
      <c r="E34" t="s">
        <v>1185</v>
      </c>
      <c r="F34" s="22">
        <v>2.1</v>
      </c>
      <c r="G34" t="s">
        <v>1339</v>
      </c>
      <c r="H34" t="s">
        <v>1340</v>
      </c>
      <c r="I34" t="s">
        <v>1341</v>
      </c>
    </row>
    <row r="35" spans="1:9" x14ac:dyDescent="0.25">
      <c r="A35" t="s">
        <v>1342</v>
      </c>
      <c r="B35" t="s">
        <v>112</v>
      </c>
      <c r="C35" t="s">
        <v>1343</v>
      </c>
      <c r="D35">
        <v>94</v>
      </c>
      <c r="E35" t="s">
        <v>1185</v>
      </c>
      <c r="F35" s="22">
        <v>2.95</v>
      </c>
      <c r="G35" t="s">
        <v>1344</v>
      </c>
      <c r="H35" t="s">
        <v>1345</v>
      </c>
      <c r="I35" t="s">
        <v>1346</v>
      </c>
    </row>
    <row r="36" spans="1:9" x14ac:dyDescent="0.25">
      <c r="A36" t="s">
        <v>1347</v>
      </c>
      <c r="B36" t="s">
        <v>112</v>
      </c>
      <c r="C36" t="s">
        <v>1348</v>
      </c>
      <c r="D36">
        <v>52</v>
      </c>
      <c r="E36" t="s">
        <v>1185</v>
      </c>
      <c r="F36" s="22">
        <v>2.85</v>
      </c>
      <c r="G36" t="s">
        <v>1344</v>
      </c>
      <c r="H36" t="s">
        <v>1349</v>
      </c>
      <c r="I36" t="s">
        <v>1350</v>
      </c>
    </row>
    <row r="37" spans="1:9" x14ac:dyDescent="0.25">
      <c r="A37" t="s">
        <v>1351</v>
      </c>
      <c r="B37" t="s">
        <v>117</v>
      </c>
      <c r="C37" t="s">
        <v>1352</v>
      </c>
      <c r="D37">
        <v>84</v>
      </c>
      <c r="E37" t="s">
        <v>1185</v>
      </c>
      <c r="F37" s="22">
        <v>2.95</v>
      </c>
      <c r="G37" t="s">
        <v>1353</v>
      </c>
      <c r="H37" t="s">
        <v>1354</v>
      </c>
      <c r="I37" t="s">
        <v>1355</v>
      </c>
    </row>
    <row r="38" spans="1:9" x14ac:dyDescent="0.25">
      <c r="A38" t="s">
        <v>1356</v>
      </c>
      <c r="B38" t="s">
        <v>112</v>
      </c>
      <c r="C38" t="s">
        <v>1357</v>
      </c>
      <c r="D38">
        <v>57</v>
      </c>
      <c r="E38" t="s">
        <v>1185</v>
      </c>
      <c r="F38" s="22">
        <v>2.673</v>
      </c>
      <c r="G38" t="s">
        <v>1358</v>
      </c>
      <c r="H38" t="s">
        <v>1359</v>
      </c>
      <c r="I38" t="s">
        <v>1360</v>
      </c>
    </row>
    <row r="39" spans="1:9" x14ac:dyDescent="0.25">
      <c r="A39" t="s">
        <v>1361</v>
      </c>
      <c r="B39" t="s">
        <v>1362</v>
      </c>
      <c r="C39" t="s">
        <v>1363</v>
      </c>
      <c r="D39">
        <v>55</v>
      </c>
      <c r="E39" t="s">
        <v>1185</v>
      </c>
      <c r="F39" s="22">
        <v>2.35</v>
      </c>
      <c r="G39" t="s">
        <v>1364</v>
      </c>
      <c r="H39" t="s">
        <v>1365</v>
      </c>
      <c r="I39" t="s">
        <v>1366</v>
      </c>
    </row>
    <row r="40" spans="1:9" x14ac:dyDescent="0.25">
      <c r="A40" t="s">
        <v>1367</v>
      </c>
      <c r="B40" t="s">
        <v>112</v>
      </c>
      <c r="C40" t="s">
        <v>1368</v>
      </c>
      <c r="D40">
        <v>96</v>
      </c>
      <c r="E40" t="s">
        <v>1185</v>
      </c>
      <c r="F40" s="22">
        <v>2.95</v>
      </c>
      <c r="G40" t="s">
        <v>1369</v>
      </c>
      <c r="H40" t="s">
        <v>1370</v>
      </c>
      <c r="I40" t="s">
        <v>1371</v>
      </c>
    </row>
    <row r="41" spans="1:9" x14ac:dyDescent="0.25">
      <c r="A41" t="s">
        <v>1372</v>
      </c>
      <c r="B41" t="s">
        <v>112</v>
      </c>
      <c r="C41" t="s">
        <v>1373</v>
      </c>
      <c r="D41">
        <v>89</v>
      </c>
      <c r="E41" t="s">
        <v>1185</v>
      </c>
      <c r="F41" s="22">
        <v>1.889</v>
      </c>
      <c r="G41" t="s">
        <v>1374</v>
      </c>
      <c r="H41" t="s">
        <v>1375</v>
      </c>
      <c r="I41" t="s">
        <v>1376</v>
      </c>
    </row>
    <row r="42" spans="1:9" x14ac:dyDescent="0.25">
      <c r="A42" t="s">
        <v>1377</v>
      </c>
      <c r="B42" t="s">
        <v>112</v>
      </c>
      <c r="C42" t="s">
        <v>1378</v>
      </c>
      <c r="D42">
        <v>83</v>
      </c>
      <c r="E42" t="s">
        <v>1185</v>
      </c>
      <c r="F42" s="22">
        <v>2.9</v>
      </c>
      <c r="G42" t="s">
        <v>1379</v>
      </c>
      <c r="H42" t="s">
        <v>1380</v>
      </c>
      <c r="I42" t="s">
        <v>1381</v>
      </c>
    </row>
    <row r="43" spans="1:9" x14ac:dyDescent="0.25">
      <c r="A43" t="s">
        <v>1382</v>
      </c>
      <c r="B43" t="s">
        <v>112</v>
      </c>
      <c r="C43" t="s">
        <v>1383</v>
      </c>
      <c r="D43">
        <v>54</v>
      </c>
      <c r="E43" t="s">
        <v>1185</v>
      </c>
      <c r="F43" s="22">
        <v>2.2999999999999998</v>
      </c>
      <c r="G43" t="s">
        <v>1384</v>
      </c>
      <c r="H43" t="s">
        <v>1385</v>
      </c>
      <c r="I43" t="s">
        <v>1386</v>
      </c>
    </row>
    <row r="44" spans="1:9" x14ac:dyDescent="0.25">
      <c r="A44" t="s">
        <v>1387</v>
      </c>
      <c r="B44" t="s">
        <v>112</v>
      </c>
      <c r="C44" t="s">
        <v>1388</v>
      </c>
      <c r="D44">
        <v>86</v>
      </c>
      <c r="E44" t="s">
        <v>1185</v>
      </c>
      <c r="F44" s="22">
        <v>1.9912000000000001</v>
      </c>
      <c r="G44" t="s">
        <v>1379</v>
      </c>
      <c r="H44" t="s">
        <v>1389</v>
      </c>
      <c r="I44" t="s">
        <v>1390</v>
      </c>
    </row>
    <row r="45" spans="1:9" x14ac:dyDescent="0.25">
      <c r="A45" t="s">
        <v>1391</v>
      </c>
      <c r="B45" t="s">
        <v>112</v>
      </c>
      <c r="C45" t="s">
        <v>1392</v>
      </c>
      <c r="D45">
        <v>35</v>
      </c>
      <c r="E45" t="s">
        <v>1185</v>
      </c>
      <c r="F45" s="22">
        <v>1.9</v>
      </c>
      <c r="G45" t="s">
        <v>1393</v>
      </c>
      <c r="H45" t="s">
        <v>1394</v>
      </c>
      <c r="I45" t="s">
        <v>1395</v>
      </c>
    </row>
    <row r="46" spans="1:9" x14ac:dyDescent="0.25">
      <c r="A46" t="s">
        <v>1396</v>
      </c>
      <c r="B46" t="s">
        <v>112</v>
      </c>
      <c r="C46" t="s">
        <v>1397</v>
      </c>
      <c r="D46">
        <v>68</v>
      </c>
      <c r="E46" t="s">
        <v>1185</v>
      </c>
      <c r="F46" s="22">
        <v>2.4630000000000001</v>
      </c>
      <c r="G46" t="s">
        <v>1398</v>
      </c>
      <c r="H46" t="s">
        <v>1399</v>
      </c>
      <c r="I46" t="s">
        <v>1400</v>
      </c>
    </row>
    <row r="47" spans="1:9" x14ac:dyDescent="0.25">
      <c r="A47" t="s">
        <v>1401</v>
      </c>
      <c r="B47" t="s">
        <v>112</v>
      </c>
      <c r="C47" t="s">
        <v>1402</v>
      </c>
      <c r="D47">
        <v>125</v>
      </c>
      <c r="E47" t="s">
        <v>1185</v>
      </c>
      <c r="F47" s="22">
        <v>2.7210000000000001</v>
      </c>
      <c r="G47" t="s">
        <v>1403</v>
      </c>
      <c r="H47" t="s">
        <v>1404</v>
      </c>
      <c r="I47" t="s">
        <v>1405</v>
      </c>
    </row>
    <row r="48" spans="1:9" x14ac:dyDescent="0.25">
      <c r="A48" t="s">
        <v>1406</v>
      </c>
      <c r="B48" t="s">
        <v>112</v>
      </c>
      <c r="C48" t="s">
        <v>1407</v>
      </c>
      <c r="D48">
        <v>56</v>
      </c>
      <c r="E48" t="s">
        <v>1185</v>
      </c>
      <c r="F48" s="22">
        <v>2.89</v>
      </c>
      <c r="G48" t="s">
        <v>1408</v>
      </c>
      <c r="H48" t="s">
        <v>1409</v>
      </c>
      <c r="I48" t="s">
        <v>1410</v>
      </c>
    </row>
    <row r="49" spans="1:9" x14ac:dyDescent="0.25">
      <c r="A49" t="s">
        <v>1411</v>
      </c>
      <c r="B49" t="s">
        <v>112</v>
      </c>
      <c r="C49" t="s">
        <v>1412</v>
      </c>
      <c r="D49">
        <v>94</v>
      </c>
      <c r="E49" t="s">
        <v>1185</v>
      </c>
      <c r="F49" s="22">
        <v>2.6425999999999998</v>
      </c>
      <c r="G49" t="s">
        <v>1413</v>
      </c>
      <c r="H49" t="s">
        <v>1414</v>
      </c>
      <c r="I49" t="s">
        <v>1415</v>
      </c>
    </row>
    <row r="50" spans="1:9" x14ac:dyDescent="0.25">
      <c r="A50" t="s">
        <v>1416</v>
      </c>
      <c r="B50" t="s">
        <v>112</v>
      </c>
      <c r="C50" t="s">
        <v>1417</v>
      </c>
      <c r="D50">
        <v>101</v>
      </c>
      <c r="E50" t="s">
        <v>1185</v>
      </c>
      <c r="F50" s="22">
        <v>2.75</v>
      </c>
      <c r="G50" t="s">
        <v>1418</v>
      </c>
      <c r="H50" t="s">
        <v>1419</v>
      </c>
      <c r="I50" t="s">
        <v>1420</v>
      </c>
    </row>
    <row r="51" spans="1:9" x14ac:dyDescent="0.25">
      <c r="A51" t="s">
        <v>1421</v>
      </c>
      <c r="B51" t="s">
        <v>1422</v>
      </c>
      <c r="C51" t="s">
        <v>1423</v>
      </c>
      <c r="D51">
        <v>44</v>
      </c>
      <c r="E51" t="s">
        <v>1185</v>
      </c>
      <c r="F51" s="22">
        <v>2.8839999999999999</v>
      </c>
      <c r="G51" t="s">
        <v>1384</v>
      </c>
      <c r="H51" t="s">
        <v>1424</v>
      </c>
      <c r="I51" t="s">
        <v>1425</v>
      </c>
    </row>
    <row r="52" spans="1:9" x14ac:dyDescent="0.25">
      <c r="A52" t="s">
        <v>1426</v>
      </c>
      <c r="B52" t="s">
        <v>112</v>
      </c>
      <c r="C52" t="s">
        <v>154</v>
      </c>
      <c r="D52">
        <v>107</v>
      </c>
      <c r="E52" t="s">
        <v>1185</v>
      </c>
      <c r="F52" s="22">
        <v>2.4900000000000002</v>
      </c>
      <c r="G52" t="s">
        <v>1427</v>
      </c>
      <c r="H52" t="s">
        <v>1428</v>
      </c>
      <c r="I52" t="s">
        <v>1429</v>
      </c>
    </row>
    <row r="53" spans="1:9" x14ac:dyDescent="0.25">
      <c r="A53" t="s">
        <v>1430</v>
      </c>
      <c r="B53" t="s">
        <v>112</v>
      </c>
      <c r="C53" t="s">
        <v>1431</v>
      </c>
      <c r="D53">
        <v>64</v>
      </c>
      <c r="E53" t="s">
        <v>1185</v>
      </c>
      <c r="F53" s="22">
        <v>1.8</v>
      </c>
      <c r="G53" t="s">
        <v>1432</v>
      </c>
      <c r="H53" t="s">
        <v>1433</v>
      </c>
      <c r="I53" t="s">
        <v>1434</v>
      </c>
    </row>
    <row r="54" spans="1:9" x14ac:dyDescent="0.25">
      <c r="A54" t="s">
        <v>1435</v>
      </c>
      <c r="B54" t="s">
        <v>117</v>
      </c>
      <c r="C54" t="s">
        <v>1436</v>
      </c>
      <c r="D54">
        <v>107</v>
      </c>
      <c r="E54" t="s">
        <v>1185</v>
      </c>
      <c r="F54" s="22">
        <v>3</v>
      </c>
      <c r="G54" t="s">
        <v>1413</v>
      </c>
      <c r="H54" t="s">
        <v>1437</v>
      </c>
      <c r="I54" t="s">
        <v>1438</v>
      </c>
    </row>
    <row r="55" spans="1:9" x14ac:dyDescent="0.25">
      <c r="A55" t="s">
        <v>1439</v>
      </c>
      <c r="B55" t="s">
        <v>1440</v>
      </c>
      <c r="C55" t="s">
        <v>1441</v>
      </c>
      <c r="D55">
        <v>83</v>
      </c>
      <c r="E55" t="s">
        <v>1185</v>
      </c>
      <c r="F55" s="22">
        <v>2.121</v>
      </c>
      <c r="G55" t="s">
        <v>1442</v>
      </c>
      <c r="H55" t="s">
        <v>1443</v>
      </c>
      <c r="I55" t="s">
        <v>1444</v>
      </c>
    </row>
    <row r="56" spans="1:9" x14ac:dyDescent="0.25">
      <c r="A56" t="s">
        <v>1445</v>
      </c>
      <c r="B56" t="s">
        <v>112</v>
      </c>
      <c r="C56" t="s">
        <v>1446</v>
      </c>
      <c r="D56">
        <v>73</v>
      </c>
      <c r="E56" t="s">
        <v>1185</v>
      </c>
      <c r="F56" s="22">
        <v>2.94</v>
      </c>
      <c r="G56" t="s">
        <v>1447</v>
      </c>
      <c r="H56" t="s">
        <v>1448</v>
      </c>
      <c r="I56" t="s">
        <v>1449</v>
      </c>
    </row>
    <row r="57" spans="1:9" x14ac:dyDescent="0.25">
      <c r="A57" t="s">
        <v>1450</v>
      </c>
      <c r="B57" t="s">
        <v>112</v>
      </c>
      <c r="C57" t="s">
        <v>1451</v>
      </c>
      <c r="D57">
        <v>55</v>
      </c>
      <c r="E57" t="s">
        <v>1185</v>
      </c>
      <c r="F57" s="22">
        <v>2.778</v>
      </c>
      <c r="G57" t="s">
        <v>1452</v>
      </c>
      <c r="H57" t="s">
        <v>1453</v>
      </c>
      <c r="I57" t="s">
        <v>1454</v>
      </c>
    </row>
    <row r="58" spans="1:9" x14ac:dyDescent="0.25">
      <c r="A58" t="s">
        <v>1455</v>
      </c>
      <c r="B58" t="s">
        <v>117</v>
      </c>
      <c r="C58" t="s">
        <v>1456</v>
      </c>
      <c r="D58">
        <v>75</v>
      </c>
      <c r="E58" t="s">
        <v>1185</v>
      </c>
      <c r="F58" s="22">
        <v>2.8159999999999998</v>
      </c>
      <c r="G58" t="s">
        <v>1457</v>
      </c>
      <c r="H58" t="s">
        <v>1458</v>
      </c>
      <c r="I58" t="s">
        <v>1459</v>
      </c>
    </row>
    <row r="59" spans="1:9" x14ac:dyDescent="0.25">
      <c r="A59" t="s">
        <v>1460</v>
      </c>
      <c r="B59" t="s">
        <v>112</v>
      </c>
      <c r="C59" t="s">
        <v>1461</v>
      </c>
      <c r="D59">
        <v>77</v>
      </c>
      <c r="E59" t="s">
        <v>1185</v>
      </c>
      <c r="F59" s="22">
        <v>2.5</v>
      </c>
      <c r="G59" t="s">
        <v>1462</v>
      </c>
      <c r="H59" t="s">
        <v>1463</v>
      </c>
      <c r="I59" t="s">
        <v>1464</v>
      </c>
    </row>
    <row r="60" spans="1:9" x14ac:dyDescent="0.25">
      <c r="A60" t="s">
        <v>1465</v>
      </c>
      <c r="B60" t="s">
        <v>112</v>
      </c>
      <c r="C60" t="s">
        <v>1343</v>
      </c>
      <c r="D60">
        <v>94</v>
      </c>
      <c r="E60" t="s">
        <v>1185</v>
      </c>
      <c r="F60" s="22">
        <v>1.71</v>
      </c>
      <c r="G60" t="s">
        <v>1466</v>
      </c>
      <c r="H60" t="s">
        <v>1467</v>
      </c>
      <c r="I60" t="s">
        <v>1468</v>
      </c>
    </row>
    <row r="61" spans="1:9" x14ac:dyDescent="0.25">
      <c r="A61" t="s">
        <v>1469</v>
      </c>
      <c r="B61" t="s">
        <v>112</v>
      </c>
      <c r="C61" t="s">
        <v>1470</v>
      </c>
      <c r="D61">
        <v>71</v>
      </c>
      <c r="E61" t="s">
        <v>1185</v>
      </c>
      <c r="F61" s="22">
        <v>2</v>
      </c>
      <c r="G61" t="s">
        <v>1471</v>
      </c>
      <c r="H61" t="s">
        <v>1472</v>
      </c>
      <c r="I61" t="s">
        <v>1473</v>
      </c>
    </row>
    <row r="62" spans="1:9" x14ac:dyDescent="0.25">
      <c r="A62" t="s">
        <v>1474</v>
      </c>
      <c r="B62" t="s">
        <v>112</v>
      </c>
      <c r="C62" t="s">
        <v>1475</v>
      </c>
      <c r="D62">
        <v>77</v>
      </c>
      <c r="E62" t="s">
        <v>1185</v>
      </c>
      <c r="F62" s="22">
        <v>2.7989999999999999</v>
      </c>
      <c r="G62" t="s">
        <v>1476</v>
      </c>
      <c r="H62" t="s">
        <v>1477</v>
      </c>
      <c r="I62" t="s">
        <v>1478</v>
      </c>
    </row>
    <row r="63" spans="1:9" x14ac:dyDescent="0.25">
      <c r="A63" t="s">
        <v>1479</v>
      </c>
      <c r="B63" t="s">
        <v>112</v>
      </c>
      <c r="C63" t="s">
        <v>1480</v>
      </c>
      <c r="D63">
        <v>58</v>
      </c>
      <c r="E63" t="s">
        <v>1185</v>
      </c>
      <c r="F63" s="22">
        <v>2.2000000000000002</v>
      </c>
      <c r="G63" t="s">
        <v>1481</v>
      </c>
      <c r="H63" t="s">
        <v>1482</v>
      </c>
      <c r="I63" t="s">
        <v>1483</v>
      </c>
    </row>
    <row r="64" spans="1:9" x14ac:dyDescent="0.25">
      <c r="A64" t="s">
        <v>1484</v>
      </c>
      <c r="B64" t="s">
        <v>112</v>
      </c>
      <c r="C64" t="s">
        <v>1485</v>
      </c>
      <c r="D64">
        <v>42</v>
      </c>
      <c r="E64" t="s">
        <v>1185</v>
      </c>
      <c r="F64" s="22">
        <v>2.65</v>
      </c>
      <c r="G64" t="s">
        <v>1486</v>
      </c>
      <c r="H64" t="s">
        <v>1487</v>
      </c>
      <c r="I64" t="s">
        <v>1488</v>
      </c>
    </row>
    <row r="65" spans="1:9" x14ac:dyDescent="0.25">
      <c r="A65" t="s">
        <v>1489</v>
      </c>
      <c r="B65" t="s">
        <v>112</v>
      </c>
      <c r="C65" t="s">
        <v>1490</v>
      </c>
      <c r="D65">
        <v>41</v>
      </c>
      <c r="E65" t="s">
        <v>1185</v>
      </c>
      <c r="F65" s="22">
        <v>1.91</v>
      </c>
      <c r="G65" t="s">
        <v>1491</v>
      </c>
      <c r="H65" t="s">
        <v>1492</v>
      </c>
      <c r="I65" t="s">
        <v>1493</v>
      </c>
    </row>
    <row r="66" spans="1:9" x14ac:dyDescent="0.25">
      <c r="A66" t="s">
        <v>1494</v>
      </c>
      <c r="B66" t="s">
        <v>112</v>
      </c>
      <c r="C66" t="s">
        <v>1495</v>
      </c>
      <c r="D66">
        <v>69</v>
      </c>
      <c r="E66" t="s">
        <v>1185</v>
      </c>
      <c r="F66" s="22">
        <v>2.004</v>
      </c>
      <c r="G66" t="s">
        <v>1496</v>
      </c>
      <c r="H66" t="s">
        <v>1497</v>
      </c>
      <c r="I66" t="s">
        <v>1498</v>
      </c>
    </row>
    <row r="67" spans="1:9" x14ac:dyDescent="0.25">
      <c r="A67" t="s">
        <v>1499</v>
      </c>
      <c r="B67" t="s">
        <v>1248</v>
      </c>
      <c r="C67" t="s">
        <v>1500</v>
      </c>
      <c r="D67">
        <v>71</v>
      </c>
      <c r="E67" t="s">
        <v>1185</v>
      </c>
      <c r="F67" s="22">
        <v>3</v>
      </c>
      <c r="G67" t="s">
        <v>1501</v>
      </c>
      <c r="H67" t="s">
        <v>1502</v>
      </c>
      <c r="I67" t="s">
        <v>1503</v>
      </c>
    </row>
    <row r="68" spans="1:9" x14ac:dyDescent="0.25">
      <c r="A68" t="s">
        <v>1504</v>
      </c>
      <c r="B68" t="s">
        <v>112</v>
      </c>
      <c r="C68" t="s">
        <v>1505</v>
      </c>
      <c r="D68">
        <v>95</v>
      </c>
      <c r="E68" t="s">
        <v>1185</v>
      </c>
      <c r="F68" s="22">
        <v>2.71</v>
      </c>
      <c r="G68" t="s">
        <v>1471</v>
      </c>
      <c r="H68" t="s">
        <v>1506</v>
      </c>
      <c r="I68" t="s">
        <v>1507</v>
      </c>
    </row>
    <row r="69" spans="1:9" x14ac:dyDescent="0.25">
      <c r="A69" t="s">
        <v>1508</v>
      </c>
      <c r="B69" t="s">
        <v>112</v>
      </c>
      <c r="C69" t="s">
        <v>1509</v>
      </c>
      <c r="D69">
        <v>71</v>
      </c>
      <c r="E69" t="s">
        <v>1185</v>
      </c>
      <c r="F69" s="22">
        <v>2.8050000000000002</v>
      </c>
      <c r="G69" t="s">
        <v>1510</v>
      </c>
      <c r="H69" t="s">
        <v>1511</v>
      </c>
      <c r="I69" t="s">
        <v>1512</v>
      </c>
    </row>
    <row r="70" spans="1:9" x14ac:dyDescent="0.25">
      <c r="A70" t="s">
        <v>1513</v>
      </c>
      <c r="B70" t="s">
        <v>117</v>
      </c>
      <c r="C70" t="s">
        <v>1514</v>
      </c>
      <c r="D70">
        <v>85</v>
      </c>
      <c r="E70" t="s">
        <v>1185</v>
      </c>
      <c r="F70" s="22">
        <v>2.2999999999999998</v>
      </c>
      <c r="G70" t="s">
        <v>1515</v>
      </c>
      <c r="H70" t="s">
        <v>1516</v>
      </c>
      <c r="I70" t="s">
        <v>1517</v>
      </c>
    </row>
    <row r="71" spans="1:9" x14ac:dyDescent="0.25">
      <c r="A71" t="s">
        <v>1518</v>
      </c>
      <c r="B71" t="s">
        <v>1519</v>
      </c>
      <c r="C71" t="s">
        <v>1520</v>
      </c>
      <c r="D71">
        <v>47</v>
      </c>
      <c r="E71" t="s">
        <v>1185</v>
      </c>
      <c r="F71" s="22">
        <v>2.9000991577700002</v>
      </c>
      <c r="G71" t="s">
        <v>1521</v>
      </c>
      <c r="H71" t="s">
        <v>1522</v>
      </c>
      <c r="I71" t="s">
        <v>1523</v>
      </c>
    </row>
    <row r="72" spans="1:9" x14ac:dyDescent="0.25">
      <c r="A72" t="s">
        <v>1524</v>
      </c>
      <c r="B72" t="s">
        <v>1519</v>
      </c>
      <c r="C72" t="s">
        <v>1525</v>
      </c>
      <c r="D72">
        <v>31</v>
      </c>
      <c r="E72" t="s">
        <v>1185</v>
      </c>
      <c r="F72" s="22">
        <v>1.7</v>
      </c>
      <c r="G72" t="s">
        <v>1526</v>
      </c>
      <c r="H72" t="s">
        <v>1527</v>
      </c>
      <c r="I72" t="s">
        <v>1528</v>
      </c>
    </row>
    <row r="73" spans="1:9" x14ac:dyDescent="0.25">
      <c r="A73" t="s">
        <v>1529</v>
      </c>
      <c r="B73" t="s">
        <v>1519</v>
      </c>
      <c r="C73" t="s">
        <v>1530</v>
      </c>
      <c r="D73">
        <v>101</v>
      </c>
      <c r="E73" t="s">
        <v>1185</v>
      </c>
      <c r="F73" s="22">
        <v>1.891</v>
      </c>
      <c r="G73" t="s">
        <v>1531</v>
      </c>
      <c r="H73" t="s">
        <v>1532</v>
      </c>
      <c r="I73" t="s">
        <v>1533</v>
      </c>
    </row>
    <row r="74" spans="1:9" x14ac:dyDescent="0.25">
      <c r="A74" t="s">
        <v>1534</v>
      </c>
      <c r="B74" t="s">
        <v>112</v>
      </c>
      <c r="C74" t="s">
        <v>1535</v>
      </c>
      <c r="D74">
        <v>117</v>
      </c>
      <c r="E74" t="s">
        <v>1185</v>
      </c>
      <c r="F74" s="22">
        <v>2.4900000000000002</v>
      </c>
      <c r="G74" t="s">
        <v>1536</v>
      </c>
      <c r="H74" t="s">
        <v>1537</v>
      </c>
      <c r="I74" t="s">
        <v>1538</v>
      </c>
    </row>
    <row r="75" spans="1:9" x14ac:dyDescent="0.25">
      <c r="A75" t="s">
        <v>1539</v>
      </c>
      <c r="B75" t="s">
        <v>112</v>
      </c>
      <c r="C75" t="s">
        <v>1540</v>
      </c>
      <c r="D75">
        <v>81</v>
      </c>
      <c r="E75" t="s">
        <v>1185</v>
      </c>
      <c r="F75" s="22">
        <v>3</v>
      </c>
      <c r="G75" t="s">
        <v>1541</v>
      </c>
      <c r="H75" t="s">
        <v>1542</v>
      </c>
      <c r="I75" t="s">
        <v>1543</v>
      </c>
    </row>
    <row r="76" spans="1:9" x14ac:dyDescent="0.25">
      <c r="A76" t="s">
        <v>1544</v>
      </c>
      <c r="B76" t="s">
        <v>112</v>
      </c>
      <c r="C76" t="s">
        <v>981</v>
      </c>
      <c r="D76">
        <v>45</v>
      </c>
      <c r="E76" t="s">
        <v>1185</v>
      </c>
      <c r="F76" s="22">
        <v>2.9</v>
      </c>
      <c r="G76" t="s">
        <v>1536</v>
      </c>
      <c r="H76" t="s">
        <v>1545</v>
      </c>
      <c r="I76" t="s">
        <v>1546</v>
      </c>
    </row>
    <row r="77" spans="1:9" x14ac:dyDescent="0.25">
      <c r="A77" t="s">
        <v>1547</v>
      </c>
      <c r="B77" t="s">
        <v>112</v>
      </c>
      <c r="C77" t="s">
        <v>1548</v>
      </c>
      <c r="D77">
        <v>102</v>
      </c>
      <c r="E77" t="s">
        <v>1185</v>
      </c>
      <c r="F77" s="22">
        <v>2.2000000000000002</v>
      </c>
      <c r="G77" t="s">
        <v>1549</v>
      </c>
      <c r="H77" t="s">
        <v>1550</v>
      </c>
      <c r="I77" t="s">
        <v>1551</v>
      </c>
    </row>
    <row r="78" spans="1:9" x14ac:dyDescent="0.25">
      <c r="A78" t="s">
        <v>1552</v>
      </c>
      <c r="B78" t="s">
        <v>112</v>
      </c>
      <c r="C78" t="s">
        <v>1553</v>
      </c>
      <c r="D78">
        <v>107</v>
      </c>
      <c r="E78" t="s">
        <v>1185</v>
      </c>
      <c r="F78" s="22">
        <v>2.8959999999999999</v>
      </c>
      <c r="G78" t="s">
        <v>1549</v>
      </c>
      <c r="H78" t="s">
        <v>1554</v>
      </c>
      <c r="I78" t="s">
        <v>1555</v>
      </c>
    </row>
    <row r="79" spans="1:9" x14ac:dyDescent="0.25">
      <c r="A79" t="s">
        <v>1556</v>
      </c>
      <c r="B79" t="s">
        <v>1557</v>
      </c>
      <c r="C79" t="s">
        <v>1505</v>
      </c>
      <c r="D79">
        <v>95</v>
      </c>
      <c r="E79" t="s">
        <v>1185</v>
      </c>
      <c r="F79" s="22">
        <v>2.5499999999999998</v>
      </c>
      <c r="G79" t="s">
        <v>1558</v>
      </c>
      <c r="H79" t="s">
        <v>1559</v>
      </c>
      <c r="I79" t="s">
        <v>1560</v>
      </c>
    </row>
    <row r="80" spans="1:9" x14ac:dyDescent="0.25">
      <c r="A80">
        <v>5.9999999999999999E+84</v>
      </c>
      <c r="B80" t="s">
        <v>112</v>
      </c>
      <c r="C80" t="s">
        <v>1561</v>
      </c>
      <c r="D80">
        <v>36</v>
      </c>
      <c r="E80" t="s">
        <v>1185</v>
      </c>
      <c r="F80" s="22">
        <v>2.9009999999999998</v>
      </c>
      <c r="G80" t="s">
        <v>1562</v>
      </c>
      <c r="H80" t="s">
        <v>1563</v>
      </c>
      <c r="I80" t="s">
        <v>1564</v>
      </c>
    </row>
    <row r="81" spans="1:9" x14ac:dyDescent="0.25">
      <c r="A81" t="s">
        <v>1565</v>
      </c>
      <c r="B81" t="s">
        <v>112</v>
      </c>
      <c r="C81" t="s">
        <v>1566</v>
      </c>
      <c r="D81">
        <v>38</v>
      </c>
      <c r="E81" t="s">
        <v>1185</v>
      </c>
      <c r="F81" s="22">
        <v>2.35</v>
      </c>
      <c r="G81" t="s">
        <v>1567</v>
      </c>
      <c r="H81" t="s">
        <v>1568</v>
      </c>
      <c r="I81" t="s">
        <v>1569</v>
      </c>
    </row>
    <row r="82" spans="1:9" x14ac:dyDescent="0.25">
      <c r="A82" t="s">
        <v>1570</v>
      </c>
      <c r="B82" t="s">
        <v>99</v>
      </c>
      <c r="C82" t="s">
        <v>916</v>
      </c>
      <c r="D82">
        <v>36</v>
      </c>
      <c r="E82" t="s">
        <v>1185</v>
      </c>
      <c r="F82" s="22">
        <v>2.9</v>
      </c>
      <c r="G82" t="s">
        <v>1567</v>
      </c>
      <c r="H82" t="s">
        <v>1571</v>
      </c>
      <c r="I82" t="s">
        <v>1572</v>
      </c>
    </row>
    <row r="83" spans="1:9" x14ac:dyDescent="0.25">
      <c r="A83" t="s">
        <v>1573</v>
      </c>
      <c r="B83" t="s">
        <v>112</v>
      </c>
      <c r="C83" t="s">
        <v>1574</v>
      </c>
      <c r="D83">
        <v>53</v>
      </c>
      <c r="E83" t="s">
        <v>1185</v>
      </c>
      <c r="F83" s="22">
        <v>2.4990000000000001</v>
      </c>
      <c r="G83" t="s">
        <v>1575</v>
      </c>
      <c r="H83" t="s">
        <v>1576</v>
      </c>
      <c r="I83" t="s">
        <v>1577</v>
      </c>
    </row>
    <row r="84" spans="1:9" x14ac:dyDescent="0.25">
      <c r="A84" t="s">
        <v>1578</v>
      </c>
      <c r="B84" t="s">
        <v>112</v>
      </c>
      <c r="C84" t="s">
        <v>1579</v>
      </c>
      <c r="D84">
        <v>192</v>
      </c>
      <c r="E84" t="s">
        <v>1185</v>
      </c>
      <c r="F84" s="22">
        <v>2.5000361735699999</v>
      </c>
      <c r="G84" t="s">
        <v>1580</v>
      </c>
      <c r="H84" t="s">
        <v>1581</v>
      </c>
      <c r="I84" t="s">
        <v>1582</v>
      </c>
    </row>
    <row r="85" spans="1:9" x14ac:dyDescent="0.25">
      <c r="A85" t="s">
        <v>1583</v>
      </c>
      <c r="B85" t="s">
        <v>112</v>
      </c>
      <c r="C85" t="s">
        <v>1584</v>
      </c>
      <c r="D85">
        <v>31</v>
      </c>
      <c r="E85" t="s">
        <v>1185</v>
      </c>
      <c r="F85" s="22">
        <v>1.73</v>
      </c>
      <c r="G85" t="s">
        <v>1567</v>
      </c>
      <c r="H85" t="s">
        <v>1585</v>
      </c>
      <c r="I85" t="s">
        <v>1586</v>
      </c>
    </row>
    <row r="86" spans="1:9" x14ac:dyDescent="0.25">
      <c r="A86" t="s">
        <v>1587</v>
      </c>
      <c r="B86" t="s">
        <v>1519</v>
      </c>
      <c r="C86" t="s">
        <v>1588</v>
      </c>
      <c r="D86">
        <v>82</v>
      </c>
      <c r="E86" t="s">
        <v>1185</v>
      </c>
      <c r="F86" s="22">
        <v>2.0590000000000002</v>
      </c>
      <c r="G86" t="s">
        <v>1589</v>
      </c>
      <c r="H86" t="s">
        <v>1590</v>
      </c>
      <c r="I86" t="s">
        <v>1591</v>
      </c>
    </row>
    <row r="87" spans="1:9" x14ac:dyDescent="0.25">
      <c r="A87" t="s">
        <v>1592</v>
      </c>
      <c r="B87" t="s">
        <v>112</v>
      </c>
      <c r="C87" t="s">
        <v>1593</v>
      </c>
      <c r="D87">
        <v>99</v>
      </c>
      <c r="E87" t="s">
        <v>1185</v>
      </c>
      <c r="F87" s="22">
        <v>2.85</v>
      </c>
      <c r="G87" t="s">
        <v>1594</v>
      </c>
      <c r="H87" t="s">
        <v>1595</v>
      </c>
      <c r="I87" t="s">
        <v>1596</v>
      </c>
    </row>
    <row r="88" spans="1:9" x14ac:dyDescent="0.25">
      <c r="A88" t="s">
        <v>1597</v>
      </c>
      <c r="B88" t="s">
        <v>112</v>
      </c>
      <c r="C88" t="s">
        <v>1598</v>
      </c>
      <c r="D88">
        <v>126</v>
      </c>
      <c r="E88" t="s">
        <v>1185</v>
      </c>
      <c r="F88" s="22">
        <v>2.7080000000000002</v>
      </c>
      <c r="G88" t="s">
        <v>1599</v>
      </c>
      <c r="H88" t="s">
        <v>1600</v>
      </c>
      <c r="I88" t="s">
        <v>1601</v>
      </c>
    </row>
    <row r="89" spans="1:9" x14ac:dyDescent="0.25">
      <c r="A89" t="s">
        <v>1602</v>
      </c>
      <c r="B89" t="s">
        <v>96</v>
      </c>
      <c r="C89" t="s">
        <v>1603</v>
      </c>
      <c r="D89">
        <v>112</v>
      </c>
      <c r="E89" t="s">
        <v>1185</v>
      </c>
      <c r="F89" s="22">
        <v>2.74</v>
      </c>
      <c r="G89" t="s">
        <v>1604</v>
      </c>
      <c r="H89" t="s">
        <v>1605</v>
      </c>
      <c r="I89" t="s">
        <v>1606</v>
      </c>
    </row>
    <row r="90" spans="1:9" x14ac:dyDescent="0.25">
      <c r="A90" t="s">
        <v>1607</v>
      </c>
      <c r="B90" t="s">
        <v>112</v>
      </c>
      <c r="C90" t="s">
        <v>1608</v>
      </c>
      <c r="D90">
        <v>69</v>
      </c>
      <c r="E90" t="s">
        <v>1185</v>
      </c>
      <c r="F90" s="22">
        <v>2.8029999999999999</v>
      </c>
      <c r="G90" t="s">
        <v>1609</v>
      </c>
      <c r="H90" t="s">
        <v>1610</v>
      </c>
      <c r="I90" t="s">
        <v>1611</v>
      </c>
    </row>
    <row r="91" spans="1:9" x14ac:dyDescent="0.25">
      <c r="A91" t="s">
        <v>1612</v>
      </c>
      <c r="B91" t="s">
        <v>1519</v>
      </c>
      <c r="C91" t="s">
        <v>1613</v>
      </c>
      <c r="D91">
        <v>75</v>
      </c>
      <c r="E91" t="s">
        <v>1185</v>
      </c>
      <c r="F91" s="22">
        <v>2.6570336288799998</v>
      </c>
      <c r="G91" t="s">
        <v>1614</v>
      </c>
      <c r="H91" t="s">
        <v>1615</v>
      </c>
      <c r="I91" t="s">
        <v>1616</v>
      </c>
    </row>
    <row r="92" spans="1:9" x14ac:dyDescent="0.25">
      <c r="A92" t="s">
        <v>1617</v>
      </c>
      <c r="B92" t="s">
        <v>96</v>
      </c>
      <c r="C92" t="s">
        <v>1618</v>
      </c>
      <c r="D92">
        <v>37</v>
      </c>
      <c r="E92" t="s">
        <v>1185</v>
      </c>
      <c r="F92" s="22">
        <v>3</v>
      </c>
      <c r="G92" t="s">
        <v>1562</v>
      </c>
      <c r="H92" t="s">
        <v>1619</v>
      </c>
      <c r="I92" t="s">
        <v>1620</v>
      </c>
    </row>
    <row r="93" spans="1:9" x14ac:dyDescent="0.25">
      <c r="A93" t="s">
        <v>1621</v>
      </c>
      <c r="B93" t="s">
        <v>112</v>
      </c>
      <c r="C93" t="s">
        <v>518</v>
      </c>
      <c r="D93">
        <v>58</v>
      </c>
      <c r="E93" t="s">
        <v>1185</v>
      </c>
      <c r="F93" s="22">
        <v>2.71</v>
      </c>
      <c r="G93" t="s">
        <v>1622</v>
      </c>
      <c r="H93" t="s">
        <v>1623</v>
      </c>
      <c r="I93" t="s">
        <v>1624</v>
      </c>
    </row>
    <row r="94" spans="1:9" x14ac:dyDescent="0.25">
      <c r="A94" t="s">
        <v>1625</v>
      </c>
      <c r="B94" t="s">
        <v>1519</v>
      </c>
      <c r="C94" t="s">
        <v>1626</v>
      </c>
      <c r="D94">
        <v>50</v>
      </c>
      <c r="E94" t="s">
        <v>1185</v>
      </c>
      <c r="F94" s="22">
        <v>2.2999999999999998</v>
      </c>
      <c r="G94" t="s">
        <v>1589</v>
      </c>
      <c r="H94" t="s">
        <v>1627</v>
      </c>
      <c r="I94" t="s">
        <v>1628</v>
      </c>
    </row>
    <row r="95" spans="1:9" x14ac:dyDescent="0.25">
      <c r="A95" t="s">
        <v>1629</v>
      </c>
      <c r="B95" t="s">
        <v>112</v>
      </c>
      <c r="C95" t="s">
        <v>1630</v>
      </c>
      <c r="D95">
        <v>52</v>
      </c>
      <c r="E95" t="s">
        <v>1185</v>
      </c>
      <c r="F95" s="22">
        <v>2.4500000000000002</v>
      </c>
      <c r="G95" t="s">
        <v>1631</v>
      </c>
      <c r="H95" t="s">
        <v>1632</v>
      </c>
      <c r="I95" t="s">
        <v>1633</v>
      </c>
    </row>
    <row r="96" spans="1:9" x14ac:dyDescent="0.25">
      <c r="A96" t="s">
        <v>1634</v>
      </c>
      <c r="B96" t="s">
        <v>1519</v>
      </c>
      <c r="C96" t="s">
        <v>1635</v>
      </c>
      <c r="D96">
        <v>77</v>
      </c>
      <c r="E96" t="s">
        <v>1185</v>
      </c>
      <c r="F96" s="22">
        <v>2.9289999999999998</v>
      </c>
      <c r="G96" t="s">
        <v>1614</v>
      </c>
      <c r="H96" t="s">
        <v>1636</v>
      </c>
      <c r="I96" t="s">
        <v>1637</v>
      </c>
    </row>
    <row r="97" spans="1:9" x14ac:dyDescent="0.25">
      <c r="A97" t="s">
        <v>1638</v>
      </c>
      <c r="B97" t="s">
        <v>112</v>
      </c>
      <c r="C97" t="s">
        <v>1639</v>
      </c>
      <c r="D97">
        <v>77</v>
      </c>
      <c r="E97" t="s">
        <v>1185</v>
      </c>
      <c r="F97" s="22">
        <v>1.95</v>
      </c>
      <c r="G97" t="s">
        <v>1640</v>
      </c>
      <c r="H97" t="s">
        <v>1641</v>
      </c>
      <c r="I97" t="s">
        <v>1642</v>
      </c>
    </row>
    <row r="98" spans="1:9" x14ac:dyDescent="0.25">
      <c r="A98" t="s">
        <v>1643</v>
      </c>
      <c r="B98" t="s">
        <v>112</v>
      </c>
      <c r="C98" t="s">
        <v>1644</v>
      </c>
      <c r="D98">
        <v>31</v>
      </c>
      <c r="E98" t="s">
        <v>1185</v>
      </c>
      <c r="F98" s="22">
        <v>1.6</v>
      </c>
      <c r="G98" t="s">
        <v>1640</v>
      </c>
      <c r="H98" t="s">
        <v>1645</v>
      </c>
      <c r="I98" t="s">
        <v>1646</v>
      </c>
    </row>
    <row r="99" spans="1:9" x14ac:dyDescent="0.25">
      <c r="A99" t="s">
        <v>1647</v>
      </c>
      <c r="B99" t="s">
        <v>1648</v>
      </c>
      <c r="C99" t="s">
        <v>1649</v>
      </c>
      <c r="D99">
        <v>28</v>
      </c>
      <c r="E99" t="s">
        <v>1185</v>
      </c>
      <c r="F99" s="22">
        <v>2.4</v>
      </c>
      <c r="G99" t="s">
        <v>1650</v>
      </c>
      <c r="H99" t="s">
        <v>1651</v>
      </c>
      <c r="I99" t="s">
        <v>1652</v>
      </c>
    </row>
    <row r="100" spans="1:9" x14ac:dyDescent="0.25">
      <c r="A100" t="s">
        <v>1653</v>
      </c>
      <c r="B100" t="s">
        <v>1654</v>
      </c>
      <c r="C100" t="s">
        <v>1655</v>
      </c>
      <c r="D100">
        <v>35</v>
      </c>
      <c r="E100" t="s">
        <v>1185</v>
      </c>
      <c r="F100" s="22">
        <v>1.7</v>
      </c>
      <c r="G100" t="s">
        <v>1656</v>
      </c>
      <c r="H100" t="s">
        <v>1657</v>
      </c>
      <c r="I100" t="s">
        <v>1658</v>
      </c>
    </row>
    <row r="101" spans="1:9" x14ac:dyDescent="0.25">
      <c r="A101" t="s">
        <v>1659</v>
      </c>
      <c r="B101" t="s">
        <v>112</v>
      </c>
      <c r="C101" t="s">
        <v>1660</v>
      </c>
      <c r="D101">
        <v>51</v>
      </c>
      <c r="E101" t="s">
        <v>1185</v>
      </c>
      <c r="F101" s="22">
        <v>2.391</v>
      </c>
      <c r="G101" t="s">
        <v>1661</v>
      </c>
      <c r="H101" t="s">
        <v>1662</v>
      </c>
      <c r="I101" t="s">
        <v>1663</v>
      </c>
    </row>
    <row r="102" spans="1:9" x14ac:dyDescent="0.25">
      <c r="A102" t="s">
        <v>1664</v>
      </c>
      <c r="B102" t="s">
        <v>112</v>
      </c>
      <c r="C102" t="s">
        <v>1665</v>
      </c>
      <c r="D102">
        <v>50</v>
      </c>
      <c r="E102" t="s">
        <v>1185</v>
      </c>
      <c r="F102" s="22">
        <v>2.4889999999999999</v>
      </c>
      <c r="G102" t="s">
        <v>1661</v>
      </c>
      <c r="H102" t="s">
        <v>1666</v>
      </c>
      <c r="I102" t="s">
        <v>1667</v>
      </c>
    </row>
    <row r="103" spans="1:9" x14ac:dyDescent="0.25">
      <c r="A103" t="s">
        <v>1668</v>
      </c>
      <c r="B103" t="s">
        <v>112</v>
      </c>
      <c r="C103" t="s">
        <v>1669</v>
      </c>
      <c r="D103">
        <v>33</v>
      </c>
      <c r="E103" t="s">
        <v>1185</v>
      </c>
      <c r="F103" s="22">
        <v>2.8</v>
      </c>
      <c r="G103" t="s">
        <v>1670</v>
      </c>
      <c r="H103" t="s">
        <v>1671</v>
      </c>
      <c r="I103" t="s">
        <v>1672</v>
      </c>
    </row>
    <row r="104" spans="1:9" x14ac:dyDescent="0.25">
      <c r="A104" t="s">
        <v>1673</v>
      </c>
      <c r="B104" t="s">
        <v>112</v>
      </c>
      <c r="C104" t="s">
        <v>1674</v>
      </c>
      <c r="D104">
        <v>45</v>
      </c>
      <c r="E104" t="s">
        <v>1185</v>
      </c>
      <c r="F104" s="22">
        <v>2.66</v>
      </c>
      <c r="G104" t="s">
        <v>1675</v>
      </c>
      <c r="H104" t="s">
        <v>1676</v>
      </c>
      <c r="I104" t="s">
        <v>1677</v>
      </c>
    </row>
    <row r="105" spans="1:9" x14ac:dyDescent="0.25">
      <c r="A105" t="s">
        <v>1678</v>
      </c>
      <c r="B105" t="s">
        <v>112</v>
      </c>
      <c r="C105" t="s">
        <v>1679</v>
      </c>
      <c r="D105">
        <v>48</v>
      </c>
      <c r="E105" t="s">
        <v>1185</v>
      </c>
      <c r="F105" s="22">
        <v>2.2999999999999998</v>
      </c>
      <c r="G105" t="s">
        <v>1680</v>
      </c>
      <c r="H105" t="s">
        <v>1681</v>
      </c>
      <c r="I105" t="s">
        <v>1682</v>
      </c>
    </row>
    <row r="106" spans="1:9" x14ac:dyDescent="0.25">
      <c r="A106" t="s">
        <v>1683</v>
      </c>
      <c r="B106" t="s">
        <v>112</v>
      </c>
      <c r="C106" t="s">
        <v>1684</v>
      </c>
      <c r="D106">
        <v>76</v>
      </c>
      <c r="E106" t="s">
        <v>1185</v>
      </c>
      <c r="F106" s="22">
        <v>2.0430000000000001</v>
      </c>
      <c r="G106" t="s">
        <v>1685</v>
      </c>
      <c r="H106" t="s">
        <v>1686</v>
      </c>
      <c r="I106" t="s">
        <v>1687</v>
      </c>
    </row>
    <row r="107" spans="1:9" x14ac:dyDescent="0.25">
      <c r="A107" t="s">
        <v>1688</v>
      </c>
      <c r="B107" t="s">
        <v>1519</v>
      </c>
      <c r="C107" t="s">
        <v>1689</v>
      </c>
      <c r="D107">
        <v>51</v>
      </c>
      <c r="E107" t="s">
        <v>1185</v>
      </c>
      <c r="F107" s="22">
        <v>2.6040000000000001</v>
      </c>
      <c r="G107" t="s">
        <v>1690</v>
      </c>
      <c r="H107" t="s">
        <v>1691</v>
      </c>
      <c r="I107" t="s">
        <v>1692</v>
      </c>
    </row>
    <row r="108" spans="1:9" x14ac:dyDescent="0.25">
      <c r="A108" t="s">
        <v>1693</v>
      </c>
      <c r="B108" t="s">
        <v>112</v>
      </c>
      <c r="C108" t="s">
        <v>1694</v>
      </c>
      <c r="D108">
        <v>51</v>
      </c>
      <c r="E108" t="s">
        <v>1185</v>
      </c>
      <c r="F108" s="22">
        <v>2.16</v>
      </c>
      <c r="G108" t="s">
        <v>1695</v>
      </c>
      <c r="H108" t="s">
        <v>1696</v>
      </c>
      <c r="I108" t="s">
        <v>1697</v>
      </c>
    </row>
    <row r="109" spans="1:9" x14ac:dyDescent="0.25">
      <c r="A109" t="s">
        <v>1698</v>
      </c>
      <c r="B109" t="s">
        <v>112</v>
      </c>
      <c r="C109" t="s">
        <v>1699</v>
      </c>
      <c r="D109">
        <v>90</v>
      </c>
      <c r="E109" t="s">
        <v>1185</v>
      </c>
      <c r="F109" s="22">
        <v>2.1</v>
      </c>
      <c r="G109" t="s">
        <v>1700</v>
      </c>
      <c r="H109" t="s">
        <v>1701</v>
      </c>
      <c r="I109" t="s">
        <v>1702</v>
      </c>
    </row>
    <row r="110" spans="1:9" x14ac:dyDescent="0.25">
      <c r="A110" t="s">
        <v>1703</v>
      </c>
      <c r="B110" t="s">
        <v>117</v>
      </c>
      <c r="C110" t="s">
        <v>1704</v>
      </c>
      <c r="D110">
        <v>83</v>
      </c>
      <c r="E110" t="s">
        <v>1185</v>
      </c>
      <c r="F110" s="22">
        <v>2.73</v>
      </c>
      <c r="G110" t="s">
        <v>1685</v>
      </c>
      <c r="H110" t="s">
        <v>1705</v>
      </c>
      <c r="I110" t="s">
        <v>1706</v>
      </c>
    </row>
    <row r="111" spans="1:9" x14ac:dyDescent="0.25">
      <c r="A111" t="s">
        <v>1707</v>
      </c>
      <c r="B111" t="s">
        <v>112</v>
      </c>
      <c r="C111" t="s">
        <v>1708</v>
      </c>
      <c r="D111">
        <v>66</v>
      </c>
      <c r="E111" t="s">
        <v>1185</v>
      </c>
      <c r="F111" s="22">
        <v>1.31</v>
      </c>
      <c r="G111" t="s">
        <v>1709</v>
      </c>
      <c r="H111" t="s">
        <v>1710</v>
      </c>
      <c r="I111" t="s">
        <v>1711</v>
      </c>
    </row>
    <row r="112" spans="1:9" x14ac:dyDescent="0.25">
      <c r="A112" t="s">
        <v>1712</v>
      </c>
      <c r="B112" t="s">
        <v>1713</v>
      </c>
      <c r="C112" t="s">
        <v>1714</v>
      </c>
      <c r="D112">
        <v>128</v>
      </c>
      <c r="E112" t="s">
        <v>1185</v>
      </c>
      <c r="F112" s="22">
        <v>2.7</v>
      </c>
      <c r="G112" t="s">
        <v>1715</v>
      </c>
      <c r="H112" t="s">
        <v>1716</v>
      </c>
      <c r="I112" t="s">
        <v>1717</v>
      </c>
    </row>
    <row r="113" spans="1:9" x14ac:dyDescent="0.25">
      <c r="A113" t="s">
        <v>1718</v>
      </c>
      <c r="B113" t="s">
        <v>112</v>
      </c>
      <c r="C113" t="s">
        <v>1719</v>
      </c>
      <c r="D113">
        <v>52</v>
      </c>
      <c r="E113" t="s">
        <v>1185</v>
      </c>
      <c r="F113" s="22">
        <v>2.8</v>
      </c>
      <c r="G113" t="s">
        <v>1720</v>
      </c>
      <c r="H113" t="s">
        <v>1721</v>
      </c>
      <c r="I113" t="s">
        <v>1722</v>
      </c>
    </row>
    <row r="114" spans="1:9" x14ac:dyDescent="0.25">
      <c r="A114" t="s">
        <v>1723</v>
      </c>
      <c r="B114" t="s">
        <v>117</v>
      </c>
      <c r="C114" t="s">
        <v>1724</v>
      </c>
      <c r="D114">
        <v>86</v>
      </c>
      <c r="E114" t="s">
        <v>1185</v>
      </c>
      <c r="F114" s="22">
        <v>2.9510000000000001</v>
      </c>
      <c r="G114" t="s">
        <v>1725</v>
      </c>
      <c r="H114" t="s">
        <v>1726</v>
      </c>
      <c r="I114" t="s">
        <v>1727</v>
      </c>
    </row>
    <row r="115" spans="1:9" x14ac:dyDescent="0.25">
      <c r="A115" t="s">
        <v>1728</v>
      </c>
      <c r="B115" t="s">
        <v>1729</v>
      </c>
      <c r="C115" t="s">
        <v>1730</v>
      </c>
      <c r="D115">
        <v>90</v>
      </c>
      <c r="E115" t="s">
        <v>1731</v>
      </c>
      <c r="F115" s="22">
        <v>2.6</v>
      </c>
      <c r="G115" t="s">
        <v>1732</v>
      </c>
      <c r="H115" t="s">
        <v>1733</v>
      </c>
      <c r="I115" t="s">
        <v>1734</v>
      </c>
    </row>
    <row r="116" spans="1:9" x14ac:dyDescent="0.25">
      <c r="A116" t="s">
        <v>1735</v>
      </c>
      <c r="B116" t="s">
        <v>112</v>
      </c>
      <c r="C116" t="s">
        <v>1324</v>
      </c>
      <c r="D116">
        <v>68</v>
      </c>
      <c r="E116" t="s">
        <v>1185</v>
      </c>
      <c r="F116" s="22">
        <v>2.2999999999999998</v>
      </c>
      <c r="G116" t="s">
        <v>1736</v>
      </c>
      <c r="H116" t="s">
        <v>1737</v>
      </c>
      <c r="I116" t="s">
        <v>1738</v>
      </c>
    </row>
    <row r="117" spans="1:9" x14ac:dyDescent="0.25">
      <c r="A117" t="s">
        <v>1739</v>
      </c>
      <c r="B117" t="s">
        <v>1309</v>
      </c>
      <c r="C117" t="s">
        <v>1694</v>
      </c>
      <c r="D117">
        <v>50</v>
      </c>
      <c r="E117" t="s">
        <v>1185</v>
      </c>
      <c r="F117" s="22">
        <v>2.9</v>
      </c>
      <c r="G117" t="s">
        <v>1740</v>
      </c>
      <c r="H117" t="s">
        <v>1741</v>
      </c>
      <c r="I117" t="s">
        <v>1742</v>
      </c>
    </row>
    <row r="118" spans="1:9" x14ac:dyDescent="0.25">
      <c r="A118" t="s">
        <v>1743</v>
      </c>
      <c r="B118" t="s">
        <v>112</v>
      </c>
      <c r="C118" t="s">
        <v>1744</v>
      </c>
      <c r="D118">
        <v>33</v>
      </c>
      <c r="E118" t="s">
        <v>1185</v>
      </c>
      <c r="F118" s="22">
        <v>1.44</v>
      </c>
      <c r="G118" t="s">
        <v>1745</v>
      </c>
      <c r="H118" t="s">
        <v>1746</v>
      </c>
      <c r="I118" t="s">
        <v>1747</v>
      </c>
    </row>
    <row r="119" spans="1:9" x14ac:dyDescent="0.25">
      <c r="A119" t="s">
        <v>1748</v>
      </c>
      <c r="B119" t="s">
        <v>1519</v>
      </c>
      <c r="C119" t="s">
        <v>1749</v>
      </c>
      <c r="D119">
        <v>49</v>
      </c>
      <c r="E119" t="s">
        <v>1185</v>
      </c>
      <c r="F119" s="22">
        <v>1.95</v>
      </c>
      <c r="G119" t="s">
        <v>1750</v>
      </c>
      <c r="H119" t="s">
        <v>1751</v>
      </c>
      <c r="I119" t="s">
        <v>1752</v>
      </c>
    </row>
    <row r="120" spans="1:9" x14ac:dyDescent="0.25">
      <c r="A120" t="s">
        <v>1753</v>
      </c>
      <c r="B120" t="s">
        <v>1519</v>
      </c>
      <c r="C120" t="s">
        <v>1749</v>
      </c>
      <c r="D120">
        <v>49</v>
      </c>
      <c r="E120" t="s">
        <v>1185</v>
      </c>
      <c r="F120" s="22">
        <v>2.85</v>
      </c>
      <c r="G120" t="s">
        <v>1750</v>
      </c>
      <c r="H120" t="s">
        <v>1754</v>
      </c>
      <c r="I120" t="s">
        <v>1755</v>
      </c>
    </row>
    <row r="121" spans="1:9" x14ac:dyDescent="0.25">
      <c r="A121" t="s">
        <v>1756</v>
      </c>
      <c r="B121" t="s">
        <v>112</v>
      </c>
      <c r="C121" t="s">
        <v>1757</v>
      </c>
      <c r="D121">
        <v>30</v>
      </c>
      <c r="E121" t="s">
        <v>1185</v>
      </c>
      <c r="F121" s="22">
        <v>2.2999999999999998</v>
      </c>
      <c r="G121" t="s">
        <v>1758</v>
      </c>
      <c r="H121" t="s">
        <v>1759</v>
      </c>
      <c r="I121" t="s">
        <v>1760</v>
      </c>
    </row>
    <row r="122" spans="1:9" x14ac:dyDescent="0.25">
      <c r="A122" t="s">
        <v>1761</v>
      </c>
      <c r="B122" t="s">
        <v>112</v>
      </c>
      <c r="C122" t="s">
        <v>1762</v>
      </c>
      <c r="D122">
        <v>55</v>
      </c>
      <c r="E122" t="s">
        <v>1185</v>
      </c>
      <c r="F122" s="22">
        <v>2.2999999999999998</v>
      </c>
      <c r="G122" t="s">
        <v>1763</v>
      </c>
      <c r="H122" t="s">
        <v>1764</v>
      </c>
      <c r="I122" t="s">
        <v>1765</v>
      </c>
    </row>
    <row r="123" spans="1:9" x14ac:dyDescent="0.25">
      <c r="A123" t="s">
        <v>1766</v>
      </c>
      <c r="B123" t="s">
        <v>1519</v>
      </c>
      <c r="C123" t="s">
        <v>1561</v>
      </c>
      <c r="D123">
        <v>35</v>
      </c>
      <c r="E123" t="s">
        <v>1185</v>
      </c>
      <c r="F123" s="22">
        <v>1.59</v>
      </c>
      <c r="G123" t="s">
        <v>1767</v>
      </c>
      <c r="H123" t="s">
        <v>1768</v>
      </c>
      <c r="I123" t="s">
        <v>1769</v>
      </c>
    </row>
    <row r="124" spans="1:9" x14ac:dyDescent="0.25">
      <c r="A124" t="s">
        <v>1770</v>
      </c>
      <c r="B124" t="s">
        <v>112</v>
      </c>
      <c r="C124" t="s">
        <v>1771</v>
      </c>
      <c r="D124">
        <v>46</v>
      </c>
      <c r="E124" t="s">
        <v>1185</v>
      </c>
      <c r="F124" s="22">
        <v>1.94</v>
      </c>
      <c r="G124" t="s">
        <v>1772</v>
      </c>
      <c r="H124" t="s">
        <v>1773</v>
      </c>
      <c r="I124" t="s">
        <v>1774</v>
      </c>
    </row>
    <row r="125" spans="1:9" x14ac:dyDescent="0.25">
      <c r="A125" t="s">
        <v>1775</v>
      </c>
      <c r="B125" t="s">
        <v>112</v>
      </c>
      <c r="C125" t="s">
        <v>1776</v>
      </c>
      <c r="D125">
        <v>56</v>
      </c>
      <c r="E125" t="s">
        <v>1185</v>
      </c>
      <c r="F125" s="22">
        <v>2.4300000000000002</v>
      </c>
      <c r="G125" t="s">
        <v>1777</v>
      </c>
      <c r="H125" t="s">
        <v>1778</v>
      </c>
      <c r="I125" t="s">
        <v>1779</v>
      </c>
    </row>
    <row r="126" spans="1:9" x14ac:dyDescent="0.25">
      <c r="A126" t="s">
        <v>1780</v>
      </c>
      <c r="B126" t="s">
        <v>112</v>
      </c>
      <c r="C126" t="s">
        <v>1749</v>
      </c>
      <c r="D126">
        <v>49</v>
      </c>
      <c r="E126" t="s">
        <v>1185</v>
      </c>
      <c r="F126" s="22">
        <v>2.2400000000000002</v>
      </c>
      <c r="G126" t="s">
        <v>1781</v>
      </c>
      <c r="H126" t="s">
        <v>1782</v>
      </c>
      <c r="I126" t="s">
        <v>1783</v>
      </c>
    </row>
    <row r="127" spans="1:9" x14ac:dyDescent="0.25">
      <c r="A127" t="s">
        <v>1784</v>
      </c>
      <c r="B127" t="s">
        <v>112</v>
      </c>
      <c r="C127" t="s">
        <v>1776</v>
      </c>
      <c r="D127">
        <v>56</v>
      </c>
      <c r="E127" t="s">
        <v>1185</v>
      </c>
      <c r="F127" s="22">
        <v>2.95</v>
      </c>
      <c r="G127" t="s">
        <v>1785</v>
      </c>
      <c r="H127" t="s">
        <v>1786</v>
      </c>
      <c r="I127" t="s">
        <v>1787</v>
      </c>
    </row>
    <row r="128" spans="1:9" x14ac:dyDescent="0.25">
      <c r="A128" t="s">
        <v>1788</v>
      </c>
      <c r="B128" t="s">
        <v>112</v>
      </c>
      <c r="C128" t="s">
        <v>1789</v>
      </c>
      <c r="D128">
        <v>72</v>
      </c>
      <c r="E128" t="s">
        <v>1185</v>
      </c>
      <c r="F128" s="22">
        <v>2.11</v>
      </c>
      <c r="G128" t="s">
        <v>1790</v>
      </c>
      <c r="H128" t="s">
        <v>1791</v>
      </c>
      <c r="I128" t="s">
        <v>1792</v>
      </c>
    </row>
    <row r="129" spans="1:9" x14ac:dyDescent="0.25">
      <c r="A129" t="s">
        <v>1793</v>
      </c>
      <c r="B129" t="s">
        <v>1519</v>
      </c>
      <c r="C129" t="s">
        <v>1794</v>
      </c>
      <c r="D129">
        <v>210</v>
      </c>
      <c r="E129" t="s">
        <v>1731</v>
      </c>
      <c r="F129" s="22">
        <v>3</v>
      </c>
      <c r="G129" t="s">
        <v>1795</v>
      </c>
      <c r="H129" t="s">
        <v>1796</v>
      </c>
      <c r="I129" t="s">
        <v>1797</v>
      </c>
    </row>
    <row r="130" spans="1:9" x14ac:dyDescent="0.25">
      <c r="A130" t="s">
        <v>1798</v>
      </c>
      <c r="B130" t="s">
        <v>96</v>
      </c>
      <c r="C130" t="s">
        <v>1799</v>
      </c>
      <c r="D130">
        <v>153</v>
      </c>
      <c r="E130" t="s">
        <v>1185</v>
      </c>
      <c r="F130" s="22">
        <v>2.92</v>
      </c>
      <c r="G130" t="s">
        <v>1800</v>
      </c>
      <c r="H130" t="s">
        <v>1801</v>
      </c>
      <c r="I130" t="s">
        <v>1802</v>
      </c>
    </row>
    <row r="131" spans="1:9" x14ac:dyDescent="0.25">
      <c r="A131" t="s">
        <v>1803</v>
      </c>
      <c r="B131" t="s">
        <v>112</v>
      </c>
      <c r="C131" t="s">
        <v>1804</v>
      </c>
      <c r="D131">
        <v>124</v>
      </c>
      <c r="E131" t="s">
        <v>1731</v>
      </c>
      <c r="F131" s="22">
        <v>2.98</v>
      </c>
      <c r="G131" t="s">
        <v>1790</v>
      </c>
      <c r="H131" t="s">
        <v>1805</v>
      </c>
      <c r="I131" t="s">
        <v>1806</v>
      </c>
    </row>
    <row r="132" spans="1:9" x14ac:dyDescent="0.25">
      <c r="A132" t="s">
        <v>1807</v>
      </c>
      <c r="B132" t="s">
        <v>112</v>
      </c>
      <c r="C132" t="s">
        <v>1808</v>
      </c>
      <c r="D132">
        <v>36</v>
      </c>
      <c r="E132" t="s">
        <v>1185</v>
      </c>
      <c r="F132" s="22">
        <v>1.7</v>
      </c>
      <c r="G132" t="s">
        <v>1772</v>
      </c>
      <c r="H132" t="s">
        <v>1809</v>
      </c>
      <c r="I132" t="s">
        <v>1810</v>
      </c>
    </row>
    <row r="133" spans="1:9" x14ac:dyDescent="0.25">
      <c r="A133" t="s">
        <v>1811</v>
      </c>
      <c r="B133" t="s">
        <v>112</v>
      </c>
      <c r="C133" t="s">
        <v>1812</v>
      </c>
      <c r="D133">
        <v>36</v>
      </c>
      <c r="E133" t="s">
        <v>1185</v>
      </c>
      <c r="F133" s="22">
        <v>2.5</v>
      </c>
      <c r="G133" t="s">
        <v>1772</v>
      </c>
      <c r="H133" t="s">
        <v>1813</v>
      </c>
      <c r="I133" t="s">
        <v>1814</v>
      </c>
    </row>
    <row r="134" spans="1:9" x14ac:dyDescent="0.25">
      <c r="A134" t="s">
        <v>1815</v>
      </c>
      <c r="B134" t="s">
        <v>112</v>
      </c>
      <c r="C134" t="s">
        <v>1816</v>
      </c>
      <c r="D134">
        <v>134</v>
      </c>
      <c r="E134" t="s">
        <v>1185</v>
      </c>
      <c r="F134" s="22">
        <v>2.85</v>
      </c>
      <c r="G134" t="s">
        <v>1817</v>
      </c>
      <c r="H134" t="s">
        <v>1818</v>
      </c>
      <c r="I134" t="s">
        <v>1819</v>
      </c>
    </row>
    <row r="135" spans="1:9" x14ac:dyDescent="0.25">
      <c r="A135" t="s">
        <v>1820</v>
      </c>
      <c r="B135" t="s">
        <v>112</v>
      </c>
      <c r="C135" t="s">
        <v>1509</v>
      </c>
      <c r="D135">
        <v>71</v>
      </c>
      <c r="E135" t="s">
        <v>1731</v>
      </c>
      <c r="F135" s="22">
        <v>2.8</v>
      </c>
      <c r="G135" t="s">
        <v>1821</v>
      </c>
      <c r="H135" t="s">
        <v>1822</v>
      </c>
      <c r="I135" t="s">
        <v>1823</v>
      </c>
    </row>
    <row r="136" spans="1:9" x14ac:dyDescent="0.25">
      <c r="A136" t="s">
        <v>1824</v>
      </c>
      <c r="B136" t="s">
        <v>96</v>
      </c>
      <c r="C136" t="s">
        <v>1789</v>
      </c>
      <c r="D136">
        <v>72</v>
      </c>
      <c r="E136" t="s">
        <v>1731</v>
      </c>
      <c r="F136" s="22">
        <v>2.8</v>
      </c>
      <c r="G136" t="s">
        <v>1825</v>
      </c>
      <c r="H136" t="s">
        <v>1826</v>
      </c>
      <c r="I136" t="s">
        <v>1827</v>
      </c>
    </row>
    <row r="137" spans="1:9" x14ac:dyDescent="0.25">
      <c r="A137" t="s">
        <v>1828</v>
      </c>
      <c r="B137" t="s">
        <v>112</v>
      </c>
      <c r="C137" t="s">
        <v>1829</v>
      </c>
      <c r="D137">
        <v>75</v>
      </c>
      <c r="E137" t="s">
        <v>1185</v>
      </c>
      <c r="F137" s="22">
        <v>2.89</v>
      </c>
      <c r="G137" t="s">
        <v>1830</v>
      </c>
      <c r="H137" t="s">
        <v>1831</v>
      </c>
      <c r="I137" t="s">
        <v>1832</v>
      </c>
    </row>
    <row r="138" spans="1:9" x14ac:dyDescent="0.25">
      <c r="A138" t="s">
        <v>1833</v>
      </c>
      <c r="B138" t="s">
        <v>112</v>
      </c>
      <c r="C138" t="s">
        <v>1834</v>
      </c>
      <c r="D138">
        <v>60</v>
      </c>
      <c r="E138" t="s">
        <v>1185</v>
      </c>
      <c r="F138" s="22">
        <v>2.69</v>
      </c>
      <c r="G138" t="s">
        <v>1835</v>
      </c>
      <c r="H138" t="s">
        <v>1836</v>
      </c>
      <c r="I138" t="s">
        <v>1837</v>
      </c>
    </row>
    <row r="139" spans="1:9" x14ac:dyDescent="0.25">
      <c r="A139" t="s">
        <v>1838</v>
      </c>
      <c r="B139" t="s">
        <v>112</v>
      </c>
      <c r="C139" t="s">
        <v>1839</v>
      </c>
      <c r="D139">
        <v>36</v>
      </c>
      <c r="E139" t="s">
        <v>1185</v>
      </c>
      <c r="F139" s="22">
        <v>3</v>
      </c>
      <c r="G139" t="s">
        <v>1790</v>
      </c>
      <c r="H139" t="s">
        <v>1840</v>
      </c>
      <c r="I139" t="s">
        <v>1841</v>
      </c>
    </row>
    <row r="140" spans="1:9" x14ac:dyDescent="0.25">
      <c r="A140" t="s">
        <v>1842</v>
      </c>
      <c r="B140" t="s">
        <v>112</v>
      </c>
      <c r="C140" t="s">
        <v>1843</v>
      </c>
      <c r="D140">
        <v>53</v>
      </c>
      <c r="E140" t="s">
        <v>1185</v>
      </c>
      <c r="F140" s="22">
        <v>1.83</v>
      </c>
      <c r="G140" t="s">
        <v>1835</v>
      </c>
      <c r="H140" t="s">
        <v>1844</v>
      </c>
      <c r="I140" t="s">
        <v>1845</v>
      </c>
    </row>
    <row r="141" spans="1:9" x14ac:dyDescent="0.25">
      <c r="A141" t="s">
        <v>1846</v>
      </c>
      <c r="B141" t="s">
        <v>1519</v>
      </c>
      <c r="C141" t="s">
        <v>1847</v>
      </c>
      <c r="D141">
        <v>41</v>
      </c>
      <c r="E141" t="s">
        <v>1185</v>
      </c>
      <c r="F141" s="22">
        <v>2.71</v>
      </c>
      <c r="G141" t="s">
        <v>1848</v>
      </c>
      <c r="H141" t="s">
        <v>1849</v>
      </c>
      <c r="I141" t="s">
        <v>1850</v>
      </c>
    </row>
    <row r="142" spans="1:9" x14ac:dyDescent="0.25">
      <c r="A142" t="s">
        <v>1851</v>
      </c>
      <c r="B142" t="s">
        <v>112</v>
      </c>
      <c r="C142" t="s">
        <v>1852</v>
      </c>
      <c r="D142">
        <v>48</v>
      </c>
      <c r="E142" t="s">
        <v>1185</v>
      </c>
      <c r="F142" s="22">
        <v>2.1</v>
      </c>
      <c r="G142" t="s">
        <v>1817</v>
      </c>
      <c r="H142" t="s">
        <v>1853</v>
      </c>
      <c r="I142" t="s">
        <v>1854</v>
      </c>
    </row>
    <row r="143" spans="1:9" x14ac:dyDescent="0.25">
      <c r="A143" t="s">
        <v>1855</v>
      </c>
      <c r="B143" t="s">
        <v>1519</v>
      </c>
      <c r="C143" t="s">
        <v>1441</v>
      </c>
      <c r="D143">
        <v>89</v>
      </c>
      <c r="E143" t="s">
        <v>1185</v>
      </c>
      <c r="F143" s="22">
        <v>2.8</v>
      </c>
      <c r="G143" t="s">
        <v>1856</v>
      </c>
      <c r="H143" t="s">
        <v>1857</v>
      </c>
      <c r="I143" t="s">
        <v>1858</v>
      </c>
    </row>
    <row r="144" spans="1:9" x14ac:dyDescent="0.25">
      <c r="A144" t="s">
        <v>1859</v>
      </c>
      <c r="B144" t="s">
        <v>112</v>
      </c>
      <c r="C144" t="s">
        <v>1860</v>
      </c>
      <c r="D144">
        <v>417</v>
      </c>
      <c r="E144" t="s">
        <v>1731</v>
      </c>
      <c r="F144" s="22">
        <v>2.56</v>
      </c>
      <c r="G144" t="s">
        <v>1861</v>
      </c>
      <c r="H144" t="s">
        <v>1862</v>
      </c>
      <c r="I144" t="s">
        <v>1863</v>
      </c>
    </row>
    <row r="145" spans="1:9" x14ac:dyDescent="0.25">
      <c r="A145" t="s">
        <v>1864</v>
      </c>
      <c r="B145" t="s">
        <v>1865</v>
      </c>
      <c r="C145" t="s">
        <v>1866</v>
      </c>
      <c r="D145">
        <v>387</v>
      </c>
      <c r="E145" t="s">
        <v>1731</v>
      </c>
      <c r="F145" s="22">
        <v>2.2000000000000002</v>
      </c>
      <c r="G145" t="s">
        <v>1867</v>
      </c>
      <c r="H145" t="s">
        <v>1868</v>
      </c>
      <c r="I145" t="s">
        <v>1869</v>
      </c>
    </row>
    <row r="146" spans="1:9" x14ac:dyDescent="0.25">
      <c r="A146" t="s">
        <v>1870</v>
      </c>
      <c r="B146" t="s">
        <v>112</v>
      </c>
      <c r="C146" t="s">
        <v>1871</v>
      </c>
      <c r="D146">
        <v>57</v>
      </c>
      <c r="E146" t="s">
        <v>1185</v>
      </c>
      <c r="F146" s="22">
        <v>2.35</v>
      </c>
      <c r="G146" t="s">
        <v>1872</v>
      </c>
      <c r="H146" t="s">
        <v>1873</v>
      </c>
      <c r="I146" t="s">
        <v>1874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0C2A-C88D-4E37-8E5D-79C1BAAABD0C}">
  <dimension ref="A1:AMJ78"/>
  <sheetViews>
    <sheetView tabSelected="1" topLeftCell="A46" zoomScale="70" zoomScaleNormal="70" workbookViewId="0">
      <selection activeCell="F46" sqref="F46"/>
    </sheetView>
  </sheetViews>
  <sheetFormatPr defaultColWidth="11.5546875" defaultRowHeight="15" x14ac:dyDescent="0.25"/>
  <cols>
    <col min="1" max="1024" width="11.5546875" style="7"/>
    <col min="1025" max="16384" width="11.5546875" style="8"/>
  </cols>
  <sheetData>
    <row r="1" spans="1:30" s="20" customFormat="1" ht="54" customHeight="1" x14ac:dyDescent="0.3">
      <c r="A1" s="49" t="s">
        <v>1927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s="7" customFormat="1" ht="17.399999999999999" x14ac:dyDescent="0.3">
      <c r="A2" s="12" t="s">
        <v>1875</v>
      </c>
      <c r="B2" s="12">
        <v>12686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s="13" customFormat="1" ht="17.399999999999999" x14ac:dyDescent="0.3">
      <c r="A3" s="12" t="s">
        <v>25</v>
      </c>
      <c r="B3" s="13" t="s">
        <v>2</v>
      </c>
      <c r="C3" s="13" t="s">
        <v>3</v>
      </c>
      <c r="D3" s="13" t="s">
        <v>4</v>
      </c>
      <c r="E3" s="13" t="s">
        <v>3</v>
      </c>
      <c r="F3" s="13" t="s">
        <v>3</v>
      </c>
      <c r="G3" s="13" t="s">
        <v>6</v>
      </c>
      <c r="H3" s="13" t="s">
        <v>6</v>
      </c>
      <c r="I3" s="13" t="s">
        <v>6</v>
      </c>
      <c r="J3" s="13" t="s">
        <v>22</v>
      </c>
      <c r="K3" s="13" t="s">
        <v>1139</v>
      </c>
      <c r="L3" s="13" t="s">
        <v>1137</v>
      </c>
      <c r="M3" s="13" t="s">
        <v>1143</v>
      </c>
      <c r="N3" s="13" t="s">
        <v>1143</v>
      </c>
      <c r="O3" s="13" t="s">
        <v>20</v>
      </c>
      <c r="P3" s="13" t="s">
        <v>20</v>
      </c>
      <c r="Q3" s="13" t="s">
        <v>20</v>
      </c>
      <c r="R3" s="13" t="s">
        <v>38</v>
      </c>
      <c r="S3" s="13" t="s">
        <v>8</v>
      </c>
      <c r="T3" s="13" t="s">
        <v>8</v>
      </c>
      <c r="U3" s="13" t="s">
        <v>8</v>
      </c>
      <c r="V3" s="13" t="s">
        <v>8</v>
      </c>
      <c r="W3" s="13" t="s">
        <v>8</v>
      </c>
      <c r="X3" s="13" t="s">
        <v>8</v>
      </c>
      <c r="Y3" s="13" t="s">
        <v>8</v>
      </c>
      <c r="Z3" s="13" t="s">
        <v>8</v>
      </c>
      <c r="AA3" s="13" t="s">
        <v>8</v>
      </c>
      <c r="AB3" s="13" t="s">
        <v>8</v>
      </c>
      <c r="AC3" s="13" t="s">
        <v>13</v>
      </c>
      <c r="AD3" s="13" t="s">
        <v>13</v>
      </c>
    </row>
    <row r="4" spans="1:30" s="7" customFormat="1" ht="17.399999999999999" x14ac:dyDescent="0.3">
      <c r="A4" s="12" t="s">
        <v>0</v>
      </c>
      <c r="B4" s="12" t="s">
        <v>1</v>
      </c>
      <c r="C4" s="12" t="s">
        <v>29</v>
      </c>
      <c r="D4" s="12" t="s">
        <v>1140</v>
      </c>
      <c r="E4" s="12" t="s">
        <v>14</v>
      </c>
      <c r="F4" s="12" t="s">
        <v>18</v>
      </c>
      <c r="G4" s="12" t="s">
        <v>5</v>
      </c>
      <c r="H4" s="12" t="s">
        <v>1141</v>
      </c>
      <c r="I4" s="12" t="s">
        <v>1174</v>
      </c>
      <c r="J4" s="12" t="s">
        <v>21</v>
      </c>
      <c r="K4" s="12" t="s">
        <v>1138</v>
      </c>
      <c r="L4" s="12" t="s">
        <v>1136</v>
      </c>
      <c r="M4" s="12" t="s">
        <v>1142</v>
      </c>
      <c r="N4" s="12" t="s">
        <v>1148</v>
      </c>
      <c r="O4" s="12" t="s">
        <v>1144</v>
      </c>
      <c r="P4" s="12" t="s">
        <v>1149</v>
      </c>
      <c r="Q4" s="12" t="s">
        <v>1145</v>
      </c>
      <c r="R4" s="12" t="s">
        <v>37</v>
      </c>
      <c r="S4" s="12" t="s">
        <v>9</v>
      </c>
      <c r="T4" s="12" t="s">
        <v>19</v>
      </c>
      <c r="U4" s="12" t="s">
        <v>15</v>
      </c>
      <c r="V4" s="12" t="s">
        <v>17</v>
      </c>
      <c r="W4" s="12" t="s">
        <v>11</v>
      </c>
      <c r="X4" s="12" t="s">
        <v>7</v>
      </c>
      <c r="Y4" s="12" t="s">
        <v>1147</v>
      </c>
      <c r="Z4" s="12" t="s">
        <v>1146</v>
      </c>
      <c r="AA4" s="12" t="s">
        <v>10</v>
      </c>
      <c r="AB4" s="12" t="s">
        <v>1175</v>
      </c>
      <c r="AC4" s="12" t="s">
        <v>16</v>
      </c>
      <c r="AD4" s="12" t="s">
        <v>12</v>
      </c>
    </row>
    <row r="5" spans="1:30" s="7" customFormat="1" ht="17.399999999999999" x14ac:dyDescent="0.3">
      <c r="A5" s="12" t="s">
        <v>1876</v>
      </c>
      <c r="B5" s="12">
        <v>180</v>
      </c>
      <c r="C5" s="12">
        <v>25</v>
      </c>
      <c r="D5" s="12">
        <v>358</v>
      </c>
      <c r="E5" s="12">
        <v>83</v>
      </c>
      <c r="F5" s="12">
        <v>8</v>
      </c>
      <c r="G5" s="12">
        <v>38</v>
      </c>
      <c r="H5" s="12">
        <v>2</v>
      </c>
      <c r="I5" s="12">
        <v>0</v>
      </c>
      <c r="J5" s="12">
        <v>9</v>
      </c>
      <c r="K5" s="12">
        <v>18</v>
      </c>
      <c r="L5" s="12">
        <v>2</v>
      </c>
      <c r="M5" s="12">
        <v>11</v>
      </c>
      <c r="N5" s="12">
        <v>0</v>
      </c>
      <c r="O5" s="12">
        <v>3</v>
      </c>
      <c r="P5" s="12">
        <v>4</v>
      </c>
      <c r="Q5" s="12">
        <v>1</v>
      </c>
      <c r="R5" s="12">
        <v>68</v>
      </c>
      <c r="S5" s="12">
        <v>13</v>
      </c>
      <c r="T5" s="12">
        <v>30</v>
      </c>
      <c r="U5" s="12">
        <v>0</v>
      </c>
      <c r="V5" s="12">
        <v>10</v>
      </c>
      <c r="W5" s="12">
        <v>1</v>
      </c>
      <c r="X5" s="12">
        <v>12</v>
      </c>
      <c r="Y5" s="12">
        <v>3</v>
      </c>
      <c r="Z5" s="12">
        <v>10</v>
      </c>
      <c r="AA5" s="12">
        <v>6</v>
      </c>
      <c r="AB5" s="12">
        <v>3</v>
      </c>
      <c r="AC5" s="12">
        <v>2</v>
      </c>
      <c r="AD5" s="12">
        <v>16</v>
      </c>
    </row>
    <row r="6" spans="1:30" s="7" customFormat="1" ht="17.399999999999999" x14ac:dyDescent="0.3">
      <c r="A6" s="12" t="s">
        <v>1877</v>
      </c>
      <c r="B6" s="12">
        <v>154</v>
      </c>
      <c r="C6" s="12">
        <v>12</v>
      </c>
      <c r="D6" s="12">
        <v>157</v>
      </c>
      <c r="E6" s="12">
        <v>38</v>
      </c>
      <c r="F6" s="12">
        <v>2</v>
      </c>
      <c r="G6" s="12">
        <v>28</v>
      </c>
      <c r="H6" s="12">
        <v>2</v>
      </c>
      <c r="I6" s="12">
        <v>4</v>
      </c>
      <c r="J6" s="12">
        <v>1</v>
      </c>
      <c r="K6" s="12">
        <v>9</v>
      </c>
      <c r="L6" s="12">
        <v>4</v>
      </c>
      <c r="M6" s="12">
        <v>4</v>
      </c>
      <c r="N6" s="12">
        <v>0</v>
      </c>
      <c r="O6" s="12">
        <v>1</v>
      </c>
      <c r="P6" s="12">
        <v>3</v>
      </c>
      <c r="Q6" s="12">
        <v>1</v>
      </c>
      <c r="R6" s="12">
        <v>55</v>
      </c>
      <c r="S6" s="12">
        <v>6</v>
      </c>
      <c r="T6" s="12">
        <v>11</v>
      </c>
      <c r="U6" s="12">
        <v>3</v>
      </c>
      <c r="V6" s="12">
        <v>20</v>
      </c>
      <c r="W6" s="12">
        <v>0</v>
      </c>
      <c r="X6" s="12">
        <v>7</v>
      </c>
      <c r="Y6" s="12">
        <v>0</v>
      </c>
      <c r="Z6" s="12">
        <v>1</v>
      </c>
      <c r="AA6" s="12">
        <v>6</v>
      </c>
      <c r="AB6" s="12">
        <v>2</v>
      </c>
      <c r="AC6" s="12">
        <v>1</v>
      </c>
      <c r="AD6" s="12">
        <v>9</v>
      </c>
    </row>
    <row r="7" spans="1:30" s="7" customFormat="1" ht="17.399999999999999" x14ac:dyDescent="0.3">
      <c r="A7" s="12" t="s">
        <v>1878</v>
      </c>
      <c r="B7" s="12">
        <v>226</v>
      </c>
      <c r="C7" s="12">
        <v>88</v>
      </c>
      <c r="D7" s="12">
        <v>276</v>
      </c>
      <c r="E7" s="12">
        <v>113</v>
      </c>
      <c r="F7" s="12">
        <v>10</v>
      </c>
      <c r="G7" s="12">
        <v>20</v>
      </c>
      <c r="H7" s="12">
        <v>1</v>
      </c>
      <c r="I7" s="12">
        <v>1</v>
      </c>
      <c r="J7" s="12">
        <v>7</v>
      </c>
      <c r="K7" s="12">
        <v>7</v>
      </c>
      <c r="L7" s="12">
        <v>3</v>
      </c>
      <c r="M7" s="12">
        <v>3</v>
      </c>
      <c r="N7" s="12">
        <v>1</v>
      </c>
      <c r="O7" s="12">
        <v>2</v>
      </c>
      <c r="P7" s="12">
        <v>4</v>
      </c>
      <c r="Q7" s="12">
        <v>0</v>
      </c>
      <c r="R7" s="12">
        <v>104</v>
      </c>
      <c r="S7" s="12">
        <v>12</v>
      </c>
      <c r="T7" s="12">
        <v>20</v>
      </c>
      <c r="U7" s="12">
        <v>5</v>
      </c>
      <c r="V7" s="12">
        <v>7</v>
      </c>
      <c r="W7" s="12">
        <v>0</v>
      </c>
      <c r="X7" s="12">
        <v>16</v>
      </c>
      <c r="Y7" s="12">
        <v>3</v>
      </c>
      <c r="Z7" s="12">
        <v>2</v>
      </c>
      <c r="AA7" s="12">
        <v>9</v>
      </c>
      <c r="AB7" s="12">
        <v>18</v>
      </c>
      <c r="AC7" s="12">
        <v>0</v>
      </c>
      <c r="AD7" s="12">
        <v>16</v>
      </c>
    </row>
    <row r="8" spans="1:30" s="7" customFormat="1" ht="17.399999999999999" x14ac:dyDescent="0.3">
      <c r="A8" s="12" t="s">
        <v>1879</v>
      </c>
      <c r="B8" s="12">
        <v>206</v>
      </c>
      <c r="C8" s="12">
        <v>40</v>
      </c>
      <c r="D8" s="12">
        <v>242</v>
      </c>
      <c r="E8" s="12">
        <v>62</v>
      </c>
      <c r="F8" s="12">
        <v>5</v>
      </c>
      <c r="G8" s="12">
        <v>14</v>
      </c>
      <c r="H8" s="12">
        <v>1</v>
      </c>
      <c r="I8" s="12">
        <v>0</v>
      </c>
      <c r="J8" s="12">
        <v>3</v>
      </c>
      <c r="K8" s="12">
        <v>1</v>
      </c>
      <c r="L8" s="12">
        <v>1</v>
      </c>
      <c r="M8" s="12">
        <v>3</v>
      </c>
      <c r="N8" s="12">
        <v>0</v>
      </c>
      <c r="O8" s="12">
        <v>0</v>
      </c>
      <c r="P8" s="12">
        <v>2</v>
      </c>
      <c r="Q8" s="12">
        <v>1</v>
      </c>
      <c r="R8" s="12">
        <v>40</v>
      </c>
      <c r="S8" s="12">
        <v>7</v>
      </c>
      <c r="T8" s="12">
        <v>8</v>
      </c>
      <c r="U8" s="12">
        <v>4</v>
      </c>
      <c r="V8" s="12">
        <v>2</v>
      </c>
      <c r="W8" s="12">
        <v>0</v>
      </c>
      <c r="X8" s="12">
        <v>4</v>
      </c>
      <c r="Y8" s="12">
        <v>7</v>
      </c>
      <c r="Z8" s="12">
        <v>2</v>
      </c>
      <c r="AA8" s="12">
        <v>4</v>
      </c>
      <c r="AB8" s="12">
        <v>2</v>
      </c>
      <c r="AC8" s="12">
        <v>0</v>
      </c>
      <c r="AD8" s="12">
        <v>4</v>
      </c>
    </row>
    <row r="9" spans="1:30" s="7" customFormat="1" ht="17.399999999999999" x14ac:dyDescent="0.3">
      <c r="A9" s="12" t="s">
        <v>1880</v>
      </c>
      <c r="B9" s="12">
        <v>129</v>
      </c>
      <c r="C9" s="12">
        <v>18</v>
      </c>
      <c r="D9" s="12">
        <v>140</v>
      </c>
      <c r="E9" s="12">
        <v>60</v>
      </c>
      <c r="F9" s="12">
        <v>2</v>
      </c>
      <c r="G9" s="12">
        <v>23</v>
      </c>
      <c r="H9" s="12">
        <v>4</v>
      </c>
      <c r="I9" s="12">
        <v>6</v>
      </c>
      <c r="J9" s="12">
        <v>1</v>
      </c>
      <c r="K9" s="12">
        <v>15</v>
      </c>
      <c r="L9" s="12">
        <v>1</v>
      </c>
      <c r="M9" s="12">
        <v>1</v>
      </c>
      <c r="N9" s="12">
        <v>0</v>
      </c>
      <c r="O9" s="12">
        <v>12</v>
      </c>
      <c r="P9" s="12">
        <v>1</v>
      </c>
      <c r="Q9" s="12">
        <v>1</v>
      </c>
      <c r="R9" s="12">
        <v>58</v>
      </c>
      <c r="S9" s="12">
        <v>10</v>
      </c>
      <c r="T9" s="12">
        <v>16</v>
      </c>
      <c r="U9" s="12">
        <v>8</v>
      </c>
      <c r="V9" s="12">
        <v>9</v>
      </c>
      <c r="W9" s="12">
        <v>0</v>
      </c>
      <c r="X9" s="12">
        <v>4</v>
      </c>
      <c r="Y9" s="12">
        <v>0</v>
      </c>
      <c r="Z9" s="12">
        <v>1</v>
      </c>
      <c r="AA9" s="12">
        <v>0</v>
      </c>
      <c r="AB9" s="12">
        <v>26</v>
      </c>
      <c r="AC9" s="12">
        <v>4</v>
      </c>
      <c r="AD9" s="12">
        <v>13</v>
      </c>
    </row>
    <row r="10" spans="1:30" s="7" customFormat="1" ht="17.399999999999999" x14ac:dyDescent="0.3">
      <c r="A10" s="12" t="s">
        <v>1881</v>
      </c>
      <c r="B10" s="12">
        <v>175</v>
      </c>
      <c r="C10" s="12">
        <v>13</v>
      </c>
      <c r="D10" s="12">
        <v>125</v>
      </c>
      <c r="E10" s="12">
        <v>42</v>
      </c>
      <c r="F10" s="12">
        <v>1</v>
      </c>
      <c r="G10" s="12">
        <v>19</v>
      </c>
      <c r="H10" s="12">
        <v>3</v>
      </c>
      <c r="I10" s="12">
        <v>0</v>
      </c>
      <c r="J10" s="12">
        <v>3</v>
      </c>
      <c r="K10" s="12">
        <v>15</v>
      </c>
      <c r="L10" s="12">
        <v>4</v>
      </c>
      <c r="M10" s="12">
        <v>8</v>
      </c>
      <c r="N10" s="12">
        <v>0</v>
      </c>
      <c r="O10" s="12">
        <v>4</v>
      </c>
      <c r="P10" s="12">
        <v>0</v>
      </c>
      <c r="Q10" s="12">
        <v>2</v>
      </c>
      <c r="R10" s="12">
        <v>65</v>
      </c>
      <c r="S10" s="12">
        <v>7</v>
      </c>
      <c r="T10" s="12">
        <v>4</v>
      </c>
      <c r="U10" s="12">
        <v>2</v>
      </c>
      <c r="V10" s="12">
        <v>13</v>
      </c>
      <c r="W10" s="12">
        <v>1</v>
      </c>
      <c r="X10" s="12">
        <v>1</v>
      </c>
      <c r="Y10" s="12">
        <v>1</v>
      </c>
      <c r="Z10" s="12">
        <v>0</v>
      </c>
      <c r="AA10" s="12">
        <v>1</v>
      </c>
      <c r="AB10" s="12">
        <v>5</v>
      </c>
      <c r="AC10" s="12">
        <v>1</v>
      </c>
      <c r="AD10" s="12">
        <v>5</v>
      </c>
    </row>
    <row r="11" spans="1:30" s="7" customFormat="1" ht="17.399999999999999" x14ac:dyDescent="0.3">
      <c r="A11" s="12" t="s">
        <v>1882</v>
      </c>
      <c r="B11" s="12">
        <v>238</v>
      </c>
      <c r="C11" s="12">
        <v>29</v>
      </c>
      <c r="D11" s="12">
        <v>197</v>
      </c>
      <c r="E11" s="12">
        <v>60</v>
      </c>
      <c r="F11" s="12">
        <v>5</v>
      </c>
      <c r="G11" s="12">
        <v>30</v>
      </c>
      <c r="H11" s="12">
        <v>0</v>
      </c>
      <c r="I11" s="12">
        <v>0</v>
      </c>
      <c r="J11" s="12">
        <v>2</v>
      </c>
      <c r="K11" s="12">
        <v>4</v>
      </c>
      <c r="L11" s="12">
        <v>4</v>
      </c>
      <c r="M11" s="12">
        <v>2</v>
      </c>
      <c r="N11" s="12">
        <v>1</v>
      </c>
      <c r="O11" s="12">
        <v>1</v>
      </c>
      <c r="P11" s="12">
        <v>2</v>
      </c>
      <c r="Q11" s="12">
        <v>0</v>
      </c>
      <c r="R11" s="12">
        <v>60</v>
      </c>
      <c r="S11" s="12">
        <v>18</v>
      </c>
      <c r="T11" s="12">
        <v>5</v>
      </c>
      <c r="U11" s="12">
        <v>1</v>
      </c>
      <c r="V11" s="12">
        <v>8</v>
      </c>
      <c r="W11" s="12">
        <v>0</v>
      </c>
      <c r="X11" s="12">
        <v>7</v>
      </c>
      <c r="Y11" s="12">
        <v>1</v>
      </c>
      <c r="Z11" s="12">
        <v>4</v>
      </c>
      <c r="AA11" s="12">
        <v>5</v>
      </c>
      <c r="AB11" s="12">
        <v>15</v>
      </c>
      <c r="AC11" s="12">
        <v>3</v>
      </c>
      <c r="AD11" s="12">
        <v>15</v>
      </c>
    </row>
    <row r="12" spans="1:30" s="7" customFormat="1" ht="17.399999999999999" x14ac:dyDescent="0.3">
      <c r="A12" s="12" t="s">
        <v>1883</v>
      </c>
      <c r="B12" s="12">
        <v>214</v>
      </c>
      <c r="C12" s="12">
        <v>40</v>
      </c>
      <c r="D12" s="12">
        <v>174</v>
      </c>
      <c r="E12" s="12">
        <v>55</v>
      </c>
      <c r="F12" s="12">
        <v>4</v>
      </c>
      <c r="G12" s="12">
        <v>10</v>
      </c>
      <c r="H12" s="12">
        <v>1</v>
      </c>
      <c r="I12" s="12">
        <v>0</v>
      </c>
      <c r="J12" s="12">
        <v>1</v>
      </c>
      <c r="K12" s="12">
        <v>6</v>
      </c>
      <c r="L12" s="12">
        <v>9</v>
      </c>
      <c r="M12" s="12">
        <v>5</v>
      </c>
      <c r="N12" s="12">
        <v>0</v>
      </c>
      <c r="O12" s="12">
        <v>0</v>
      </c>
      <c r="P12" s="12">
        <v>2</v>
      </c>
      <c r="Q12" s="12">
        <v>0</v>
      </c>
      <c r="R12" s="12">
        <v>52</v>
      </c>
      <c r="S12" s="12">
        <v>37</v>
      </c>
      <c r="T12" s="12">
        <v>12</v>
      </c>
      <c r="U12" s="12">
        <v>4</v>
      </c>
      <c r="V12" s="12">
        <v>7</v>
      </c>
      <c r="W12" s="12">
        <v>0</v>
      </c>
      <c r="X12" s="12">
        <v>2</v>
      </c>
      <c r="Y12" s="12">
        <v>1</v>
      </c>
      <c r="Z12" s="12">
        <v>1</v>
      </c>
      <c r="AA12" s="12">
        <v>6</v>
      </c>
      <c r="AB12" s="12">
        <v>24</v>
      </c>
      <c r="AC12" s="12">
        <v>2</v>
      </c>
      <c r="AD12" s="12">
        <v>5</v>
      </c>
    </row>
    <row r="13" spans="1:30" s="7" customFormat="1" ht="17.399999999999999" x14ac:dyDescent="0.3">
      <c r="A13" s="12" t="s">
        <v>1884</v>
      </c>
      <c r="B13" s="12">
        <v>256</v>
      </c>
      <c r="C13" s="12">
        <v>19</v>
      </c>
      <c r="D13" s="12">
        <v>237</v>
      </c>
      <c r="E13" s="12">
        <v>124</v>
      </c>
      <c r="F13" s="12">
        <v>6</v>
      </c>
      <c r="G13" s="12">
        <v>55</v>
      </c>
      <c r="H13" s="12">
        <v>12</v>
      </c>
      <c r="I13" s="12">
        <v>4</v>
      </c>
      <c r="J13" s="12">
        <v>5</v>
      </c>
      <c r="K13" s="12">
        <v>9</v>
      </c>
      <c r="L13" s="12">
        <v>1</v>
      </c>
      <c r="M13" s="12">
        <v>11</v>
      </c>
      <c r="N13" s="12">
        <v>1</v>
      </c>
      <c r="O13" s="12">
        <v>8</v>
      </c>
      <c r="P13" s="12">
        <v>2</v>
      </c>
      <c r="Q13" s="12">
        <v>1</v>
      </c>
      <c r="R13" s="12">
        <v>87</v>
      </c>
      <c r="S13" s="12">
        <v>6</v>
      </c>
      <c r="T13" s="12">
        <v>23</v>
      </c>
      <c r="U13" s="12">
        <v>3</v>
      </c>
      <c r="V13" s="12">
        <v>12</v>
      </c>
      <c r="W13" s="12">
        <v>1</v>
      </c>
      <c r="X13" s="12">
        <v>4</v>
      </c>
      <c r="Y13" s="12">
        <v>3</v>
      </c>
      <c r="Z13" s="12">
        <v>1</v>
      </c>
      <c r="AA13" s="12">
        <v>4</v>
      </c>
      <c r="AB13" s="12">
        <v>76</v>
      </c>
      <c r="AC13" s="12">
        <v>3</v>
      </c>
      <c r="AD13" s="12">
        <v>8</v>
      </c>
    </row>
    <row r="14" spans="1:30" s="7" customFormat="1" ht="17.399999999999999" x14ac:dyDescent="0.3">
      <c r="A14" s="12" t="s">
        <v>1885</v>
      </c>
      <c r="B14" s="12">
        <v>308</v>
      </c>
      <c r="C14" s="12">
        <v>25</v>
      </c>
      <c r="D14" s="12">
        <v>237</v>
      </c>
      <c r="E14" s="12">
        <v>45</v>
      </c>
      <c r="F14" s="12">
        <v>3</v>
      </c>
      <c r="G14" s="12">
        <v>36</v>
      </c>
      <c r="H14" s="12">
        <v>5</v>
      </c>
      <c r="I14" s="12">
        <v>1</v>
      </c>
      <c r="J14" s="12">
        <v>1</v>
      </c>
      <c r="K14" s="12">
        <v>22</v>
      </c>
      <c r="L14" s="12">
        <v>0</v>
      </c>
      <c r="M14" s="12">
        <v>15</v>
      </c>
      <c r="N14" s="12">
        <v>1</v>
      </c>
      <c r="O14" s="12">
        <v>4</v>
      </c>
      <c r="P14" s="12">
        <v>1</v>
      </c>
      <c r="Q14" s="12">
        <v>0</v>
      </c>
      <c r="R14" s="12">
        <v>57</v>
      </c>
      <c r="S14" s="12">
        <v>8</v>
      </c>
      <c r="T14" s="12">
        <v>19</v>
      </c>
      <c r="U14" s="12">
        <v>4</v>
      </c>
      <c r="V14" s="12">
        <v>18</v>
      </c>
      <c r="W14" s="12">
        <v>2</v>
      </c>
      <c r="X14" s="12">
        <v>8</v>
      </c>
      <c r="Y14" s="12">
        <v>6</v>
      </c>
      <c r="Z14" s="12">
        <v>2</v>
      </c>
      <c r="AA14" s="12">
        <v>3</v>
      </c>
      <c r="AB14" s="12">
        <v>4</v>
      </c>
      <c r="AC14" s="12">
        <v>3</v>
      </c>
      <c r="AD14" s="12">
        <v>4</v>
      </c>
    </row>
    <row r="15" spans="1:30" s="7" customFormat="1" ht="17.399999999999999" x14ac:dyDescent="0.3">
      <c r="A15" s="12" t="s">
        <v>1886</v>
      </c>
      <c r="B15" s="12">
        <v>514</v>
      </c>
      <c r="C15" s="12">
        <v>89</v>
      </c>
      <c r="D15" s="12">
        <v>371</v>
      </c>
      <c r="E15" s="12">
        <v>125</v>
      </c>
      <c r="F15" s="12">
        <v>15</v>
      </c>
      <c r="G15" s="12">
        <v>53</v>
      </c>
      <c r="H15" s="12">
        <v>1</v>
      </c>
      <c r="I15" s="12">
        <v>0</v>
      </c>
      <c r="J15" s="12">
        <v>8</v>
      </c>
      <c r="K15" s="12">
        <v>22</v>
      </c>
      <c r="L15" s="12">
        <v>0</v>
      </c>
      <c r="M15" s="12">
        <v>0</v>
      </c>
      <c r="N15" s="12">
        <v>0</v>
      </c>
      <c r="O15" s="12">
        <v>2</v>
      </c>
      <c r="P15" s="12">
        <v>8</v>
      </c>
      <c r="Q15" s="12">
        <v>0</v>
      </c>
      <c r="R15" s="12">
        <v>55</v>
      </c>
      <c r="S15" s="12">
        <v>2</v>
      </c>
      <c r="T15" s="12">
        <v>22</v>
      </c>
      <c r="U15" s="12">
        <v>2</v>
      </c>
      <c r="V15" s="12">
        <v>5</v>
      </c>
      <c r="W15" s="12">
        <v>2</v>
      </c>
      <c r="X15" s="12">
        <v>0</v>
      </c>
      <c r="Y15" s="12">
        <v>0</v>
      </c>
      <c r="Z15" s="12">
        <v>0</v>
      </c>
      <c r="AA15" s="12">
        <v>5</v>
      </c>
      <c r="AB15" s="12">
        <v>15</v>
      </c>
      <c r="AC15" s="12">
        <v>6</v>
      </c>
      <c r="AD15" s="12">
        <v>9</v>
      </c>
    </row>
    <row r="16" spans="1:30" s="7" customFormat="1" ht="17.399999999999999" x14ac:dyDescent="0.3">
      <c r="A16" s="12" t="s">
        <v>1887</v>
      </c>
      <c r="B16" s="12">
        <v>362</v>
      </c>
      <c r="C16" s="12">
        <v>33</v>
      </c>
      <c r="D16" s="12">
        <v>289</v>
      </c>
      <c r="E16" s="12">
        <v>76</v>
      </c>
      <c r="F16" s="12">
        <v>9</v>
      </c>
      <c r="G16" s="12">
        <v>22</v>
      </c>
      <c r="H16" s="12">
        <v>3</v>
      </c>
      <c r="I16" s="12">
        <v>0</v>
      </c>
      <c r="J16" s="12">
        <v>3</v>
      </c>
      <c r="K16" s="12">
        <v>3</v>
      </c>
      <c r="L16" s="12">
        <v>0</v>
      </c>
      <c r="M16" s="12">
        <v>6</v>
      </c>
      <c r="N16" s="12">
        <v>0</v>
      </c>
      <c r="O16" s="12">
        <v>0</v>
      </c>
      <c r="P16" s="12">
        <v>1</v>
      </c>
      <c r="Q16" s="12">
        <v>0</v>
      </c>
      <c r="R16" s="12">
        <v>35</v>
      </c>
      <c r="S16" s="12">
        <v>22</v>
      </c>
      <c r="T16" s="12">
        <v>13</v>
      </c>
      <c r="U16" s="12">
        <v>2</v>
      </c>
      <c r="V16" s="12">
        <v>1</v>
      </c>
      <c r="W16" s="12">
        <v>0</v>
      </c>
      <c r="X16" s="12">
        <v>1</v>
      </c>
      <c r="Y16" s="12">
        <v>0</v>
      </c>
      <c r="Z16" s="12">
        <v>1</v>
      </c>
      <c r="AA16" s="12">
        <v>5</v>
      </c>
      <c r="AB16" s="12">
        <v>13</v>
      </c>
      <c r="AC16" s="12">
        <v>2</v>
      </c>
      <c r="AD16" s="12">
        <v>3</v>
      </c>
    </row>
    <row r="17" spans="1:30" s="7" customFormat="1" ht="17.399999999999999" x14ac:dyDescent="0.3">
      <c r="A17" s="12" t="s">
        <v>1888</v>
      </c>
      <c r="B17" s="12">
        <v>245</v>
      </c>
      <c r="C17" s="12">
        <v>30</v>
      </c>
      <c r="D17" s="12">
        <v>165</v>
      </c>
      <c r="E17" s="12">
        <v>53</v>
      </c>
      <c r="F17" s="12">
        <v>6</v>
      </c>
      <c r="G17" s="12">
        <v>39</v>
      </c>
      <c r="H17" s="12">
        <v>1</v>
      </c>
      <c r="I17" s="12">
        <v>1</v>
      </c>
      <c r="J17" s="12">
        <v>0</v>
      </c>
      <c r="K17" s="12">
        <v>3</v>
      </c>
      <c r="L17" s="12">
        <v>4</v>
      </c>
      <c r="M17" s="12">
        <v>3</v>
      </c>
      <c r="N17" s="12">
        <v>0</v>
      </c>
      <c r="O17" s="12">
        <v>2</v>
      </c>
      <c r="P17" s="12">
        <v>7</v>
      </c>
      <c r="Q17" s="12">
        <v>1</v>
      </c>
      <c r="R17" s="12">
        <v>34</v>
      </c>
      <c r="S17" s="12">
        <v>12</v>
      </c>
      <c r="T17" s="12">
        <v>8</v>
      </c>
      <c r="U17" s="12">
        <v>2</v>
      </c>
      <c r="V17" s="12">
        <v>0</v>
      </c>
      <c r="W17" s="12">
        <v>0</v>
      </c>
      <c r="X17" s="12">
        <v>1</v>
      </c>
      <c r="Y17" s="12">
        <v>2</v>
      </c>
      <c r="Z17" s="12">
        <v>6</v>
      </c>
      <c r="AA17" s="12">
        <v>1</v>
      </c>
      <c r="AB17" s="12">
        <v>2</v>
      </c>
      <c r="AC17" s="12">
        <v>9</v>
      </c>
      <c r="AD17" s="12">
        <v>4</v>
      </c>
    </row>
    <row r="18" spans="1:30" s="7" customFormat="1" ht="17.399999999999999" x14ac:dyDescent="0.3">
      <c r="A18" s="12" t="s">
        <v>1889</v>
      </c>
      <c r="B18" s="12">
        <v>297</v>
      </c>
      <c r="C18" s="12">
        <v>32</v>
      </c>
      <c r="D18" s="12">
        <v>147</v>
      </c>
      <c r="E18" s="12">
        <v>62</v>
      </c>
      <c r="F18" s="12">
        <v>2</v>
      </c>
      <c r="G18" s="12">
        <v>18</v>
      </c>
      <c r="H18" s="12">
        <v>1</v>
      </c>
      <c r="I18" s="12">
        <v>2</v>
      </c>
      <c r="J18" s="12">
        <v>0</v>
      </c>
      <c r="K18" s="12">
        <v>3</v>
      </c>
      <c r="L18" s="12">
        <v>1</v>
      </c>
      <c r="M18" s="12">
        <v>0</v>
      </c>
      <c r="N18" s="12">
        <v>0</v>
      </c>
      <c r="O18" s="12">
        <v>0</v>
      </c>
      <c r="P18" s="12">
        <v>1</v>
      </c>
      <c r="Q18" s="12">
        <v>0</v>
      </c>
      <c r="R18" s="12">
        <v>23</v>
      </c>
      <c r="S18" s="12">
        <v>3</v>
      </c>
      <c r="T18" s="12">
        <v>3</v>
      </c>
      <c r="U18" s="12">
        <v>3</v>
      </c>
      <c r="V18" s="12">
        <v>3</v>
      </c>
      <c r="W18" s="12">
        <v>2</v>
      </c>
      <c r="X18" s="12">
        <v>4</v>
      </c>
      <c r="Y18" s="12">
        <v>1</v>
      </c>
      <c r="Z18" s="12">
        <v>1</v>
      </c>
      <c r="AA18" s="12">
        <v>0</v>
      </c>
      <c r="AB18" s="12">
        <v>0</v>
      </c>
      <c r="AC18" s="12">
        <v>5</v>
      </c>
      <c r="AD18" s="12">
        <v>1</v>
      </c>
    </row>
    <row r="19" spans="1:30" s="7" customFormat="1" ht="17.399999999999999" x14ac:dyDescent="0.3">
      <c r="A19" s="12" t="s">
        <v>1890</v>
      </c>
      <c r="B19" s="12">
        <v>356</v>
      </c>
      <c r="C19" s="12">
        <v>81</v>
      </c>
      <c r="D19" s="12">
        <v>201</v>
      </c>
      <c r="E19" s="12">
        <v>104</v>
      </c>
      <c r="F19" s="12">
        <v>9</v>
      </c>
      <c r="G19" s="12">
        <v>46</v>
      </c>
      <c r="H19" s="12">
        <v>0</v>
      </c>
      <c r="I19" s="12">
        <v>0</v>
      </c>
      <c r="J19" s="12">
        <v>3</v>
      </c>
      <c r="K19" s="12">
        <v>2</v>
      </c>
      <c r="L19" s="12">
        <v>3</v>
      </c>
      <c r="M19" s="12">
        <v>2</v>
      </c>
      <c r="N19" s="12">
        <v>2</v>
      </c>
      <c r="O19" s="12">
        <v>4</v>
      </c>
      <c r="P19" s="12">
        <v>4</v>
      </c>
      <c r="Q19" s="12">
        <v>0</v>
      </c>
      <c r="R19" s="12">
        <v>40</v>
      </c>
      <c r="S19" s="12">
        <v>9</v>
      </c>
      <c r="T19" s="12">
        <v>6</v>
      </c>
      <c r="U19" s="12">
        <v>0</v>
      </c>
      <c r="V19" s="12">
        <v>5</v>
      </c>
      <c r="W19" s="12">
        <v>0</v>
      </c>
      <c r="X19" s="12">
        <v>0</v>
      </c>
      <c r="Y19" s="12">
        <v>0</v>
      </c>
      <c r="Z19" s="12">
        <v>5</v>
      </c>
      <c r="AA19" s="12">
        <v>8</v>
      </c>
      <c r="AB19" s="12">
        <v>2</v>
      </c>
      <c r="AC19" s="12">
        <v>7</v>
      </c>
      <c r="AD19" s="12">
        <v>8</v>
      </c>
    </row>
    <row r="20" spans="1:30" s="7" customFormat="1" ht="17.399999999999999" x14ac:dyDescent="0.3">
      <c r="A20" s="12" t="s">
        <v>24</v>
      </c>
      <c r="B20" s="12">
        <v>428</v>
      </c>
      <c r="C20" s="12">
        <v>28</v>
      </c>
      <c r="D20" s="12">
        <v>284</v>
      </c>
      <c r="E20" s="12">
        <v>80</v>
      </c>
      <c r="F20" s="12">
        <v>6</v>
      </c>
      <c r="G20" s="12">
        <v>10</v>
      </c>
      <c r="H20" s="12">
        <v>0</v>
      </c>
      <c r="I20" s="12">
        <v>1</v>
      </c>
      <c r="J20" s="12">
        <v>0</v>
      </c>
      <c r="K20" s="12">
        <v>1</v>
      </c>
      <c r="L20" s="12">
        <v>0</v>
      </c>
      <c r="M20" s="12">
        <v>1</v>
      </c>
      <c r="N20" s="12">
        <v>0</v>
      </c>
      <c r="O20" s="12">
        <v>1</v>
      </c>
      <c r="P20" s="12">
        <v>3</v>
      </c>
      <c r="Q20" s="12">
        <v>0</v>
      </c>
      <c r="R20" s="12">
        <v>29</v>
      </c>
      <c r="S20" s="12">
        <v>7</v>
      </c>
      <c r="T20" s="12">
        <v>4</v>
      </c>
      <c r="U20" s="12">
        <v>0</v>
      </c>
      <c r="V20" s="12">
        <v>0</v>
      </c>
      <c r="W20" s="12">
        <v>0</v>
      </c>
      <c r="X20" s="12">
        <v>0</v>
      </c>
      <c r="Y20" s="12">
        <v>1</v>
      </c>
      <c r="Z20" s="12">
        <v>2</v>
      </c>
      <c r="AA20" s="12">
        <v>2</v>
      </c>
      <c r="AB20" s="12">
        <v>2</v>
      </c>
      <c r="AC20" s="12">
        <v>0</v>
      </c>
      <c r="AD20" s="12">
        <v>3</v>
      </c>
    </row>
    <row r="21" spans="1:30" s="7" customFormat="1" ht="17.399999999999999" x14ac:dyDescent="0.3">
      <c r="A21" s="12" t="s">
        <v>1891</v>
      </c>
      <c r="B21" s="12">
        <f t="shared" ref="B21:AD21" si="0">SUM(B5:B20)</f>
        <v>4288</v>
      </c>
      <c r="C21" s="12">
        <f t="shared" si="0"/>
        <v>602</v>
      </c>
      <c r="D21" s="12">
        <f t="shared" si="0"/>
        <v>3600</v>
      </c>
      <c r="E21" s="12">
        <f t="shared" si="0"/>
        <v>1182</v>
      </c>
      <c r="F21" s="12">
        <f t="shared" si="0"/>
        <v>93</v>
      </c>
      <c r="G21" s="12">
        <f t="shared" si="0"/>
        <v>461</v>
      </c>
      <c r="H21" s="12">
        <f t="shared" si="0"/>
        <v>37</v>
      </c>
      <c r="I21" s="12">
        <f t="shared" si="0"/>
        <v>20</v>
      </c>
      <c r="J21" s="12">
        <f t="shared" si="0"/>
        <v>47</v>
      </c>
      <c r="K21" s="12">
        <f t="shared" si="0"/>
        <v>140</v>
      </c>
      <c r="L21" s="12">
        <f t="shared" si="0"/>
        <v>37</v>
      </c>
      <c r="M21" s="12">
        <f t="shared" si="0"/>
        <v>75</v>
      </c>
      <c r="N21" s="12">
        <f t="shared" si="0"/>
        <v>6</v>
      </c>
      <c r="O21" s="12">
        <f t="shared" si="0"/>
        <v>44</v>
      </c>
      <c r="P21" s="12">
        <f t="shared" si="0"/>
        <v>45</v>
      </c>
      <c r="Q21" s="12">
        <f t="shared" si="0"/>
        <v>8</v>
      </c>
      <c r="R21" s="12">
        <f t="shared" si="0"/>
        <v>862</v>
      </c>
      <c r="S21" s="12">
        <f t="shared" si="0"/>
        <v>179</v>
      </c>
      <c r="T21" s="12">
        <f t="shared" si="0"/>
        <v>204</v>
      </c>
      <c r="U21" s="12">
        <f t="shared" si="0"/>
        <v>43</v>
      </c>
      <c r="V21" s="12">
        <f t="shared" si="0"/>
        <v>120</v>
      </c>
      <c r="W21" s="12">
        <f t="shared" si="0"/>
        <v>9</v>
      </c>
      <c r="X21" s="12">
        <f t="shared" si="0"/>
        <v>71</v>
      </c>
      <c r="Y21" s="12">
        <f t="shared" si="0"/>
        <v>29</v>
      </c>
      <c r="Z21" s="12">
        <f t="shared" si="0"/>
        <v>39</v>
      </c>
      <c r="AA21" s="12">
        <f t="shared" si="0"/>
        <v>65</v>
      </c>
      <c r="AB21" s="12">
        <f t="shared" si="0"/>
        <v>209</v>
      </c>
      <c r="AC21" s="12">
        <f t="shared" si="0"/>
        <v>48</v>
      </c>
      <c r="AD21" s="12">
        <f t="shared" si="0"/>
        <v>123</v>
      </c>
    </row>
    <row r="22" spans="1:30" s="10" customFormat="1" ht="52.2" x14ac:dyDescent="0.25">
      <c r="A22" s="19" t="s">
        <v>1892</v>
      </c>
      <c r="B22" s="13" t="s">
        <v>1897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 s="13" customFormat="1" ht="17.399999999999999" x14ac:dyDescent="0.3">
      <c r="A23" s="12" t="s">
        <v>25</v>
      </c>
      <c r="B23" s="13" t="s">
        <v>2</v>
      </c>
      <c r="C23" s="13" t="s">
        <v>3</v>
      </c>
      <c r="D23" s="13" t="s">
        <v>4</v>
      </c>
      <c r="E23" s="13" t="s">
        <v>3</v>
      </c>
      <c r="F23" s="13" t="s">
        <v>3</v>
      </c>
      <c r="G23" s="13" t="s">
        <v>6</v>
      </c>
      <c r="H23" s="13" t="s">
        <v>6</v>
      </c>
      <c r="I23" s="13" t="s">
        <v>6</v>
      </c>
      <c r="J23" s="13" t="s">
        <v>22</v>
      </c>
      <c r="K23" s="13" t="s">
        <v>1139</v>
      </c>
      <c r="L23" s="13" t="s">
        <v>1137</v>
      </c>
      <c r="M23" s="13" t="s">
        <v>1143</v>
      </c>
      <c r="N23" s="13" t="s">
        <v>1143</v>
      </c>
      <c r="O23" s="13" t="s">
        <v>20</v>
      </c>
      <c r="P23" s="13" t="s">
        <v>20</v>
      </c>
      <c r="Q23" s="13" t="s">
        <v>20</v>
      </c>
      <c r="R23" s="13" t="s">
        <v>38</v>
      </c>
      <c r="S23" s="13" t="s">
        <v>8</v>
      </c>
      <c r="T23" s="13" t="s">
        <v>8</v>
      </c>
      <c r="U23" s="13" t="s">
        <v>8</v>
      </c>
      <c r="V23" s="13" t="s">
        <v>8</v>
      </c>
      <c r="W23" s="13" t="s">
        <v>8</v>
      </c>
      <c r="X23" s="13" t="s">
        <v>8</v>
      </c>
      <c r="Y23" s="13" t="s">
        <v>8</v>
      </c>
      <c r="Z23" s="13" t="s">
        <v>8</v>
      </c>
      <c r="AA23" s="13" t="s">
        <v>8</v>
      </c>
      <c r="AB23" s="13" t="s">
        <v>8</v>
      </c>
      <c r="AC23" s="13" t="s">
        <v>13</v>
      </c>
      <c r="AD23" s="13" t="s">
        <v>13</v>
      </c>
    </row>
    <row r="24" spans="1:30" s="7" customFormat="1" ht="17.399999999999999" x14ac:dyDescent="0.3">
      <c r="A24" s="12" t="s">
        <v>0</v>
      </c>
      <c r="B24" s="12" t="s">
        <v>1</v>
      </c>
      <c r="C24" s="12" t="s">
        <v>29</v>
      </c>
      <c r="D24" s="12" t="s">
        <v>1140</v>
      </c>
      <c r="E24" s="12" t="s">
        <v>14</v>
      </c>
      <c r="F24" s="12" t="s">
        <v>18</v>
      </c>
      <c r="G24" s="12" t="s">
        <v>5</v>
      </c>
      <c r="H24" s="12" t="s">
        <v>1141</v>
      </c>
      <c r="I24" s="12" t="s">
        <v>1174</v>
      </c>
      <c r="J24" s="12" t="s">
        <v>21</v>
      </c>
      <c r="K24" s="12" t="s">
        <v>1138</v>
      </c>
      <c r="L24" s="12" t="s">
        <v>1136</v>
      </c>
      <c r="M24" s="12" t="s">
        <v>1142</v>
      </c>
      <c r="N24" s="12" t="s">
        <v>1148</v>
      </c>
      <c r="O24" s="12" t="s">
        <v>1144</v>
      </c>
      <c r="P24" s="12" t="s">
        <v>1149</v>
      </c>
      <c r="Q24" s="12" t="s">
        <v>1145</v>
      </c>
      <c r="R24" s="12" t="s">
        <v>37</v>
      </c>
      <c r="S24" s="12" t="s">
        <v>9</v>
      </c>
      <c r="T24" s="12" t="s">
        <v>19</v>
      </c>
      <c r="U24" s="12" t="s">
        <v>15</v>
      </c>
      <c r="V24" s="12" t="s">
        <v>17</v>
      </c>
      <c r="W24" s="12" t="s">
        <v>11</v>
      </c>
      <c r="X24" s="12" t="s">
        <v>7</v>
      </c>
      <c r="Y24" s="12" t="s">
        <v>1147</v>
      </c>
      <c r="Z24" s="12" t="s">
        <v>1146</v>
      </c>
      <c r="AA24" s="12" t="s">
        <v>10</v>
      </c>
      <c r="AB24" s="12" t="s">
        <v>1175</v>
      </c>
      <c r="AC24" s="12" t="s">
        <v>16</v>
      </c>
      <c r="AD24" s="12" t="s">
        <v>12</v>
      </c>
    </row>
    <row r="25" spans="1:30" s="7" customFormat="1" ht="17.399999999999999" x14ac:dyDescent="0.3">
      <c r="A25" s="12" t="s">
        <v>1876</v>
      </c>
      <c r="B25" s="12">
        <v>310</v>
      </c>
      <c r="C25" s="12">
        <v>43</v>
      </c>
      <c r="D25" s="12">
        <v>260</v>
      </c>
      <c r="E25" s="12">
        <v>85</v>
      </c>
      <c r="F25" s="12">
        <v>7</v>
      </c>
      <c r="G25" s="12">
        <v>33</v>
      </c>
      <c r="H25" s="12">
        <v>3</v>
      </c>
      <c r="I25" s="12">
        <v>1</v>
      </c>
      <c r="J25" s="12">
        <v>3</v>
      </c>
      <c r="K25" s="12">
        <v>10</v>
      </c>
      <c r="L25" s="12">
        <v>3</v>
      </c>
      <c r="M25" s="12">
        <v>5</v>
      </c>
      <c r="N25" s="12">
        <v>0</v>
      </c>
      <c r="O25" s="12">
        <v>3</v>
      </c>
      <c r="P25" s="12">
        <v>3</v>
      </c>
      <c r="Q25" s="12">
        <v>1</v>
      </c>
      <c r="R25" s="12">
        <v>62</v>
      </c>
      <c r="S25" s="12">
        <v>13</v>
      </c>
      <c r="T25" s="12">
        <v>15</v>
      </c>
      <c r="U25" s="12">
        <v>3</v>
      </c>
      <c r="V25" s="12">
        <v>9</v>
      </c>
      <c r="W25" s="12">
        <v>1</v>
      </c>
      <c r="X25" s="12">
        <v>5</v>
      </c>
      <c r="Y25" s="12">
        <v>2</v>
      </c>
      <c r="Z25" s="12">
        <v>3</v>
      </c>
      <c r="AA25" s="12">
        <v>5</v>
      </c>
      <c r="AB25" s="12">
        <v>15</v>
      </c>
      <c r="AC25" s="12">
        <v>3</v>
      </c>
      <c r="AD25" s="12">
        <v>9</v>
      </c>
    </row>
    <row r="26" spans="1:30" s="7" customFormat="1" ht="17.399999999999999" x14ac:dyDescent="0.3">
      <c r="A26" s="12" t="s">
        <v>1877</v>
      </c>
      <c r="B26" s="12">
        <v>183</v>
      </c>
      <c r="C26" s="12">
        <v>26</v>
      </c>
      <c r="D26" s="12">
        <v>154</v>
      </c>
      <c r="E26" s="12">
        <v>50</v>
      </c>
      <c r="F26" s="12">
        <v>4</v>
      </c>
      <c r="G26" s="12">
        <v>20</v>
      </c>
      <c r="H26" s="12">
        <v>2</v>
      </c>
      <c r="I26" s="12">
        <v>1</v>
      </c>
      <c r="J26" s="12">
        <v>2</v>
      </c>
      <c r="K26" s="12">
        <v>6</v>
      </c>
      <c r="L26" s="12">
        <v>2</v>
      </c>
      <c r="M26" s="12">
        <v>3</v>
      </c>
      <c r="N26" s="12">
        <v>0</v>
      </c>
      <c r="O26" s="12">
        <v>2</v>
      </c>
      <c r="P26" s="12">
        <v>2</v>
      </c>
      <c r="Q26" s="12">
        <v>0</v>
      </c>
      <c r="R26" s="12">
        <v>37</v>
      </c>
      <c r="S26" s="12">
        <v>8</v>
      </c>
      <c r="T26" s="12">
        <v>9</v>
      </c>
      <c r="U26" s="12">
        <v>2</v>
      </c>
      <c r="V26" s="12">
        <v>5</v>
      </c>
      <c r="W26" s="12">
        <v>0</v>
      </c>
      <c r="X26" s="12">
        <v>3</v>
      </c>
      <c r="Y26" s="12">
        <v>1</v>
      </c>
      <c r="Z26" s="12">
        <v>2</v>
      </c>
      <c r="AA26" s="12">
        <v>3</v>
      </c>
      <c r="AB26" s="12">
        <v>9</v>
      </c>
      <c r="AC26" s="12">
        <v>2</v>
      </c>
      <c r="AD26" s="12">
        <v>5</v>
      </c>
    </row>
    <row r="27" spans="1:30" s="7" customFormat="1" ht="17.399999999999999" x14ac:dyDescent="0.3">
      <c r="A27" s="12" t="s">
        <v>1878</v>
      </c>
      <c r="B27" s="12">
        <v>329</v>
      </c>
      <c r="C27" s="12">
        <v>46</v>
      </c>
      <c r="D27" s="12">
        <v>276</v>
      </c>
      <c r="E27" s="12">
        <v>91</v>
      </c>
      <c r="F27" s="12">
        <v>7</v>
      </c>
      <c r="G27" s="12">
        <v>35</v>
      </c>
      <c r="H27" s="12">
        <v>3</v>
      </c>
      <c r="I27" s="12">
        <v>2</v>
      </c>
      <c r="J27" s="12">
        <v>4</v>
      </c>
      <c r="K27" s="12">
        <v>11</v>
      </c>
      <c r="L27" s="12">
        <v>3</v>
      </c>
      <c r="M27" s="12">
        <v>6</v>
      </c>
      <c r="N27" s="12">
        <v>0</v>
      </c>
      <c r="O27" s="12">
        <v>3</v>
      </c>
      <c r="P27" s="12">
        <v>3</v>
      </c>
      <c r="Q27" s="12">
        <v>1</v>
      </c>
      <c r="R27" s="12">
        <v>66</v>
      </c>
      <c r="S27" s="12">
        <v>14</v>
      </c>
      <c r="T27" s="12">
        <v>16</v>
      </c>
      <c r="U27" s="12">
        <v>3</v>
      </c>
      <c r="V27" s="12">
        <v>9</v>
      </c>
      <c r="W27" s="12">
        <v>1</v>
      </c>
      <c r="X27" s="12">
        <v>5</v>
      </c>
      <c r="Y27" s="12">
        <v>2</v>
      </c>
      <c r="Z27" s="12">
        <v>3</v>
      </c>
      <c r="AA27" s="12">
        <v>5</v>
      </c>
      <c r="AB27" s="12">
        <v>16</v>
      </c>
      <c r="AC27" s="12">
        <v>4</v>
      </c>
      <c r="AD27" s="12">
        <v>9</v>
      </c>
    </row>
    <row r="28" spans="1:30" s="7" customFormat="1" ht="17.399999999999999" x14ac:dyDescent="0.3">
      <c r="A28" s="12" t="s">
        <v>1879</v>
      </c>
      <c r="B28" s="12">
        <v>225</v>
      </c>
      <c r="C28" s="12">
        <v>32</v>
      </c>
      <c r="D28" s="12">
        <v>189</v>
      </c>
      <c r="E28" s="12">
        <v>62</v>
      </c>
      <c r="F28" s="12">
        <v>5</v>
      </c>
      <c r="G28" s="12">
        <v>24</v>
      </c>
      <c r="H28" s="12">
        <v>2</v>
      </c>
      <c r="I28" s="12">
        <v>1</v>
      </c>
      <c r="J28" s="12">
        <v>2</v>
      </c>
      <c r="K28" s="12">
        <v>7</v>
      </c>
      <c r="L28" s="12">
        <v>2</v>
      </c>
      <c r="M28" s="12">
        <v>4</v>
      </c>
      <c r="N28" s="12">
        <v>0</v>
      </c>
      <c r="O28" s="12">
        <v>2</v>
      </c>
      <c r="P28" s="12">
        <v>2</v>
      </c>
      <c r="Q28" s="12">
        <v>0</v>
      </c>
      <c r="R28" s="12">
        <v>45</v>
      </c>
      <c r="S28" s="12">
        <v>9</v>
      </c>
      <c r="T28" s="12">
        <v>11</v>
      </c>
      <c r="U28" s="12">
        <v>2</v>
      </c>
      <c r="V28" s="12">
        <v>6</v>
      </c>
      <c r="W28" s="12">
        <v>0</v>
      </c>
      <c r="X28" s="12">
        <v>4</v>
      </c>
      <c r="Y28" s="12">
        <v>2</v>
      </c>
      <c r="Z28" s="12">
        <v>2</v>
      </c>
      <c r="AA28" s="12">
        <v>3</v>
      </c>
      <c r="AB28" s="12">
        <v>11</v>
      </c>
      <c r="AC28" s="12">
        <v>3</v>
      </c>
      <c r="AD28" s="12">
        <v>6</v>
      </c>
    </row>
    <row r="29" spans="1:30" s="7" customFormat="1" ht="17.399999999999999" x14ac:dyDescent="0.3">
      <c r="A29" s="12" t="s">
        <v>1880</v>
      </c>
      <c r="B29" s="12">
        <v>190</v>
      </c>
      <c r="C29" s="12">
        <v>27</v>
      </c>
      <c r="D29" s="12">
        <v>160</v>
      </c>
      <c r="E29" s="12">
        <v>52</v>
      </c>
      <c r="F29" s="12">
        <v>4</v>
      </c>
      <c r="G29" s="12">
        <v>20</v>
      </c>
      <c r="H29" s="12">
        <v>2</v>
      </c>
      <c r="I29" s="12">
        <v>1</v>
      </c>
      <c r="J29" s="12">
        <v>2</v>
      </c>
      <c r="K29" s="12">
        <v>6</v>
      </c>
      <c r="L29" s="12">
        <v>2</v>
      </c>
      <c r="M29" s="12">
        <v>3</v>
      </c>
      <c r="N29" s="12">
        <v>0</v>
      </c>
      <c r="O29" s="12">
        <v>2</v>
      </c>
      <c r="P29" s="12">
        <v>2</v>
      </c>
      <c r="Q29" s="12">
        <v>0</v>
      </c>
      <c r="R29" s="12">
        <v>38</v>
      </c>
      <c r="S29" s="12">
        <v>8</v>
      </c>
      <c r="T29" s="12">
        <v>9</v>
      </c>
      <c r="U29" s="12">
        <v>2</v>
      </c>
      <c r="V29" s="12">
        <v>5</v>
      </c>
      <c r="W29" s="12">
        <v>0</v>
      </c>
      <c r="X29" s="12">
        <v>3</v>
      </c>
      <c r="Y29" s="12">
        <v>1</v>
      </c>
      <c r="Z29" s="12">
        <v>2</v>
      </c>
      <c r="AA29" s="12">
        <v>3</v>
      </c>
      <c r="AB29" s="12">
        <v>9</v>
      </c>
      <c r="AC29" s="12">
        <v>2</v>
      </c>
      <c r="AD29" s="12">
        <v>5</v>
      </c>
    </row>
    <row r="30" spans="1:30" s="7" customFormat="1" ht="17.399999999999999" x14ac:dyDescent="0.3">
      <c r="A30" s="12" t="s">
        <v>1881</v>
      </c>
      <c r="B30" s="12">
        <v>176</v>
      </c>
      <c r="C30" s="12">
        <v>25</v>
      </c>
      <c r="D30" s="12">
        <v>148</v>
      </c>
      <c r="E30" s="12">
        <v>48</v>
      </c>
      <c r="F30" s="12">
        <v>4</v>
      </c>
      <c r="G30" s="12">
        <v>19</v>
      </c>
      <c r="H30" s="12">
        <v>2</v>
      </c>
      <c r="I30" s="12">
        <v>1</v>
      </c>
      <c r="J30" s="12">
        <v>2</v>
      </c>
      <c r="K30" s="12">
        <v>6</v>
      </c>
      <c r="L30" s="12">
        <v>2</v>
      </c>
      <c r="M30" s="12">
        <v>3</v>
      </c>
      <c r="N30" s="12">
        <v>0</v>
      </c>
      <c r="O30" s="12">
        <v>2</v>
      </c>
      <c r="P30" s="12">
        <v>2</v>
      </c>
      <c r="Q30" s="12">
        <v>0</v>
      </c>
      <c r="R30" s="12">
        <v>35</v>
      </c>
      <c r="S30" s="12">
        <v>7</v>
      </c>
      <c r="T30" s="12">
        <v>8</v>
      </c>
      <c r="U30" s="12">
        <v>2</v>
      </c>
      <c r="V30" s="12">
        <v>5</v>
      </c>
      <c r="W30" s="12">
        <v>0</v>
      </c>
      <c r="X30" s="12">
        <v>3</v>
      </c>
      <c r="Y30" s="12">
        <v>1</v>
      </c>
      <c r="Z30" s="12">
        <v>2</v>
      </c>
      <c r="AA30" s="12">
        <v>3</v>
      </c>
      <c r="AB30" s="12">
        <v>9</v>
      </c>
      <c r="AC30" s="12">
        <v>2</v>
      </c>
      <c r="AD30" s="12">
        <v>5</v>
      </c>
    </row>
    <row r="31" spans="1:30" s="7" customFormat="1" ht="17.399999999999999" x14ac:dyDescent="0.3">
      <c r="A31" s="12" t="s">
        <v>1882</v>
      </c>
      <c r="B31" s="12">
        <v>242</v>
      </c>
      <c r="C31" s="12">
        <v>34</v>
      </c>
      <c r="D31" s="12">
        <v>203</v>
      </c>
      <c r="E31" s="12">
        <v>67</v>
      </c>
      <c r="F31" s="12">
        <v>5</v>
      </c>
      <c r="G31" s="12">
        <v>26</v>
      </c>
      <c r="H31" s="12">
        <v>2</v>
      </c>
      <c r="I31" s="12">
        <v>1</v>
      </c>
      <c r="J31" s="12">
        <v>3</v>
      </c>
      <c r="K31" s="12">
        <v>8</v>
      </c>
      <c r="L31" s="12">
        <v>2</v>
      </c>
      <c r="M31" s="12">
        <v>4</v>
      </c>
      <c r="N31" s="12">
        <v>0</v>
      </c>
      <c r="O31" s="12">
        <v>2</v>
      </c>
      <c r="P31" s="12">
        <v>3</v>
      </c>
      <c r="Q31" s="12">
        <v>0</v>
      </c>
      <c r="R31" s="12">
        <v>49</v>
      </c>
      <c r="S31" s="12">
        <v>10</v>
      </c>
      <c r="T31" s="12">
        <v>12</v>
      </c>
      <c r="U31" s="12">
        <v>2</v>
      </c>
      <c r="V31" s="12">
        <v>7</v>
      </c>
      <c r="W31" s="12">
        <v>1</v>
      </c>
      <c r="X31" s="12">
        <v>4</v>
      </c>
      <c r="Y31" s="12">
        <v>2</v>
      </c>
      <c r="Z31" s="12">
        <v>2</v>
      </c>
      <c r="AA31" s="12">
        <v>4</v>
      </c>
      <c r="AB31" s="12">
        <v>12</v>
      </c>
      <c r="AC31" s="12">
        <v>3</v>
      </c>
      <c r="AD31" s="12">
        <v>7</v>
      </c>
    </row>
    <row r="32" spans="1:30" s="7" customFormat="1" ht="17.399999999999999" x14ac:dyDescent="0.3">
      <c r="A32" s="12" t="s">
        <v>1883</v>
      </c>
      <c r="B32" s="12">
        <v>228</v>
      </c>
      <c r="C32" s="12">
        <v>32</v>
      </c>
      <c r="D32" s="12">
        <v>191</v>
      </c>
      <c r="E32" s="12">
        <v>63</v>
      </c>
      <c r="F32" s="12">
        <v>5</v>
      </c>
      <c r="G32" s="12">
        <v>24</v>
      </c>
      <c r="H32" s="12">
        <v>2</v>
      </c>
      <c r="I32" s="12">
        <v>1</v>
      </c>
      <c r="J32" s="12">
        <v>2</v>
      </c>
      <c r="K32" s="12">
        <v>7</v>
      </c>
      <c r="L32" s="12">
        <v>2</v>
      </c>
      <c r="M32" s="12">
        <v>4</v>
      </c>
      <c r="N32" s="12">
        <v>0</v>
      </c>
      <c r="O32" s="12">
        <v>2</v>
      </c>
      <c r="P32" s="12">
        <v>2</v>
      </c>
      <c r="Q32" s="12">
        <v>0</v>
      </c>
      <c r="R32" s="12">
        <v>46</v>
      </c>
      <c r="S32" s="12">
        <v>10</v>
      </c>
      <c r="T32" s="12">
        <v>11</v>
      </c>
      <c r="U32" s="12">
        <v>2</v>
      </c>
      <c r="V32" s="12">
        <v>6</v>
      </c>
      <c r="W32" s="12">
        <v>0</v>
      </c>
      <c r="X32" s="12">
        <v>4</v>
      </c>
      <c r="Y32" s="12">
        <v>2</v>
      </c>
      <c r="Z32" s="12">
        <v>2</v>
      </c>
      <c r="AA32" s="12">
        <v>3</v>
      </c>
      <c r="AB32" s="12">
        <v>11</v>
      </c>
      <c r="AC32" s="12">
        <v>3</v>
      </c>
      <c r="AD32" s="12">
        <v>7</v>
      </c>
    </row>
    <row r="33" spans="1:30" s="7" customFormat="1" ht="17.399999999999999" x14ac:dyDescent="0.3">
      <c r="A33" s="12" t="s">
        <v>1884</v>
      </c>
      <c r="B33" s="12">
        <v>332</v>
      </c>
      <c r="C33" s="12">
        <v>47</v>
      </c>
      <c r="D33" s="12">
        <v>279</v>
      </c>
      <c r="E33" s="12">
        <v>91</v>
      </c>
      <c r="F33" s="12">
        <v>7</v>
      </c>
      <c r="G33" s="12">
        <v>36</v>
      </c>
      <c r="H33" s="12">
        <v>3</v>
      </c>
      <c r="I33" s="12">
        <v>2</v>
      </c>
      <c r="J33" s="12">
        <v>4</v>
      </c>
      <c r="K33" s="12">
        <v>11</v>
      </c>
      <c r="L33" s="12">
        <v>3</v>
      </c>
      <c r="M33" s="12">
        <v>6</v>
      </c>
      <c r="N33" s="12">
        <v>0</v>
      </c>
      <c r="O33" s="12">
        <v>3</v>
      </c>
      <c r="P33" s="12">
        <v>3</v>
      </c>
      <c r="Q33" s="12">
        <v>1</v>
      </c>
      <c r="R33" s="12">
        <v>67</v>
      </c>
      <c r="S33" s="12">
        <v>14</v>
      </c>
      <c r="T33" s="12">
        <v>16</v>
      </c>
      <c r="U33" s="12">
        <v>3</v>
      </c>
      <c r="V33" s="12">
        <v>9</v>
      </c>
      <c r="W33" s="12">
        <v>1</v>
      </c>
      <c r="X33" s="12">
        <v>5</v>
      </c>
      <c r="Y33" s="12">
        <v>2</v>
      </c>
      <c r="Z33" s="12">
        <v>3</v>
      </c>
      <c r="AA33" s="12">
        <v>5</v>
      </c>
      <c r="AB33" s="12">
        <v>16</v>
      </c>
      <c r="AC33" s="12">
        <v>4</v>
      </c>
      <c r="AD33" s="12">
        <v>10</v>
      </c>
    </row>
    <row r="34" spans="1:30" s="7" customFormat="1" ht="17.399999999999999" x14ac:dyDescent="0.3">
      <c r="A34" s="12" t="s">
        <v>1885</v>
      </c>
      <c r="B34" s="12">
        <v>285</v>
      </c>
      <c r="C34" s="12">
        <v>40</v>
      </c>
      <c r="D34" s="12">
        <v>239</v>
      </c>
      <c r="E34" s="12">
        <v>78</v>
      </c>
      <c r="F34" s="12">
        <v>6</v>
      </c>
      <c r="G34" s="12">
        <v>31</v>
      </c>
      <c r="H34" s="12">
        <v>2</v>
      </c>
      <c r="I34" s="12">
        <v>1</v>
      </c>
      <c r="J34" s="12">
        <v>3</v>
      </c>
      <c r="K34" s="12">
        <v>9</v>
      </c>
      <c r="L34" s="12">
        <v>2</v>
      </c>
      <c r="M34" s="12">
        <v>5</v>
      </c>
      <c r="N34" s="12">
        <v>0</v>
      </c>
      <c r="O34" s="12">
        <v>3</v>
      </c>
      <c r="P34" s="12">
        <v>3</v>
      </c>
      <c r="Q34" s="12">
        <v>1</v>
      </c>
      <c r="R34" s="12">
        <v>57</v>
      </c>
      <c r="S34" s="12">
        <v>12</v>
      </c>
      <c r="T34" s="12">
        <v>14</v>
      </c>
      <c r="U34" s="12">
        <v>3</v>
      </c>
      <c r="V34" s="12">
        <v>8</v>
      </c>
      <c r="W34" s="12">
        <v>1</v>
      </c>
      <c r="X34" s="12">
        <v>5</v>
      </c>
      <c r="Y34" s="12">
        <v>2</v>
      </c>
      <c r="Z34" s="12">
        <v>3</v>
      </c>
      <c r="AA34" s="12">
        <v>4</v>
      </c>
      <c r="AB34" s="12">
        <v>14</v>
      </c>
      <c r="AC34" s="12">
        <v>3</v>
      </c>
      <c r="AD34" s="12">
        <v>8</v>
      </c>
    </row>
    <row r="35" spans="1:30" s="7" customFormat="1" ht="17.399999999999999" x14ac:dyDescent="0.3">
      <c r="A35" s="12" t="s">
        <v>1886</v>
      </c>
      <c r="B35" s="12">
        <v>450</v>
      </c>
      <c r="C35" s="12">
        <v>63</v>
      </c>
      <c r="D35" s="12">
        <v>378</v>
      </c>
      <c r="E35" s="12">
        <v>124</v>
      </c>
      <c r="F35" s="12">
        <v>10</v>
      </c>
      <c r="G35" s="12">
        <v>48</v>
      </c>
      <c r="H35" s="12">
        <v>4</v>
      </c>
      <c r="I35" s="12">
        <v>2</v>
      </c>
      <c r="J35" s="12">
        <v>5</v>
      </c>
      <c r="K35" s="12">
        <v>15</v>
      </c>
      <c r="L35" s="12">
        <v>4</v>
      </c>
      <c r="M35" s="12">
        <v>8</v>
      </c>
      <c r="N35" s="12">
        <v>1</v>
      </c>
      <c r="O35" s="12">
        <v>5</v>
      </c>
      <c r="P35" s="12">
        <v>5</v>
      </c>
      <c r="Q35" s="12">
        <v>1</v>
      </c>
      <c r="R35" s="12">
        <v>90</v>
      </c>
      <c r="S35" s="12">
        <v>19</v>
      </c>
      <c r="T35" s="12">
        <v>21</v>
      </c>
      <c r="U35" s="12">
        <v>5</v>
      </c>
      <c r="V35" s="12">
        <v>13</v>
      </c>
      <c r="W35" s="12">
        <v>1</v>
      </c>
      <c r="X35" s="12">
        <v>7</v>
      </c>
      <c r="Y35" s="12">
        <v>3</v>
      </c>
      <c r="Z35" s="12">
        <v>4</v>
      </c>
      <c r="AA35" s="12">
        <v>7</v>
      </c>
      <c r="AB35" s="12">
        <v>22</v>
      </c>
      <c r="AC35" s="12">
        <v>5</v>
      </c>
      <c r="AD35" s="12">
        <v>13</v>
      </c>
    </row>
    <row r="36" spans="1:30" s="7" customFormat="1" ht="17.399999999999999" x14ac:dyDescent="0.3">
      <c r="A36" s="12" t="s">
        <v>1887</v>
      </c>
      <c r="B36" s="12">
        <v>306</v>
      </c>
      <c r="C36" s="12">
        <v>43</v>
      </c>
      <c r="D36" s="12">
        <v>257</v>
      </c>
      <c r="E36" s="12">
        <v>84</v>
      </c>
      <c r="F36" s="12">
        <v>7</v>
      </c>
      <c r="G36" s="12">
        <v>33</v>
      </c>
      <c r="H36" s="12">
        <v>3</v>
      </c>
      <c r="I36" s="12">
        <v>1</v>
      </c>
      <c r="J36" s="12">
        <v>3</v>
      </c>
      <c r="K36" s="12">
        <v>10</v>
      </c>
      <c r="L36" s="12">
        <v>3</v>
      </c>
      <c r="M36" s="12">
        <v>5</v>
      </c>
      <c r="N36" s="12">
        <v>0</v>
      </c>
      <c r="O36" s="12">
        <v>3</v>
      </c>
      <c r="P36" s="12">
        <v>3</v>
      </c>
      <c r="Q36" s="12">
        <v>1</v>
      </c>
      <c r="R36" s="12">
        <v>61</v>
      </c>
      <c r="S36" s="12">
        <v>13</v>
      </c>
      <c r="T36" s="12">
        <v>15</v>
      </c>
      <c r="U36" s="12">
        <v>3</v>
      </c>
      <c r="V36" s="12">
        <v>9</v>
      </c>
      <c r="W36" s="12">
        <v>1</v>
      </c>
      <c r="X36" s="12">
        <v>5</v>
      </c>
      <c r="Y36" s="12">
        <v>2</v>
      </c>
      <c r="Z36" s="12">
        <v>3</v>
      </c>
      <c r="AA36" s="12">
        <v>5</v>
      </c>
      <c r="AB36" s="12">
        <v>15</v>
      </c>
      <c r="AC36" s="12">
        <v>3</v>
      </c>
      <c r="AD36" s="12">
        <v>9</v>
      </c>
    </row>
    <row r="37" spans="1:30" s="7" customFormat="1" ht="17.399999999999999" x14ac:dyDescent="0.3">
      <c r="A37" s="12" t="s">
        <v>1888</v>
      </c>
      <c r="B37" s="12">
        <v>217</v>
      </c>
      <c r="C37" s="12">
        <v>30</v>
      </c>
      <c r="D37" s="12">
        <v>182</v>
      </c>
      <c r="E37" s="12">
        <v>60</v>
      </c>
      <c r="F37" s="12">
        <v>5</v>
      </c>
      <c r="G37" s="12">
        <v>23</v>
      </c>
      <c r="H37" s="12">
        <v>2</v>
      </c>
      <c r="I37" s="12">
        <v>1</v>
      </c>
      <c r="J37" s="12">
        <v>2</v>
      </c>
      <c r="K37" s="12">
        <v>7</v>
      </c>
      <c r="L37" s="12">
        <v>2</v>
      </c>
      <c r="M37" s="12">
        <v>4</v>
      </c>
      <c r="N37" s="12">
        <v>0</v>
      </c>
      <c r="O37" s="12">
        <v>2</v>
      </c>
      <c r="P37" s="12">
        <v>2</v>
      </c>
      <c r="Q37" s="12">
        <v>0</v>
      </c>
      <c r="R37" s="12">
        <v>44</v>
      </c>
      <c r="S37" s="12">
        <v>9</v>
      </c>
      <c r="T37" s="12">
        <v>10</v>
      </c>
      <c r="U37" s="12">
        <v>2</v>
      </c>
      <c r="V37" s="12">
        <v>6</v>
      </c>
      <c r="W37" s="12">
        <v>0</v>
      </c>
      <c r="X37" s="12">
        <v>4</v>
      </c>
      <c r="Y37" s="12">
        <v>1</v>
      </c>
      <c r="Z37" s="12">
        <v>2</v>
      </c>
      <c r="AA37" s="12">
        <v>3</v>
      </c>
      <c r="AB37" s="12">
        <v>11</v>
      </c>
      <c r="AC37" s="12">
        <v>2</v>
      </c>
      <c r="AD37" s="12">
        <v>6</v>
      </c>
    </row>
    <row r="38" spans="1:30" s="7" customFormat="1" ht="17.399999999999999" x14ac:dyDescent="0.3">
      <c r="A38" s="12" t="s">
        <v>1889</v>
      </c>
      <c r="B38" s="12">
        <v>208</v>
      </c>
      <c r="C38" s="12">
        <v>29</v>
      </c>
      <c r="D38" s="12">
        <v>175</v>
      </c>
      <c r="E38" s="12">
        <v>57</v>
      </c>
      <c r="F38" s="12">
        <v>5</v>
      </c>
      <c r="G38" s="12">
        <v>22</v>
      </c>
      <c r="H38" s="12">
        <v>2</v>
      </c>
      <c r="I38" s="12">
        <v>1</v>
      </c>
      <c r="J38" s="12">
        <v>2</v>
      </c>
      <c r="K38" s="12">
        <v>7</v>
      </c>
      <c r="L38" s="12">
        <v>2</v>
      </c>
      <c r="M38" s="12">
        <v>4</v>
      </c>
      <c r="N38" s="12">
        <v>0</v>
      </c>
      <c r="O38" s="12">
        <v>2</v>
      </c>
      <c r="P38" s="12">
        <v>2</v>
      </c>
      <c r="Q38" s="12">
        <v>0</v>
      </c>
      <c r="R38" s="12">
        <v>42</v>
      </c>
      <c r="S38" s="12">
        <v>9</v>
      </c>
      <c r="T38" s="12">
        <v>10</v>
      </c>
      <c r="U38" s="12">
        <v>2</v>
      </c>
      <c r="V38" s="12">
        <v>6</v>
      </c>
      <c r="W38" s="12">
        <v>0</v>
      </c>
      <c r="X38" s="12">
        <v>3</v>
      </c>
      <c r="Y38" s="12">
        <v>1</v>
      </c>
      <c r="Z38" s="12">
        <v>2</v>
      </c>
      <c r="AA38" s="12">
        <v>3</v>
      </c>
      <c r="AB38" s="12">
        <v>10</v>
      </c>
      <c r="AC38" s="12">
        <v>2</v>
      </c>
      <c r="AD38" s="12">
        <v>6</v>
      </c>
    </row>
    <row r="39" spans="1:30" s="7" customFormat="1" ht="17.399999999999999" x14ac:dyDescent="0.3">
      <c r="A39" s="12" t="s">
        <v>1890</v>
      </c>
      <c r="B39" s="12">
        <v>307</v>
      </c>
      <c r="C39" s="12">
        <v>43</v>
      </c>
      <c r="D39" s="12">
        <v>257</v>
      </c>
      <c r="E39" s="12">
        <v>85</v>
      </c>
      <c r="F39" s="12">
        <v>7</v>
      </c>
      <c r="G39" s="12">
        <v>33</v>
      </c>
      <c r="H39" s="12">
        <v>3</v>
      </c>
      <c r="I39" s="12">
        <v>1</v>
      </c>
      <c r="J39" s="12">
        <v>3</v>
      </c>
      <c r="K39" s="12">
        <v>10</v>
      </c>
      <c r="L39" s="12">
        <v>3</v>
      </c>
      <c r="M39" s="12">
        <v>5</v>
      </c>
      <c r="N39" s="12">
        <v>0</v>
      </c>
      <c r="O39" s="12">
        <v>3</v>
      </c>
      <c r="P39" s="12">
        <v>3</v>
      </c>
      <c r="Q39" s="12">
        <v>1</v>
      </c>
      <c r="R39" s="12">
        <v>62</v>
      </c>
      <c r="S39" s="12">
        <v>13</v>
      </c>
      <c r="T39" s="12">
        <v>15</v>
      </c>
      <c r="U39" s="12">
        <v>3</v>
      </c>
      <c r="V39" s="12">
        <v>9</v>
      </c>
      <c r="W39" s="12">
        <v>1</v>
      </c>
      <c r="X39" s="12">
        <v>5</v>
      </c>
      <c r="Y39" s="12">
        <v>2</v>
      </c>
      <c r="Z39" s="12">
        <v>3</v>
      </c>
      <c r="AA39" s="12">
        <v>5</v>
      </c>
      <c r="AB39" s="12">
        <v>15</v>
      </c>
      <c r="AC39" s="12">
        <v>3</v>
      </c>
      <c r="AD39" s="12">
        <v>9</v>
      </c>
    </row>
    <row r="40" spans="1:30" s="7" customFormat="1" ht="17.399999999999999" x14ac:dyDescent="0.3">
      <c r="A40" s="12" t="s">
        <v>24</v>
      </c>
      <c r="B40" s="12">
        <v>302</v>
      </c>
      <c r="C40" s="12">
        <v>42</v>
      </c>
      <c r="D40" s="12">
        <v>253</v>
      </c>
      <c r="E40" s="12">
        <v>83</v>
      </c>
      <c r="F40" s="12">
        <v>7</v>
      </c>
      <c r="G40" s="12">
        <v>32</v>
      </c>
      <c r="H40" s="12">
        <v>3</v>
      </c>
      <c r="I40" s="12">
        <v>1</v>
      </c>
      <c r="J40" s="12">
        <v>3</v>
      </c>
      <c r="K40" s="12">
        <v>10</v>
      </c>
      <c r="L40" s="12">
        <v>3</v>
      </c>
      <c r="M40" s="12">
        <v>5</v>
      </c>
      <c r="N40" s="12">
        <v>0</v>
      </c>
      <c r="O40" s="12">
        <v>3</v>
      </c>
      <c r="P40" s="12">
        <v>3</v>
      </c>
      <c r="Q40" s="12">
        <v>1</v>
      </c>
      <c r="R40" s="12">
        <v>61</v>
      </c>
      <c r="S40" s="12">
        <v>13</v>
      </c>
      <c r="T40" s="12">
        <v>14</v>
      </c>
      <c r="U40" s="12">
        <v>3</v>
      </c>
      <c r="V40" s="12">
        <v>8</v>
      </c>
      <c r="W40" s="12">
        <v>1</v>
      </c>
      <c r="X40" s="12">
        <v>5</v>
      </c>
      <c r="Y40" s="12">
        <v>2</v>
      </c>
      <c r="Z40" s="12">
        <v>3</v>
      </c>
      <c r="AA40" s="12">
        <v>5</v>
      </c>
      <c r="AB40" s="12">
        <v>15</v>
      </c>
      <c r="AC40" s="12">
        <v>3</v>
      </c>
      <c r="AD40" s="12">
        <v>9</v>
      </c>
    </row>
    <row r="41" spans="1:30" ht="52.2" x14ac:dyDescent="0.3">
      <c r="A41" s="19" t="s">
        <v>1892</v>
      </c>
      <c r="B41" s="12">
        <f t="shared" ref="B41" si="1">SUM(B25:B40)</f>
        <v>4290</v>
      </c>
      <c r="C41" s="12">
        <f t="shared" ref="C41" si="2">SUM(C25:C40)</f>
        <v>602</v>
      </c>
      <c r="D41" s="12">
        <f t="shared" ref="D41" si="3">SUM(D25:D40)</f>
        <v>3601</v>
      </c>
      <c r="E41" s="12">
        <f t="shared" ref="E41" si="4">SUM(E25:E40)</f>
        <v>1180</v>
      </c>
      <c r="F41" s="12">
        <f t="shared" ref="F41" si="5">SUM(F25:F40)</f>
        <v>95</v>
      </c>
      <c r="G41" s="12">
        <f t="shared" ref="G41" si="6">SUM(G25:G40)</f>
        <v>459</v>
      </c>
      <c r="H41" s="12">
        <f t="shared" ref="H41" si="7">SUM(H25:H40)</f>
        <v>40</v>
      </c>
      <c r="I41" s="12">
        <f t="shared" ref="I41" si="8">SUM(I25:I40)</f>
        <v>19</v>
      </c>
      <c r="J41" s="12">
        <f t="shared" ref="J41" si="9">SUM(J25:J40)</f>
        <v>45</v>
      </c>
      <c r="K41" s="12">
        <f t="shared" ref="K41" si="10">SUM(K25:K40)</f>
        <v>140</v>
      </c>
      <c r="L41" s="12">
        <f t="shared" ref="L41" si="11">SUM(L25:L40)</f>
        <v>40</v>
      </c>
      <c r="M41" s="12">
        <f t="shared" ref="M41" si="12">SUM(M25:M40)</f>
        <v>74</v>
      </c>
      <c r="N41" s="12">
        <f t="shared" ref="N41" si="13">SUM(N25:N40)</f>
        <v>1</v>
      </c>
      <c r="O41" s="12">
        <f t="shared" ref="O41" si="14">SUM(O25:O40)</f>
        <v>42</v>
      </c>
      <c r="P41" s="12">
        <f t="shared" ref="P41" si="15">SUM(P25:P40)</f>
        <v>43</v>
      </c>
      <c r="Q41" s="12">
        <f t="shared" ref="Q41" si="16">SUM(Q25:Q40)</f>
        <v>8</v>
      </c>
      <c r="R41" s="12">
        <f t="shared" ref="R41" si="17">SUM(R25:R40)</f>
        <v>862</v>
      </c>
      <c r="S41" s="12">
        <f t="shared" ref="S41" si="18">SUM(S25:S40)</f>
        <v>181</v>
      </c>
      <c r="T41" s="12">
        <f t="shared" ref="T41" si="19">SUM(T25:T40)</f>
        <v>206</v>
      </c>
      <c r="U41" s="12">
        <f t="shared" ref="U41" si="20">SUM(U25:U40)</f>
        <v>42</v>
      </c>
      <c r="V41" s="12">
        <f t="shared" ref="V41" si="21">SUM(V25:V40)</f>
        <v>120</v>
      </c>
      <c r="W41" s="12">
        <f t="shared" ref="W41" si="22">SUM(W25:W40)</f>
        <v>9</v>
      </c>
      <c r="X41" s="12">
        <f t="shared" ref="X41" si="23">SUM(X25:X40)</f>
        <v>70</v>
      </c>
      <c r="Y41" s="12">
        <f t="shared" ref="Y41" si="24">SUM(Y25:Y40)</f>
        <v>28</v>
      </c>
      <c r="Z41" s="12">
        <f t="shared" ref="Z41" si="25">SUM(Z25:Z40)</f>
        <v>41</v>
      </c>
      <c r="AA41" s="12">
        <f t="shared" ref="AA41" si="26">SUM(AA25:AA40)</f>
        <v>66</v>
      </c>
      <c r="AB41" s="12">
        <f t="shared" ref="AB41" si="27">SUM(AB25:AB40)</f>
        <v>210</v>
      </c>
      <c r="AC41" s="12">
        <f t="shared" ref="AC41" si="28">SUM(AC25:AC40)</f>
        <v>47</v>
      </c>
      <c r="AD41" s="12">
        <f t="shared" ref="AD41" si="29">SUM(AD25:AD40)</f>
        <v>123</v>
      </c>
    </row>
    <row r="42" spans="1:30" x14ac:dyDescent="0.25">
      <c r="A42" s="11"/>
    </row>
    <row r="43" spans="1:30" s="57" customFormat="1" ht="37.200000000000003" customHeight="1" x14ac:dyDescent="0.35">
      <c r="A43" s="49" t="s">
        <v>1928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</row>
    <row r="44" spans="1:30" s="7" customFormat="1" ht="17.399999999999999" x14ac:dyDescent="0.3">
      <c r="A44" s="12" t="s">
        <v>0</v>
      </c>
      <c r="B44" s="12" t="s">
        <v>1</v>
      </c>
      <c r="C44" s="12" t="s">
        <v>29</v>
      </c>
      <c r="D44" s="12" t="s">
        <v>1140</v>
      </c>
      <c r="E44" s="12" t="s">
        <v>14</v>
      </c>
      <c r="F44" s="12" t="s">
        <v>18</v>
      </c>
      <c r="G44" s="12" t="s">
        <v>5</v>
      </c>
      <c r="H44" s="12" t="s">
        <v>1141</v>
      </c>
      <c r="I44" s="12" t="s">
        <v>1174</v>
      </c>
      <c r="J44" s="12" t="s">
        <v>21</v>
      </c>
      <c r="K44" s="12" t="s">
        <v>1138</v>
      </c>
      <c r="L44" s="12" t="s">
        <v>1136</v>
      </c>
      <c r="M44" s="12" t="s">
        <v>1142</v>
      </c>
      <c r="N44" s="12" t="s">
        <v>1148</v>
      </c>
      <c r="O44" s="12" t="s">
        <v>1144</v>
      </c>
      <c r="P44" s="12" t="s">
        <v>1149</v>
      </c>
      <c r="Q44" s="12" t="s">
        <v>1145</v>
      </c>
      <c r="R44" s="12" t="s">
        <v>37</v>
      </c>
      <c r="S44" s="12" t="s">
        <v>9</v>
      </c>
      <c r="T44" s="12" t="s">
        <v>19</v>
      </c>
      <c r="U44" s="12" t="s">
        <v>15</v>
      </c>
      <c r="V44" s="12" t="s">
        <v>17</v>
      </c>
      <c r="W44" s="12" t="s">
        <v>11</v>
      </c>
      <c r="X44" s="12" t="s">
        <v>7</v>
      </c>
      <c r="Y44" s="12" t="s">
        <v>1147</v>
      </c>
      <c r="Z44" s="12" t="s">
        <v>1146</v>
      </c>
      <c r="AA44" s="12" t="s">
        <v>10</v>
      </c>
      <c r="AB44" s="12" t="s">
        <v>1175</v>
      </c>
      <c r="AC44" s="12" t="s">
        <v>16</v>
      </c>
      <c r="AD44" s="12" t="s">
        <v>12</v>
      </c>
    </row>
    <row r="45" spans="1:30" s="7" customFormat="1" ht="17.399999999999999" x14ac:dyDescent="0.3">
      <c r="A45" s="12" t="s">
        <v>1876</v>
      </c>
      <c r="B45" s="14">
        <v>-7.36632665433899</v>
      </c>
      <c r="C45" s="14">
        <v>-2.8011127273774901</v>
      </c>
      <c r="D45" s="14">
        <v>6.08211811979809</v>
      </c>
      <c r="E45" s="14">
        <v>-0.25404950637177598</v>
      </c>
      <c r="F45" s="14">
        <v>0.495833698769924</v>
      </c>
      <c r="G45" s="14">
        <v>0.81692564079173302</v>
      </c>
      <c r="H45" s="14">
        <v>-0.410892905116712</v>
      </c>
      <c r="I45" s="14">
        <v>-1.2017119534679199</v>
      </c>
      <c r="J45" s="14">
        <v>3.0433012295297202</v>
      </c>
      <c r="K45" s="14">
        <v>2.4819594212915299</v>
      </c>
      <c r="L45" s="14">
        <v>-0.410892905116712</v>
      </c>
      <c r="M45" s="14">
        <v>2.3997975893315502</v>
      </c>
      <c r="N45" s="14">
        <v>-0.65820474453797695</v>
      </c>
      <c r="O45" s="14">
        <v>-9.93283733514813E-2</v>
      </c>
      <c r="P45" s="14">
        <v>0.416488524193175</v>
      </c>
      <c r="Q45" s="14">
        <v>0.55570924944058098</v>
      </c>
      <c r="R45" s="14">
        <v>0.729948409367569</v>
      </c>
      <c r="S45" s="14">
        <v>2.0917595904623699E-2</v>
      </c>
      <c r="T45" s="14">
        <v>3.9786919821921098</v>
      </c>
      <c r="U45" s="14">
        <v>-1.76205561236912</v>
      </c>
      <c r="V45" s="14">
        <v>0.45364141101132799</v>
      </c>
      <c r="W45" s="14">
        <v>0.43435738428575099</v>
      </c>
      <c r="X45" s="14">
        <v>3.03568914711557</v>
      </c>
      <c r="Y45" s="14">
        <v>0.62612652646006095</v>
      </c>
      <c r="Z45" s="14">
        <v>4.2810230818013801</v>
      </c>
      <c r="AA45" s="14">
        <v>0.60313283076425495</v>
      </c>
      <c r="AB45" s="14">
        <v>-3.1124507540275999</v>
      </c>
      <c r="AC45" s="14">
        <v>-0.78738806656708704</v>
      </c>
      <c r="AD45" s="14">
        <v>2.3887108280825999</v>
      </c>
    </row>
    <row r="46" spans="1:30" s="7" customFormat="1" ht="17.399999999999999" x14ac:dyDescent="0.3">
      <c r="A46" s="12" t="s">
        <v>1877</v>
      </c>
      <c r="B46" s="14">
        <v>-2.1344563079635499</v>
      </c>
      <c r="C46" s="14">
        <v>-2.6984543313684801</v>
      </c>
      <c r="D46" s="14">
        <v>0.28057311151721398</v>
      </c>
      <c r="E46" s="14">
        <v>-1.7475050855276399</v>
      </c>
      <c r="F46" s="14">
        <v>-0.98721421913431395</v>
      </c>
      <c r="G46" s="14">
        <v>1.8810613149240201</v>
      </c>
      <c r="H46" s="14">
        <v>0.33604514633241001</v>
      </c>
      <c r="I46" s="14">
        <v>3.4076741751363699</v>
      </c>
      <c r="J46" s="14">
        <v>-0.70940394728908396</v>
      </c>
      <c r="K46" s="14">
        <v>1.2399111969227501</v>
      </c>
      <c r="L46" s="14">
        <v>1.9282276771906499</v>
      </c>
      <c r="M46" s="14">
        <v>0.44821525076560698</v>
      </c>
      <c r="N46" s="14">
        <v>-0.50583852708313304</v>
      </c>
      <c r="O46" s="14">
        <v>-0.63979279557320101</v>
      </c>
      <c r="P46" s="14">
        <v>0.78030651510611904</v>
      </c>
      <c r="Q46" s="14">
        <v>1.1279669823123599</v>
      </c>
      <c r="R46" s="14">
        <v>3.0083351164935999</v>
      </c>
      <c r="S46" s="14">
        <v>-0.59124179307708602</v>
      </c>
      <c r="T46" s="14">
        <v>0.77990011310686402</v>
      </c>
      <c r="U46" s="14">
        <v>0.86123120180616197</v>
      </c>
      <c r="V46" s="14">
        <v>6.5788560048876397</v>
      </c>
      <c r="W46" s="14">
        <v>-0.61952314179734203</v>
      </c>
      <c r="X46" s="14">
        <v>2.2827734693701101</v>
      </c>
      <c r="Y46" s="14">
        <v>-1.11207807347082</v>
      </c>
      <c r="Z46" s="14">
        <v>-0.51423022459560097</v>
      </c>
      <c r="AA46" s="14">
        <v>1.93886176834145</v>
      </c>
      <c r="AB46" s="14">
        <v>-2.3155310436727001</v>
      </c>
      <c r="AC46" s="14">
        <v>-0.73178225005762498</v>
      </c>
      <c r="AD46" s="14">
        <v>1.63936688331094</v>
      </c>
    </row>
    <row r="47" spans="1:30" s="7" customFormat="1" ht="17.399999999999999" x14ac:dyDescent="0.3">
      <c r="A47" s="12" t="s">
        <v>1878</v>
      </c>
      <c r="B47" s="14">
        <v>-5.6889003016832396</v>
      </c>
      <c r="C47" s="14">
        <v>6.1454286414486896</v>
      </c>
      <c r="D47" s="14">
        <v>-2.40104674176079E-2</v>
      </c>
      <c r="E47" s="14">
        <v>2.3355188689326201</v>
      </c>
      <c r="F47" s="14">
        <v>1.0701878848994699</v>
      </c>
      <c r="G47" s="14">
        <v>-2.5875968038564898</v>
      </c>
      <c r="H47" s="14">
        <v>-1.09214773135229</v>
      </c>
      <c r="I47" s="14">
        <v>-0.43218402788371102</v>
      </c>
      <c r="J47" s="14">
        <v>1.78533625338159</v>
      </c>
      <c r="K47" s="14">
        <v>-1.1434514583944999</v>
      </c>
      <c r="L47" s="14">
        <v>9.4473210745615904E-2</v>
      </c>
      <c r="M47" s="14">
        <v>-1.14946645579091</v>
      </c>
      <c r="N47" s="14">
        <v>0.79463119947459804</v>
      </c>
      <c r="O47" s="14">
        <v>-0.74984694703718102</v>
      </c>
      <c r="P47" s="14">
        <v>0.29321169353233001</v>
      </c>
      <c r="Q47" s="14">
        <v>-0.78372214492218595</v>
      </c>
      <c r="R47" s="14">
        <v>4.6486296723749803</v>
      </c>
      <c r="S47" s="14">
        <v>-0.470217683679927</v>
      </c>
      <c r="T47" s="14">
        <v>1.0959613604404299</v>
      </c>
      <c r="U47" s="14">
        <v>0.93482626764413002</v>
      </c>
      <c r="V47" s="14">
        <v>-0.72917826462224999</v>
      </c>
      <c r="W47" s="14">
        <v>-0.83126286486081502</v>
      </c>
      <c r="X47" s="14">
        <v>4.5181069793270501</v>
      </c>
      <c r="Y47" s="14">
        <v>0.51834236822324498</v>
      </c>
      <c r="Z47" s="14">
        <v>-0.57461729208729995</v>
      </c>
      <c r="AA47" s="14">
        <v>1.79478321899439</v>
      </c>
      <c r="AB47" s="14">
        <v>0.48766476472451797</v>
      </c>
      <c r="AC47" s="14">
        <v>-1.91971935517893</v>
      </c>
      <c r="AD47" s="14">
        <v>2.1335027174848098</v>
      </c>
    </row>
    <row r="48" spans="1:30" s="7" customFormat="1" ht="17.399999999999999" x14ac:dyDescent="0.3">
      <c r="A48" s="12" t="s">
        <v>1879</v>
      </c>
      <c r="B48" s="14">
        <v>-1.2524156489651601</v>
      </c>
      <c r="C48" s="14">
        <v>1.5029986742171799</v>
      </c>
      <c r="D48" s="14">
        <v>3.8790910964446002</v>
      </c>
      <c r="E48" s="14">
        <v>5.0271495230777797E-3</v>
      </c>
      <c r="F48" s="14">
        <v>5.6586732369170903E-2</v>
      </c>
      <c r="G48" s="14">
        <v>-2.0679248553810998</v>
      </c>
      <c r="H48" s="14">
        <v>-0.67463020460291201</v>
      </c>
      <c r="I48" s="14">
        <v>-1.02391396651041</v>
      </c>
      <c r="J48" s="14">
        <v>0.34164759336456202</v>
      </c>
      <c r="K48" s="14">
        <v>-2.3398847748310998</v>
      </c>
      <c r="L48" s="14">
        <v>-0.67463020460291201</v>
      </c>
      <c r="M48" s="14">
        <v>-0.469789631723941</v>
      </c>
      <c r="N48" s="14">
        <v>-0.56082077640233796</v>
      </c>
      <c r="O48" s="14">
        <v>-1.5187098418701199</v>
      </c>
      <c r="P48" s="14">
        <v>-0.23367821000109701</v>
      </c>
      <c r="Q48" s="14">
        <v>0.89663057637548904</v>
      </c>
      <c r="R48" s="14">
        <v>-0.77149493164914995</v>
      </c>
      <c r="S48" s="14">
        <v>-0.77800350293307396</v>
      </c>
      <c r="T48" s="14">
        <v>-0.82372479288604805</v>
      </c>
      <c r="U48" s="14">
        <v>1.1629116443373899</v>
      </c>
      <c r="V48" s="14">
        <v>-1.7106398186647001</v>
      </c>
      <c r="W48" s="14">
        <v>-0.68686236966861303</v>
      </c>
      <c r="X48" s="14">
        <v>0.14419470332284301</v>
      </c>
      <c r="Y48" s="14">
        <v>4.44445841230137</v>
      </c>
      <c r="Z48" s="14">
        <v>-3.1038656534598499E-2</v>
      </c>
      <c r="AA48" s="14">
        <v>0.321092550852838</v>
      </c>
      <c r="AB48" s="14">
        <v>-2.7057128766643199</v>
      </c>
      <c r="AC48" s="14">
        <v>-1.5862406960975901</v>
      </c>
      <c r="AD48" s="14">
        <v>-0.96393968269379804</v>
      </c>
    </row>
    <row r="49" spans="1:30" s="7" customFormat="1" ht="17.399999999999999" x14ac:dyDescent="0.3">
      <c r="A49" s="12" t="s">
        <v>1880</v>
      </c>
      <c r="B49" s="14">
        <v>-4.4436540131980502</v>
      </c>
      <c r="C49" s="14">
        <v>-1.6863741410908</v>
      </c>
      <c r="D49" s="14">
        <v>-1.5638333113132801</v>
      </c>
      <c r="E49" s="14">
        <v>1.04150034753</v>
      </c>
      <c r="F49" s="14">
        <v>-1.0471203113201699</v>
      </c>
      <c r="G49" s="14">
        <v>0.56177273953642104</v>
      </c>
      <c r="H49" s="14">
        <v>1.8401047990566699</v>
      </c>
      <c r="I49" s="14">
        <v>5.42648505446199</v>
      </c>
      <c r="J49" s="14">
        <v>-0.75184121168658302</v>
      </c>
      <c r="K49" s="14">
        <v>3.5251486264674901</v>
      </c>
      <c r="L49" s="14">
        <v>-0.50104147321621395</v>
      </c>
      <c r="M49" s="14">
        <v>-1.2762877656605101</v>
      </c>
      <c r="N49" s="14">
        <v>-0.51602111055298805</v>
      </c>
      <c r="O49" s="14">
        <v>7.1900353390046696</v>
      </c>
      <c r="P49" s="14">
        <v>-0.70555907912801397</v>
      </c>
      <c r="Q49" s="14">
        <v>1.0824252901473801</v>
      </c>
      <c r="R49" s="14">
        <v>3.1923194092607901</v>
      </c>
      <c r="S49" s="14">
        <v>0.72948182329834899</v>
      </c>
      <c r="T49" s="14">
        <v>2.30867376151373</v>
      </c>
      <c r="U49" s="14">
        <v>4.4097169592829504</v>
      </c>
      <c r="V49" s="14">
        <v>1.5922424485355899</v>
      </c>
      <c r="W49" s="14">
        <v>-0.63199420867956402</v>
      </c>
      <c r="X49" s="14">
        <v>0.47831092495556798</v>
      </c>
      <c r="Y49" s="14">
        <v>-1.1344643236313401</v>
      </c>
      <c r="Z49" s="14">
        <v>-0.55549189491297302</v>
      </c>
      <c r="AA49" s="14">
        <v>-1.69843340193554</v>
      </c>
      <c r="AB49" s="14">
        <v>5.4915157743505896</v>
      </c>
      <c r="AC49" s="14">
        <v>1.2810837283534999</v>
      </c>
      <c r="AD49" s="14">
        <v>3.2277666329434598</v>
      </c>
    </row>
    <row r="50" spans="1:30" s="7" customFormat="1" ht="17.399999999999999" x14ac:dyDescent="0.3">
      <c r="A50" s="12" t="s">
        <v>1881</v>
      </c>
      <c r="B50" s="14">
        <v>-5.7733490630744497E-2</v>
      </c>
      <c r="C50" s="14">
        <v>-2.3504839848775898</v>
      </c>
      <c r="D50" s="14">
        <v>-1.8575059758361101</v>
      </c>
      <c r="E50" s="14">
        <v>-0.92667868320796998</v>
      </c>
      <c r="F50" s="14">
        <v>-1.44027793827879</v>
      </c>
      <c r="G50" s="14">
        <v>2.3827631619042899E-2</v>
      </c>
      <c r="H50" s="14">
        <v>1.20450491592041</v>
      </c>
      <c r="I50" s="14">
        <v>-0.90542882427351501</v>
      </c>
      <c r="J50" s="14">
        <v>0.77339324678743304</v>
      </c>
      <c r="K50" s="14">
        <v>3.8660980182066802</v>
      </c>
      <c r="L50" s="14">
        <v>2.0165120029310502</v>
      </c>
      <c r="M50" s="14">
        <v>2.80932489512983</v>
      </c>
      <c r="N50" s="14">
        <v>-0.49592379126998498</v>
      </c>
      <c r="O50" s="14">
        <v>1.6355096007496801</v>
      </c>
      <c r="P50" s="14">
        <v>-1.3581432364102699</v>
      </c>
      <c r="Q50" s="14">
        <v>2.9199310720301299</v>
      </c>
      <c r="R50" s="14">
        <v>4.9908470669167997</v>
      </c>
      <c r="S50" s="14">
        <v>-0.12449452123843199</v>
      </c>
      <c r="T50" s="14">
        <v>-1.50844213030833</v>
      </c>
      <c r="U50" s="14">
        <v>0.17883672758069299</v>
      </c>
      <c r="V50" s="14">
        <v>3.64372402928907</v>
      </c>
      <c r="W50" s="14">
        <v>1.03903530777599</v>
      </c>
      <c r="X50" s="14">
        <v>-1.1197779305871001</v>
      </c>
      <c r="Y50" s="14">
        <v>-0.17308567328593499</v>
      </c>
      <c r="Z50" s="14">
        <v>-1.26436254447028</v>
      </c>
      <c r="AA50" s="14">
        <v>-1.0196469242925601</v>
      </c>
      <c r="AB50" s="14">
        <v>-1.2186567971362501</v>
      </c>
      <c r="AC50" s="14">
        <v>-0.689765510234436</v>
      </c>
      <c r="AD50" s="14">
        <v>-1.86062687025557E-2</v>
      </c>
    </row>
    <row r="51" spans="1:30" s="7" customFormat="1" ht="17.399999999999999" x14ac:dyDescent="0.3">
      <c r="A51" s="12" t="s">
        <v>1882</v>
      </c>
      <c r="B51" s="14">
        <v>-0.27964689170152102</v>
      </c>
      <c r="C51" s="14">
        <v>-0.861374244768223</v>
      </c>
      <c r="D51" s="14">
        <v>-0.45346914903484298</v>
      </c>
      <c r="E51" s="14">
        <v>-0.83262834870834401</v>
      </c>
      <c r="F51" s="14">
        <v>-0.11177728684965101</v>
      </c>
      <c r="G51" s="14">
        <v>0.77280681458889899</v>
      </c>
      <c r="H51" s="14">
        <v>-1.44609920158873</v>
      </c>
      <c r="I51" s="14">
        <v>-1.0631932780062201</v>
      </c>
      <c r="J51" s="14">
        <v>-0.40273345170862401</v>
      </c>
      <c r="K51" s="14">
        <v>-1.39094778319039</v>
      </c>
      <c r="L51" s="14">
        <v>1.3199627640118801</v>
      </c>
      <c r="M51" s="14">
        <v>-1.0874558921421</v>
      </c>
      <c r="N51" s="14">
        <v>1.1348898531599401</v>
      </c>
      <c r="O51" s="14">
        <v>-0.94284319505858805</v>
      </c>
      <c r="P51" s="14">
        <v>-0.34070624199427502</v>
      </c>
      <c r="Q51" s="14">
        <v>-0.67242247029604996</v>
      </c>
      <c r="R51" s="14">
        <v>1.6161522772939201</v>
      </c>
      <c r="S51" s="14">
        <v>2.4784106539772202</v>
      </c>
      <c r="T51" s="14">
        <v>-1.9230589165582399</v>
      </c>
      <c r="U51" s="14">
        <v>-0.91748888864414402</v>
      </c>
      <c r="V51" s="14">
        <v>0.46758406946894598</v>
      </c>
      <c r="W51" s="14">
        <v>-0.71321173285281902</v>
      </c>
      <c r="X51" s="14">
        <v>1.4911825252955799</v>
      </c>
      <c r="Y51" s="14">
        <v>-0.49915938700205797</v>
      </c>
      <c r="Z51" s="14">
        <v>1.2095353042049</v>
      </c>
      <c r="AA51" s="14">
        <v>0.69195278751136602</v>
      </c>
      <c r="AB51" s="14">
        <v>0.92743579466940396</v>
      </c>
      <c r="AC51" s="14">
        <v>0.174300001724357</v>
      </c>
      <c r="AD51" s="14">
        <v>3.0524390534771899</v>
      </c>
    </row>
    <row r="52" spans="1:30" s="7" customFormat="1" ht="17.399999999999999" x14ac:dyDescent="0.3">
      <c r="A52" s="12" t="s">
        <v>1883</v>
      </c>
      <c r="B52" s="14">
        <v>-0.91554995366084302</v>
      </c>
      <c r="C52" s="14">
        <v>1.41741244427036</v>
      </c>
      <c r="D52" s="14">
        <v>-1.2484522824152999</v>
      </c>
      <c r="E52" s="14">
        <v>-0.98415179045898904</v>
      </c>
      <c r="F52" s="14">
        <v>-0.42334827887100202</v>
      </c>
      <c r="G52" s="14">
        <v>-2.9283994626913699</v>
      </c>
      <c r="H52" s="14">
        <v>-0.68883280897702504</v>
      </c>
      <c r="I52" s="14">
        <v>-1.0308194218364</v>
      </c>
      <c r="J52" s="14">
        <v>-0.94739147148089897</v>
      </c>
      <c r="K52" s="14">
        <v>-0.52730725170070702</v>
      </c>
      <c r="L52" s="14">
        <v>5.0170326919583603</v>
      </c>
      <c r="M52" s="14">
        <v>0.50861940973202302</v>
      </c>
      <c r="N52" s="14">
        <v>-0.56460305005422795</v>
      </c>
      <c r="O52" s="14">
        <v>-1.5289522873383801</v>
      </c>
      <c r="P52" s="14">
        <v>-0.25275977712487002</v>
      </c>
      <c r="Q52" s="14">
        <v>-0.65194744586818498</v>
      </c>
      <c r="R52" s="14">
        <v>0.91651693695650405</v>
      </c>
      <c r="S52" s="14">
        <v>8.9141094997578598</v>
      </c>
      <c r="T52" s="14">
        <v>0.35283546166402002</v>
      </c>
      <c r="U52" s="14">
        <v>1.13493836343039</v>
      </c>
      <c r="V52" s="14">
        <v>0.247315828867018</v>
      </c>
      <c r="W52" s="14">
        <v>-0.69149468992596497</v>
      </c>
      <c r="X52" s="14">
        <v>-0.91245922719301198</v>
      </c>
      <c r="Y52" s="14">
        <v>-0.43564508131205898</v>
      </c>
      <c r="Z52" s="14">
        <v>-0.744756501319771</v>
      </c>
      <c r="AA52" s="14">
        <v>1.3703585336184501</v>
      </c>
      <c r="AB52" s="14">
        <v>3.8700140812528701</v>
      </c>
      <c r="AC52" s="14">
        <v>-0.344542263191918</v>
      </c>
      <c r="AD52" s="14">
        <v>-0.60043459016696099</v>
      </c>
    </row>
    <row r="53" spans="1:30" s="7" customFormat="1" ht="17.399999999999999" x14ac:dyDescent="0.3">
      <c r="A53" s="12" t="s">
        <v>1884</v>
      </c>
      <c r="B53" s="14">
        <v>-4.1674556632219204</v>
      </c>
      <c r="C53" s="14">
        <v>-4.04308601366714</v>
      </c>
      <c r="D53" s="14">
        <v>-2.4961610340916498</v>
      </c>
      <c r="E53" s="14">
        <v>3.39804112698243</v>
      </c>
      <c r="F53" s="14">
        <v>-0.44685810796898401</v>
      </c>
      <c r="G53" s="14">
        <v>3.2333085825760999</v>
      </c>
      <c r="H53" s="14">
        <v>5.3982995796692999</v>
      </c>
      <c r="I53" s="14">
        <v>1.9705304396443899</v>
      </c>
      <c r="J53" s="14">
        <v>0.71396376155974395</v>
      </c>
      <c r="K53" s="14">
        <v>-0.55806608068508301</v>
      </c>
      <c r="L53" s="14">
        <v>-1.10147706138173</v>
      </c>
      <c r="M53" s="14">
        <v>2.1558092143689098</v>
      </c>
      <c r="N53" s="14">
        <v>0.78583581812260095</v>
      </c>
      <c r="O53" s="14">
        <v>2.4892877815999799</v>
      </c>
      <c r="P53" s="14">
        <v>-0.794783989481057</v>
      </c>
      <c r="Q53" s="14">
        <v>0.48382024810139201</v>
      </c>
      <c r="R53" s="14">
        <v>2.4819661653017899</v>
      </c>
      <c r="S53" s="14">
        <v>-2.11049819643305</v>
      </c>
      <c r="T53" s="14">
        <v>1.81405532771641</v>
      </c>
      <c r="U53" s="14">
        <v>-0.18008410635630101</v>
      </c>
      <c r="V53" s="14">
        <v>0.88950565135585602</v>
      </c>
      <c r="W53" s="14">
        <v>0.36340902728188201</v>
      </c>
      <c r="X53" s="14">
        <v>-0.63812119602192796</v>
      </c>
      <c r="Y53" s="14">
        <v>0.50402074587753898</v>
      </c>
      <c r="Z53" s="14">
        <v>-1.1619651217803899</v>
      </c>
      <c r="AA53" s="14">
        <v>-0.45986688822830601</v>
      </c>
      <c r="AB53" s="14">
        <v>14.872780478046501</v>
      </c>
      <c r="AC53" s="14">
        <v>-0.371237177674687</v>
      </c>
      <c r="AD53" s="14">
        <v>-0.49299401726409198</v>
      </c>
    </row>
    <row r="54" spans="1:30" s="7" customFormat="1" ht="17.399999999999999" x14ac:dyDescent="0.3">
      <c r="A54" s="12" t="s">
        <v>1885</v>
      </c>
      <c r="B54" s="14">
        <v>1.38677627387453</v>
      </c>
      <c r="C54" s="14">
        <v>-2.3660750596973701</v>
      </c>
      <c r="D54" s="14">
        <v>-0.12554028715083301</v>
      </c>
      <c r="E54" s="14">
        <v>-3.7767795050041402</v>
      </c>
      <c r="F54" s="14">
        <v>-1.27698098602791</v>
      </c>
      <c r="G54" s="14">
        <v>0.97664609574095296</v>
      </c>
      <c r="H54" s="14">
        <v>1.62353047641283</v>
      </c>
      <c r="I54" s="14">
        <v>-0.28420590367974202</v>
      </c>
      <c r="J54" s="14">
        <v>-1.2000274245588201</v>
      </c>
      <c r="K54" s="14">
        <v>4.1688373269176298</v>
      </c>
      <c r="L54" s="14">
        <v>-1.5670922190533301</v>
      </c>
      <c r="M54" s="14">
        <v>4.4919320303910499</v>
      </c>
      <c r="N54" s="14">
        <v>0.95358218991654597</v>
      </c>
      <c r="O54" s="14">
        <v>0.631755468399953</v>
      </c>
      <c r="P54" s="14">
        <v>-1.14959486380103</v>
      </c>
      <c r="Q54" s="14">
        <v>-0.72868308063504805</v>
      </c>
      <c r="R54" s="14">
        <v>-2.8158746138092099E-2</v>
      </c>
      <c r="S54" s="14">
        <v>-1.12586137754886</v>
      </c>
      <c r="T54" s="14">
        <v>1.4838384670940801</v>
      </c>
      <c r="U54" s="14">
        <v>0.67834720115438696</v>
      </c>
      <c r="V54" s="14">
        <v>3.5558765342194598</v>
      </c>
      <c r="W54" s="14">
        <v>1.8148215692273399</v>
      </c>
      <c r="X54" s="14">
        <v>1.51443614109783</v>
      </c>
      <c r="Y54" s="14">
        <v>2.93735436925469</v>
      </c>
      <c r="Z54" s="14">
        <v>-0.36579459396112401</v>
      </c>
      <c r="AA54" s="14">
        <v>-0.63272154646964496</v>
      </c>
      <c r="AB54" s="14">
        <v>-2.6505177070686798</v>
      </c>
      <c r="AC54" s="14">
        <v>-0.104136932983936</v>
      </c>
      <c r="AD54" s="14">
        <v>-1.4572829571477699</v>
      </c>
    </row>
    <row r="55" spans="1:30" s="7" customFormat="1" ht="17.399999999999999" x14ac:dyDescent="0.3">
      <c r="A55" s="12" t="s">
        <v>1886</v>
      </c>
      <c r="B55" s="14">
        <v>3.02245042879726</v>
      </c>
      <c r="C55" s="14">
        <v>3.2512377075001102</v>
      </c>
      <c r="D55" s="14">
        <v>-0.34514080467209801</v>
      </c>
      <c r="E55" s="14">
        <v>8.8537601570510396E-2</v>
      </c>
      <c r="F55" s="14">
        <v>1.67831896667443</v>
      </c>
      <c r="G55" s="14">
        <v>0.66608810330826196</v>
      </c>
      <c r="H55" s="14">
        <v>-1.46273557031861</v>
      </c>
      <c r="I55" s="14">
        <v>-1.44857728916998</v>
      </c>
      <c r="J55" s="14">
        <v>1.38195928813778</v>
      </c>
      <c r="K55" s="14">
        <v>1.9076903547333399</v>
      </c>
      <c r="L55" s="14">
        <v>-1.9702781278269399</v>
      </c>
      <c r="M55" s="14">
        <v>-2.8051578583248</v>
      </c>
      <c r="N55" s="14">
        <v>-0.79341845756808005</v>
      </c>
      <c r="O55" s="14">
        <v>-1.21774316972587</v>
      </c>
      <c r="P55" s="14">
        <v>1.50890746777979</v>
      </c>
      <c r="Q55" s="14">
        <v>-0.91616072011389804</v>
      </c>
      <c r="R55" s="14">
        <v>-3.7266067018172802</v>
      </c>
      <c r="S55" s="14">
        <v>-3.87213815727028</v>
      </c>
      <c r="T55" s="14">
        <v>0.12894801420720001</v>
      </c>
      <c r="U55" s="14">
        <v>-1.1824255175763601</v>
      </c>
      <c r="V55" s="14">
        <v>-2.1391398704643798</v>
      </c>
      <c r="W55" s="14">
        <v>1.0864387141216501</v>
      </c>
      <c r="X55" s="14">
        <v>-2.7293287412075502</v>
      </c>
      <c r="Y55" s="14">
        <v>-1.74431804322308</v>
      </c>
      <c r="Z55" s="14">
        <v>-2.0228280987921599</v>
      </c>
      <c r="AA55" s="14">
        <v>-0.69682194476734305</v>
      </c>
      <c r="AB55" s="14">
        <v>-1.47948306648005</v>
      </c>
      <c r="AC55" s="14">
        <v>0.42952003871269301</v>
      </c>
      <c r="AD55" s="14">
        <v>-1.08703442693449</v>
      </c>
    </row>
    <row r="56" spans="1:30" s="7" customFormat="1" ht="17.399999999999999" x14ac:dyDescent="0.3">
      <c r="A56" s="12" t="s">
        <v>1887</v>
      </c>
      <c r="B56" s="14">
        <v>3.2075841040075801</v>
      </c>
      <c r="C56" s="14">
        <v>-1.5176726176604001</v>
      </c>
      <c r="D56" s="14">
        <v>2.0081333792115998</v>
      </c>
      <c r="E56" s="14">
        <v>-0.90627832864076596</v>
      </c>
      <c r="F56" s="14">
        <v>0.91838209095822798</v>
      </c>
      <c r="G56" s="14">
        <v>-1.89844252286574</v>
      </c>
      <c r="H56" s="14">
        <v>0.221877720901207</v>
      </c>
      <c r="I56" s="14">
        <v>-1.1944746407311599</v>
      </c>
      <c r="J56" s="14">
        <v>-0.19273097670226699</v>
      </c>
      <c r="K56" s="14">
        <v>-2.2110007269252199</v>
      </c>
      <c r="L56" s="14">
        <v>-1.62466115993372</v>
      </c>
      <c r="M56" s="14">
        <v>0.28084237644483601</v>
      </c>
      <c r="N56" s="14">
        <v>-0.65424070509633603</v>
      </c>
      <c r="O56" s="14">
        <v>-1.77169220469291</v>
      </c>
      <c r="P56" s="14">
        <v>-1.2335865359654099</v>
      </c>
      <c r="Q56" s="14">
        <v>-0.75545209440436001</v>
      </c>
      <c r="R56" s="14">
        <v>-3.3785335534838601</v>
      </c>
      <c r="S56" s="14">
        <v>2.58304879371242</v>
      </c>
      <c r="T56" s="14">
        <v>-0.40710701684414602</v>
      </c>
      <c r="U56" s="14">
        <v>-0.60952848681996197</v>
      </c>
      <c r="V56" s="14">
        <v>-2.5840727544741799</v>
      </c>
      <c r="W56" s="14">
        <v>-0.80127794822235399</v>
      </c>
      <c r="X56" s="14">
        <v>-1.80622933913243</v>
      </c>
      <c r="Y56" s="14">
        <v>-1.4383379358333199</v>
      </c>
      <c r="Z56" s="14">
        <v>-1.06847018316227</v>
      </c>
      <c r="AA56" s="14">
        <v>0.16857233909095701</v>
      </c>
      <c r="AB56" s="14">
        <v>-0.49458376138932902</v>
      </c>
      <c r="AC56" s="14">
        <v>-0.76966691809326904</v>
      </c>
      <c r="AD56" s="14">
        <v>-1.94944025922824</v>
      </c>
    </row>
    <row r="57" spans="1:30" s="7" customFormat="1" ht="17.399999999999999" x14ac:dyDescent="0.3">
      <c r="A57" s="12" t="s">
        <v>1888</v>
      </c>
      <c r="B57" s="14">
        <v>1.9250154953876599</v>
      </c>
      <c r="C57" s="14">
        <v>-7.5779216289489207E-2</v>
      </c>
      <c r="D57" s="14">
        <v>-1.2531481524375701</v>
      </c>
      <c r="E57" s="14">
        <v>-0.87010024238196004</v>
      </c>
      <c r="F57" s="14">
        <v>0.60010888538423202</v>
      </c>
      <c r="G57" s="14">
        <v>3.2543408520555999</v>
      </c>
      <c r="H57" s="14">
        <v>-0.63594953523179298</v>
      </c>
      <c r="I57" s="14">
        <v>-1.0507476617703701E-2</v>
      </c>
      <c r="J57" s="14">
        <v>-1.5410459562030401</v>
      </c>
      <c r="K57" s="14">
        <v>-1.5317360211793101</v>
      </c>
      <c r="L57" s="14">
        <v>1.5581368949968</v>
      </c>
      <c r="M57" s="14">
        <v>-0.40561655652086698</v>
      </c>
      <c r="N57" s="14">
        <v>-0.55060770749098498</v>
      </c>
      <c r="O57" s="14">
        <v>-0.149718525900539</v>
      </c>
      <c r="P57" s="14">
        <v>3.1343123162570299</v>
      </c>
      <c r="Q57" s="14">
        <v>0.93706674512695598</v>
      </c>
      <c r="R57" s="14">
        <v>-1.44784514119024</v>
      </c>
      <c r="S57" s="14">
        <v>0.98272568713452202</v>
      </c>
      <c r="T57" s="14">
        <v>-0.71879539560799999</v>
      </c>
      <c r="U57" s="14">
        <v>-0.117170094848392</v>
      </c>
      <c r="V57" s="14">
        <v>-2.4623925257703299</v>
      </c>
      <c r="W57" s="14">
        <v>-0.67435396589826502</v>
      </c>
      <c r="X57" s="14">
        <v>-1.3661053499064</v>
      </c>
      <c r="Y57" s="14">
        <v>0.441704119655836</v>
      </c>
      <c r="Z57" s="14">
        <v>2.8703951386341999</v>
      </c>
      <c r="AA57" s="14">
        <v>-1.2604782270322401</v>
      </c>
      <c r="AB57" s="14">
        <v>-2.63422772686202</v>
      </c>
      <c r="AC57" s="14">
        <v>4.2216799582184601</v>
      </c>
      <c r="AD57" s="14">
        <v>-0.88847853555992495</v>
      </c>
    </row>
    <row r="58" spans="1:30" s="7" customFormat="1" ht="17.399999999999999" x14ac:dyDescent="0.3">
      <c r="A58" s="12" t="s">
        <v>1889</v>
      </c>
      <c r="B58" s="14">
        <v>6.1814467459155802</v>
      </c>
      <c r="C58" s="14">
        <v>0.52123984754528196</v>
      </c>
      <c r="D58" s="14">
        <v>-2.0833912476745602</v>
      </c>
      <c r="E58" s="14">
        <v>0.62065775108208598</v>
      </c>
      <c r="F58" s="14">
        <v>-1.18140752590431</v>
      </c>
      <c r="G58" s="14">
        <v>-0.91987537590316204</v>
      </c>
      <c r="H58" s="14">
        <v>-0.59263264038005303</v>
      </c>
      <c r="I58" s="14">
        <v>1.04647083698251</v>
      </c>
      <c r="J58" s="14">
        <v>-1.5094687740461099</v>
      </c>
      <c r="K58" s="14">
        <v>-1.4536409526985501</v>
      </c>
      <c r="L58" s="14">
        <v>-0.59263264038005303</v>
      </c>
      <c r="M58" s="14">
        <v>-1.9068030417792901</v>
      </c>
      <c r="N58" s="14">
        <v>-0.53932534449170699</v>
      </c>
      <c r="O58" s="14">
        <v>-1.46049993708138</v>
      </c>
      <c r="P58" s="14">
        <v>-0.79995672049831201</v>
      </c>
      <c r="Q58" s="14">
        <v>-0.62275926564615003</v>
      </c>
      <c r="R58" s="14">
        <v>-2.90646606136991</v>
      </c>
      <c r="S58" s="14">
        <v>-1.9273868847577</v>
      </c>
      <c r="T58" s="14">
        <v>-2.1908183783199</v>
      </c>
      <c r="U58" s="14">
        <v>0.634030699621557</v>
      </c>
      <c r="V58" s="14">
        <v>-1.16812230308033</v>
      </c>
      <c r="W58" s="14">
        <v>2.3673083349154398</v>
      </c>
      <c r="X58" s="14">
        <v>0.30077575564276399</v>
      </c>
      <c r="Y58" s="14">
        <v>-0.34231346412140601</v>
      </c>
      <c r="Z58" s="14">
        <v>-0.64775055491740297</v>
      </c>
      <c r="AA58" s="14">
        <v>-1.77513702610631</v>
      </c>
      <c r="AB58" s="14">
        <v>-3.1830858163926301</v>
      </c>
      <c r="AC58" s="14">
        <v>1.7522951530280599</v>
      </c>
      <c r="AD58" s="14">
        <v>-2.03238206707768</v>
      </c>
    </row>
    <row r="59" spans="1:30" s="7" customFormat="1" ht="17.399999999999999" x14ac:dyDescent="0.3">
      <c r="A59" s="12" t="s">
        <v>1890</v>
      </c>
      <c r="B59" s="14">
        <v>2.8227613051554599</v>
      </c>
      <c r="C59" s="14">
        <v>5.78600691353732</v>
      </c>
      <c r="D59" s="14">
        <v>-3.5146289145827501</v>
      </c>
      <c r="E59" s="14">
        <v>2.1202969738195501</v>
      </c>
      <c r="F59" s="14">
        <v>0.91168300109297495</v>
      </c>
      <c r="G59" s="14">
        <v>2.2714081761501599</v>
      </c>
      <c r="H59" s="14">
        <v>-1.6264553749033801</v>
      </c>
      <c r="I59" s="14">
        <v>-1.1957937738120299</v>
      </c>
      <c r="J59" s="14">
        <v>-0.196560521295785</v>
      </c>
      <c r="K59" s="14">
        <v>-2.5316163283815301</v>
      </c>
      <c r="L59" s="14">
        <v>0.21804650709765799</v>
      </c>
      <c r="M59" s="14">
        <v>-1.4519543223919</v>
      </c>
      <c r="N59" s="14">
        <v>2.39864333979029</v>
      </c>
      <c r="O59" s="14">
        <v>0.48158911359303802</v>
      </c>
      <c r="P59" s="14">
        <v>0.43634826829032303</v>
      </c>
      <c r="Q59" s="14">
        <v>-0.75628638741884602</v>
      </c>
      <c r="R59" s="14">
        <v>-2.7552117425992102</v>
      </c>
      <c r="S59" s="14">
        <v>-1.0616106556963101</v>
      </c>
      <c r="T59" s="14">
        <v>-2.2479914364394502</v>
      </c>
      <c r="U59" s="14">
        <v>-1.7533778575647601</v>
      </c>
      <c r="V59" s="14">
        <v>-1.2220666201199399</v>
      </c>
      <c r="W59" s="14">
        <v>-0.80216284959441397</v>
      </c>
      <c r="X59" s="14">
        <v>-2.25304810438683</v>
      </c>
      <c r="Y59" s="14">
        <v>-1.43992638240886</v>
      </c>
      <c r="Z59" s="14">
        <v>1.3244724576204301</v>
      </c>
      <c r="AA59" s="14">
        <v>1.5552612113526001</v>
      </c>
      <c r="AB59" s="14">
        <v>-3.3481908699933198</v>
      </c>
      <c r="AC59" s="14">
        <v>1.92612959104259</v>
      </c>
      <c r="AD59" s="14">
        <v>-0.26775665949555499</v>
      </c>
    </row>
    <row r="60" spans="1:30" s="7" customFormat="1" ht="17.399999999999999" x14ac:dyDescent="0.3">
      <c r="A60" s="12" t="s">
        <v>24</v>
      </c>
      <c r="B60" s="14">
        <v>7.2613870128648799</v>
      </c>
      <c r="C60" s="14">
        <v>-2.20844262185881</v>
      </c>
      <c r="D60" s="14">
        <v>1.9214064974398199</v>
      </c>
      <c r="E60" s="14">
        <v>-0.351253767867101</v>
      </c>
      <c r="F60" s="14">
        <v>-0.213595275802685</v>
      </c>
      <c r="G60" s="14">
        <v>-3.9411345570984202</v>
      </c>
      <c r="H60" s="14">
        <v>-1.61385398127208</v>
      </c>
      <c r="I60" s="14">
        <v>-0.34373467405374802</v>
      </c>
      <c r="J60" s="14">
        <v>-1.8189145829668001</v>
      </c>
      <c r="K60" s="14">
        <v>-2.8207144460542901</v>
      </c>
      <c r="L60" s="14">
        <v>-1.61385398127208</v>
      </c>
      <c r="M60" s="14">
        <v>-1.86248647374809</v>
      </c>
      <c r="N60" s="14">
        <v>-0.64988872305720802</v>
      </c>
      <c r="O60" s="14">
        <v>-1.1916951326720799</v>
      </c>
      <c r="P60" s="14">
        <v>-9.42048256297284E-2</v>
      </c>
      <c r="Q60" s="14">
        <v>-0.75042685840076295</v>
      </c>
      <c r="R60" s="14">
        <v>-4.0667364878671197</v>
      </c>
      <c r="S60" s="14">
        <v>-1.5776800001529601</v>
      </c>
      <c r="T60" s="14">
        <v>-2.7339132662519701</v>
      </c>
      <c r="U60" s="14">
        <v>-1.7397930983955101</v>
      </c>
      <c r="V60" s="14">
        <v>-2.9063907251329102</v>
      </c>
      <c r="W60" s="14">
        <v>-0.79594788053954502</v>
      </c>
      <c r="X60" s="14">
        <v>-2.2355920176895001</v>
      </c>
      <c r="Y60" s="14">
        <v>-0.72886754203591997</v>
      </c>
      <c r="Z60" s="14">
        <v>-0.44982247074734799</v>
      </c>
      <c r="AA60" s="14">
        <v>-1.20404924987377</v>
      </c>
      <c r="AB60" s="14">
        <v>-3.3142013881738599</v>
      </c>
      <c r="AC60" s="14">
        <v>-1.83816289236167</v>
      </c>
      <c r="AD60" s="14">
        <v>-1.9229538682328799</v>
      </c>
    </row>
    <row r="61" spans="1:30" ht="17.399999999999999" x14ac:dyDescent="0.3">
      <c r="A61" s="38" t="s">
        <v>1896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s="7" customFormat="1" ht="17.399999999999999" x14ac:dyDescent="0.3">
      <c r="A62" s="12" t="s">
        <v>0</v>
      </c>
      <c r="B62" s="12" t="s">
        <v>1</v>
      </c>
      <c r="C62" s="12" t="s">
        <v>29</v>
      </c>
      <c r="D62" s="12" t="s">
        <v>1140</v>
      </c>
      <c r="E62" s="12" t="s">
        <v>14</v>
      </c>
      <c r="F62" s="12" t="s">
        <v>18</v>
      </c>
      <c r="G62" s="12" t="s">
        <v>5</v>
      </c>
      <c r="H62" s="12" t="s">
        <v>1141</v>
      </c>
      <c r="I62" s="12" t="s">
        <v>1174</v>
      </c>
      <c r="J62" s="12" t="s">
        <v>21</v>
      </c>
      <c r="K62" s="12" t="s">
        <v>1138</v>
      </c>
      <c r="L62" s="12" t="s">
        <v>1136</v>
      </c>
      <c r="M62" s="12" t="s">
        <v>1142</v>
      </c>
      <c r="N62" s="12" t="s">
        <v>1148</v>
      </c>
      <c r="O62" s="12" t="s">
        <v>1144</v>
      </c>
      <c r="P62" s="12" t="s">
        <v>1149</v>
      </c>
      <c r="Q62" s="12" t="s">
        <v>1145</v>
      </c>
      <c r="R62" s="12" t="s">
        <v>37</v>
      </c>
      <c r="S62" s="12" t="s">
        <v>9</v>
      </c>
      <c r="T62" s="12" t="s">
        <v>19</v>
      </c>
      <c r="U62" s="12" t="s">
        <v>15</v>
      </c>
      <c r="V62" s="12" t="s">
        <v>17</v>
      </c>
      <c r="W62" s="12" t="s">
        <v>11</v>
      </c>
      <c r="X62" s="12" t="s">
        <v>7</v>
      </c>
      <c r="Y62" s="12" t="s">
        <v>1147</v>
      </c>
      <c r="Z62" s="12" t="s">
        <v>1146</v>
      </c>
      <c r="AA62" s="12" t="s">
        <v>10</v>
      </c>
      <c r="AB62" s="12" t="s">
        <v>1175</v>
      </c>
      <c r="AC62" s="12" t="s">
        <v>16</v>
      </c>
      <c r="AD62" s="12" t="s">
        <v>12</v>
      </c>
    </row>
    <row r="63" spans="1:30" s="7" customFormat="1" ht="17.399999999999999" x14ac:dyDescent="0.3">
      <c r="A63" s="12" t="s">
        <v>1876</v>
      </c>
      <c r="B63" s="14">
        <v>54.262768378425001</v>
      </c>
      <c r="C63" s="14">
        <v>7.8462325114761704</v>
      </c>
      <c r="D63" s="14">
        <v>36.992160823176299</v>
      </c>
      <c r="E63" s="14">
        <v>6.4541151687742798E-2</v>
      </c>
      <c r="F63" s="14">
        <v>0.245851056835864</v>
      </c>
      <c r="G63" s="14">
        <v>0.66736750258298305</v>
      </c>
      <c r="H63" s="14">
        <v>0.168832979475251</v>
      </c>
      <c r="I63" s="14">
        <v>1.4441116191076799</v>
      </c>
      <c r="J63" s="14">
        <v>9.2616823736571092</v>
      </c>
      <c r="K63" s="14">
        <v>6.1601225689377701</v>
      </c>
      <c r="L63" s="14">
        <v>0.168832979475251</v>
      </c>
      <c r="M63" s="14">
        <v>5.7590284697615104</v>
      </c>
      <c r="N63" s="14">
        <v>0.43323348573230303</v>
      </c>
      <c r="O63" s="14">
        <v>9.8661257526512693E-3</v>
      </c>
      <c r="P63" s="14">
        <v>0.17346269078460899</v>
      </c>
      <c r="Q63" s="14">
        <v>0.30881276991381301</v>
      </c>
      <c r="R63" s="14">
        <v>0.53282468033824404</v>
      </c>
      <c r="S63" s="14">
        <v>4.3754581842913101E-4</v>
      </c>
      <c r="T63" s="14">
        <v>15.829989889159799</v>
      </c>
      <c r="U63" s="14">
        <v>3.1048399810815099</v>
      </c>
      <c r="V63" s="14">
        <v>0.205790529784349</v>
      </c>
      <c r="W63" s="14">
        <v>0.188666337283559</v>
      </c>
      <c r="X63" s="14">
        <v>9.2154085979152907</v>
      </c>
      <c r="Y63" s="14">
        <v>0.39203442713694098</v>
      </c>
      <c r="Z63" s="14">
        <v>18.327158626916201</v>
      </c>
      <c r="AA63" s="14">
        <v>0.36376921154570402</v>
      </c>
      <c r="AB63" s="14">
        <v>9.6873496962469705</v>
      </c>
      <c r="AC63" s="14">
        <v>0.61997996737225503</v>
      </c>
      <c r="AD63" s="14">
        <v>5.7059394201990496</v>
      </c>
    </row>
    <row r="64" spans="1:30" s="7" customFormat="1" ht="17.399999999999999" x14ac:dyDescent="0.3">
      <c r="A64" s="12" t="s">
        <v>1877</v>
      </c>
      <c r="B64" s="14">
        <v>4.5559037306054</v>
      </c>
      <c r="C64" s="14">
        <v>7.2816557784813396</v>
      </c>
      <c r="D64" s="14">
        <v>7.8721270906451202E-2</v>
      </c>
      <c r="E64" s="14">
        <v>3.05377402394496</v>
      </c>
      <c r="F64" s="14">
        <v>0.97459191446097304</v>
      </c>
      <c r="G64" s="14">
        <v>3.5383916705037</v>
      </c>
      <c r="H64" s="14">
        <v>0.11292634037357099</v>
      </c>
      <c r="I64" s="14">
        <v>11.612243283891299</v>
      </c>
      <c r="J64" s="14">
        <v>0.50325396042933401</v>
      </c>
      <c r="K64" s="14">
        <v>1.5373797762543899</v>
      </c>
      <c r="L64" s="14">
        <v>3.71806197508407</v>
      </c>
      <c r="M64" s="14">
        <v>0.200896911018876</v>
      </c>
      <c r="N64" s="14">
        <v>0.25587261548163298</v>
      </c>
      <c r="O64" s="14">
        <v>0.40933482126737197</v>
      </c>
      <c r="P64" s="14">
        <v>0.60887825751705604</v>
      </c>
      <c r="Q64" s="14">
        <v>1.27230951318685</v>
      </c>
      <c r="R64" s="14">
        <v>9.0500801731285492</v>
      </c>
      <c r="S64" s="14">
        <v>0.349566857881008</v>
      </c>
      <c r="T64" s="14">
        <v>0.60824418642409905</v>
      </c>
      <c r="U64" s="14">
        <v>0.74171918296448702</v>
      </c>
      <c r="V64" s="14">
        <v>43.281346333046102</v>
      </c>
      <c r="W64" s="14">
        <v>0.38380892322245003</v>
      </c>
      <c r="X64" s="14">
        <v>5.2110547124600402</v>
      </c>
      <c r="Y64" s="14">
        <v>1.23671764149456</v>
      </c>
      <c r="Z64" s="14">
        <v>0.264432723887643</v>
      </c>
      <c r="AA64" s="14">
        <v>3.7591849567361302</v>
      </c>
      <c r="AB64" s="14">
        <v>5.3616840142119599</v>
      </c>
      <c r="AC64" s="14">
        <v>0.53550526149940003</v>
      </c>
      <c r="AD64" s="14">
        <v>2.6875237780966201</v>
      </c>
    </row>
    <row r="65" spans="1:30" s="7" customFormat="1" ht="17.399999999999999" x14ac:dyDescent="0.3">
      <c r="A65" s="12" t="s">
        <v>1878</v>
      </c>
      <c r="B65" s="14">
        <v>32.363586642491597</v>
      </c>
      <c r="C65" s="14">
        <v>37.766293187137897</v>
      </c>
      <c r="D65" s="14">
        <v>5.7650254561201E-4</v>
      </c>
      <c r="E65" s="14">
        <v>5.4546483871402902</v>
      </c>
      <c r="F65" s="14">
        <v>1.1453021089856099</v>
      </c>
      <c r="G65" s="14">
        <v>6.6956572193283304</v>
      </c>
      <c r="H65" s="14">
        <v>1.1927866670979499</v>
      </c>
      <c r="I65" s="14">
        <v>0.186783033957788</v>
      </c>
      <c r="J65" s="14">
        <v>3.1874255376386298</v>
      </c>
      <c r="K65" s="14">
        <v>1.30748123770452</v>
      </c>
      <c r="L65" s="14">
        <v>8.92518754858556E-3</v>
      </c>
      <c r="M65" s="14">
        <v>1.3212731329885199</v>
      </c>
      <c r="N65" s="14">
        <v>0.63143874317843796</v>
      </c>
      <c r="O65" s="14">
        <v>0.56227044398098103</v>
      </c>
      <c r="P65" s="14">
        <v>8.59730972240971E-2</v>
      </c>
      <c r="Q65" s="14">
        <v>0.614220400441431</v>
      </c>
      <c r="R65" s="14">
        <v>21.609757830885101</v>
      </c>
      <c r="S65" s="14">
        <v>0.221104670045316</v>
      </c>
      <c r="T65" s="14">
        <v>1.2011313035784399</v>
      </c>
      <c r="U65" s="14">
        <v>0.87390015067745497</v>
      </c>
      <c r="V65" s="14">
        <v>0.53170094159751602</v>
      </c>
      <c r="W65" s="14">
        <v>0.69099795049660995</v>
      </c>
      <c r="X65" s="14">
        <v>20.4132906766438</v>
      </c>
      <c r="Y65" s="14">
        <v>0.26867881069528199</v>
      </c>
      <c r="Z65" s="14">
        <v>0.33018503236574198</v>
      </c>
      <c r="AA65" s="14">
        <v>3.2212468031838499</v>
      </c>
      <c r="AB65" s="14">
        <v>0.23781692275381999</v>
      </c>
      <c r="AC65" s="14">
        <v>3.6853224026485898</v>
      </c>
      <c r="AD65" s="14">
        <v>4.5518338455150804</v>
      </c>
    </row>
    <row r="66" spans="1:30" s="7" customFormat="1" ht="17.399999999999999" x14ac:dyDescent="0.3">
      <c r="A66" s="12" t="s">
        <v>1879</v>
      </c>
      <c r="B66" s="14">
        <v>1.5685449577728099</v>
      </c>
      <c r="C66" s="14">
        <v>2.2590050146985998</v>
      </c>
      <c r="D66" s="14">
        <v>15.0473477345157</v>
      </c>
      <c r="E66" s="14">
        <v>2.52722323273811E-5</v>
      </c>
      <c r="F66" s="14">
        <v>3.2020582802201698E-3</v>
      </c>
      <c r="G66" s="14">
        <v>4.27631320750295</v>
      </c>
      <c r="H66" s="14">
        <v>0.45512591296256699</v>
      </c>
      <c r="I66" s="14">
        <v>1.0483998108150701</v>
      </c>
      <c r="J66" s="14">
        <v>0.11672307805179701</v>
      </c>
      <c r="K66" s="14">
        <v>5.4750607594863796</v>
      </c>
      <c r="L66" s="14">
        <v>0.45512591296256699</v>
      </c>
      <c r="M66" s="14">
        <v>0.22070229807531599</v>
      </c>
      <c r="N66" s="14">
        <v>0.31451994324452098</v>
      </c>
      <c r="O66" s="14">
        <v>2.30647958379316</v>
      </c>
      <c r="P66" s="14">
        <v>5.46055058293166E-2</v>
      </c>
      <c r="Q66" s="14">
        <v>0.80394639049144201</v>
      </c>
      <c r="R66" s="14">
        <v>0.59520442956032704</v>
      </c>
      <c r="S66" s="14">
        <v>0.60528945057613304</v>
      </c>
      <c r="T66" s="14">
        <v>0.67852253441516197</v>
      </c>
      <c r="U66" s="14">
        <v>1.3523634925354999</v>
      </c>
      <c r="V66" s="14">
        <v>2.92628858920121</v>
      </c>
      <c r="W66" s="14">
        <v>0.471779914866782</v>
      </c>
      <c r="X66" s="14">
        <v>2.0792112466362801E-2</v>
      </c>
      <c r="Y66" s="14">
        <v>19.753210578676399</v>
      </c>
      <c r="Z66" s="14">
        <v>9.6339819947277496E-4</v>
      </c>
      <c r="AA66" s="14">
        <v>0.10310042621318199</v>
      </c>
      <c r="AB66" s="14">
        <v>7.3208821709471303</v>
      </c>
      <c r="AC66" s="14">
        <v>2.5161595459561701</v>
      </c>
      <c r="AD66" s="14">
        <v>0.92917971187182002</v>
      </c>
    </row>
    <row r="67" spans="1:30" s="7" customFormat="1" ht="17.399999999999999" x14ac:dyDescent="0.3">
      <c r="A67" s="12" t="s">
        <v>1880</v>
      </c>
      <c r="B67" s="14">
        <v>19.746060989011202</v>
      </c>
      <c r="C67" s="14">
        <v>2.8438577437397501</v>
      </c>
      <c r="D67" s="14">
        <v>2.4455746255730499</v>
      </c>
      <c r="E67" s="14">
        <v>1.0847229739051101</v>
      </c>
      <c r="F67" s="14">
        <v>1.0964609463792501</v>
      </c>
      <c r="G67" s="14">
        <v>0.315588610886256</v>
      </c>
      <c r="H67" s="14">
        <v>3.3859856715114001</v>
      </c>
      <c r="I67" s="14">
        <v>29.446740046299301</v>
      </c>
      <c r="J67" s="14">
        <v>0.56526520759035004</v>
      </c>
      <c r="K67" s="14">
        <v>12.426672838685599</v>
      </c>
      <c r="L67" s="14">
        <v>0.25104255788267399</v>
      </c>
      <c r="M67" s="14">
        <v>1.6289104607747</v>
      </c>
      <c r="N67" s="14">
        <v>0.26627778653633899</v>
      </c>
      <c r="O67" s="14">
        <v>51.696608176136003</v>
      </c>
      <c r="P67" s="14">
        <v>0.49781361413997099</v>
      </c>
      <c r="Q67" s="14">
        <v>1.17164450875064</v>
      </c>
      <c r="R67" s="14">
        <v>10.190903210743199</v>
      </c>
      <c r="S67" s="14">
        <v>0.53214373052268304</v>
      </c>
      <c r="T67" s="14">
        <v>5.32997453710197</v>
      </c>
      <c r="U67" s="14">
        <v>19.4456036609877</v>
      </c>
      <c r="V67" s="14">
        <v>2.5352360149186102</v>
      </c>
      <c r="W67" s="14">
        <v>0.39941667980450901</v>
      </c>
      <c r="X67" s="14">
        <v>0.22878134093185101</v>
      </c>
      <c r="Y67" s="14">
        <v>1.2870093015923101</v>
      </c>
      <c r="Z67" s="14">
        <v>0.30857124531400498</v>
      </c>
      <c r="AA67" s="14">
        <v>2.8846760208103399</v>
      </c>
      <c r="AB67" s="14">
        <v>30.156745499941401</v>
      </c>
      <c r="AC67" s="14">
        <v>1.64117551905211</v>
      </c>
      <c r="AD67" s="14">
        <v>10.418477436743199</v>
      </c>
    </row>
    <row r="68" spans="1:30" s="7" customFormat="1" ht="17.399999999999999" x14ac:dyDescent="0.3">
      <c r="A68" s="12" t="s">
        <v>1881</v>
      </c>
      <c r="B68" s="14">
        <v>3.3331559404102601E-3</v>
      </c>
      <c r="C68" s="14">
        <v>5.5247749631660303</v>
      </c>
      <c r="D68" s="14">
        <v>3.4503284502668699</v>
      </c>
      <c r="E68" s="14">
        <v>0.85873338191205595</v>
      </c>
      <c r="F68" s="14">
        <v>2.0744005394926099</v>
      </c>
      <c r="G68" s="14">
        <v>5.6775602857281197E-4</v>
      </c>
      <c r="H68" s="14">
        <v>1.45083209247643</v>
      </c>
      <c r="I68" s="14">
        <v>0.81980135582531899</v>
      </c>
      <c r="J68" s="14">
        <v>0.59813711417640703</v>
      </c>
      <c r="K68" s="14">
        <v>14.9467138863816</v>
      </c>
      <c r="L68" s="14">
        <v>4.0663206579649902</v>
      </c>
      <c r="M68" s="14">
        <v>7.8923063663962303</v>
      </c>
      <c r="N68" s="14">
        <v>0.24594040674759601</v>
      </c>
      <c r="O68" s="14">
        <v>2.6748916541443699</v>
      </c>
      <c r="P68" s="14">
        <v>1.8445530506069701</v>
      </c>
      <c r="Q68" s="14">
        <v>8.5259974654070501</v>
      </c>
      <c r="R68" s="14">
        <v>24.908554445351999</v>
      </c>
      <c r="S68" s="14">
        <v>1.5498885818386401E-2</v>
      </c>
      <c r="T68" s="14">
        <v>2.2753976604891499</v>
      </c>
      <c r="U68" s="14">
        <v>3.1982575131770899E-2</v>
      </c>
      <c r="V68" s="14">
        <v>13.276724801618601</v>
      </c>
      <c r="W68" s="14">
        <v>1.0795943708051501</v>
      </c>
      <c r="X68" s="14">
        <v>1.2539026138299401</v>
      </c>
      <c r="Y68" s="14">
        <v>2.9958650296845499E-2</v>
      </c>
      <c r="Z68" s="14">
        <v>1.59861264385937</v>
      </c>
      <c r="AA68" s="14">
        <v>1.0396798502192699</v>
      </c>
      <c r="AB68" s="14">
        <v>1.4851243892063899</v>
      </c>
      <c r="AC68" s="14">
        <v>0.47577645910897098</v>
      </c>
      <c r="AD68" s="14">
        <v>3.4619323503170402E-4</v>
      </c>
    </row>
    <row r="69" spans="1:30" s="7" customFormat="1" ht="17.399999999999999" x14ac:dyDescent="0.3">
      <c r="A69" s="12" t="s">
        <v>1882</v>
      </c>
      <c r="B69" s="14">
        <v>7.8202384038322095E-2</v>
      </c>
      <c r="C69" s="14">
        <v>0.741965589550027</v>
      </c>
      <c r="D69" s="14">
        <v>0.205634269126384</v>
      </c>
      <c r="E69" s="14">
        <v>0.69326996707278299</v>
      </c>
      <c r="F69" s="14">
        <v>1.24941618554691E-2</v>
      </c>
      <c r="G69" s="14">
        <v>0.59723037267504098</v>
      </c>
      <c r="H69" s="14">
        <v>2.0912029008355701</v>
      </c>
      <c r="I69" s="14">
        <v>1.1303799463976001</v>
      </c>
      <c r="J69" s="14">
        <v>0.162194233125143</v>
      </c>
      <c r="K69" s="14">
        <v>1.9347357355622701</v>
      </c>
      <c r="L69" s="14">
        <v>1.7423016983778801</v>
      </c>
      <c r="M69" s="14">
        <v>1.18256031735457</v>
      </c>
      <c r="N69" s="14">
        <v>1.28797497880538</v>
      </c>
      <c r="O69" s="14">
        <v>0.88895329046828697</v>
      </c>
      <c r="P69" s="14">
        <v>0.11608074333386099</v>
      </c>
      <c r="Q69" s="14">
        <v>0.45215197855904199</v>
      </c>
      <c r="R69" s="14">
        <v>2.6119481834023199</v>
      </c>
      <c r="S69" s="14">
        <v>6.1425193697478102</v>
      </c>
      <c r="T69" s="14">
        <v>3.6981555965541602</v>
      </c>
      <c r="U69" s="14">
        <v>0.84178586078546602</v>
      </c>
      <c r="V69" s="14">
        <v>0.21863486202113999</v>
      </c>
      <c r="W69" s="14">
        <v>0.50867097587892096</v>
      </c>
      <c r="X69" s="14">
        <v>2.2236253237468899</v>
      </c>
      <c r="Y69" s="14">
        <v>0.24916009363227001</v>
      </c>
      <c r="Z69" s="14">
        <v>1.4629756521180299</v>
      </c>
      <c r="AA69" s="14">
        <v>0.47879866014474898</v>
      </c>
      <c r="AB69" s="14">
        <v>0.86013715323406903</v>
      </c>
      <c r="AC69" s="14">
        <v>3.0380490601110699E-2</v>
      </c>
      <c r="AD69" s="14">
        <v>9.3173841751927</v>
      </c>
    </row>
    <row r="70" spans="1:30" s="7" customFormat="1" ht="17.399999999999999" x14ac:dyDescent="0.3">
      <c r="A70" s="12" t="s">
        <v>1883</v>
      </c>
      <c r="B70" s="14">
        <v>0.83823171764837101</v>
      </c>
      <c r="C70" s="14">
        <v>2.00905803717247</v>
      </c>
      <c r="D70" s="14">
        <v>1.55863310146796</v>
      </c>
      <c r="E70" s="14">
        <v>0.96855474666363395</v>
      </c>
      <c r="F70" s="14">
        <v>0.17922376522303901</v>
      </c>
      <c r="G70" s="14">
        <v>8.5755234130910907</v>
      </c>
      <c r="H70" s="14">
        <v>0.47449063872317898</v>
      </c>
      <c r="I70" s="14">
        <v>1.0625886804351301</v>
      </c>
      <c r="J70" s="14">
        <v>0.89755060023474198</v>
      </c>
      <c r="K70" s="14">
        <v>0.27805293769615302</v>
      </c>
      <c r="L70" s="14">
        <v>25.170617032178999</v>
      </c>
      <c r="M70" s="14">
        <v>0.25869370395615099</v>
      </c>
      <c r="N70" s="14">
        <v>0.31877660413053799</v>
      </c>
      <c r="O70" s="14">
        <v>2.3376950969572801</v>
      </c>
      <c r="P70" s="14">
        <v>6.3887504932213707E-2</v>
      </c>
      <c r="Q70" s="14">
        <v>0.42503547217405002</v>
      </c>
      <c r="R70" s="14">
        <v>0.84000329572813304</v>
      </c>
      <c r="S70" s="14">
        <v>79.4613481736734</v>
      </c>
      <c r="T70" s="14">
        <v>0.12449286300766201</v>
      </c>
      <c r="U70" s="14">
        <v>1.28808508878605</v>
      </c>
      <c r="V70" s="14">
        <v>6.11651192081804E-2</v>
      </c>
      <c r="W70" s="14">
        <v>0.47816490619580598</v>
      </c>
      <c r="X70" s="14">
        <v>0.83258184128966894</v>
      </c>
      <c r="Y70" s="14">
        <v>0.18978663687139</v>
      </c>
      <c r="Z70" s="14">
        <v>0.55466224625806604</v>
      </c>
      <c r="AA70" s="14">
        <v>1.8778825106609101</v>
      </c>
      <c r="AB70" s="14">
        <v>14.9770089890955</v>
      </c>
      <c r="AC70" s="14">
        <v>0.118709371125409</v>
      </c>
      <c r="AD70" s="14">
        <v>0.36052169706896597</v>
      </c>
    </row>
    <row r="71" spans="1:30" s="7" customFormat="1" ht="17.399999999999999" x14ac:dyDescent="0.3">
      <c r="A71" s="12" t="s">
        <v>1884</v>
      </c>
      <c r="B71" s="14">
        <v>17.367686704920398</v>
      </c>
      <c r="C71" s="14">
        <v>16.346544513910899</v>
      </c>
      <c r="D71" s="14">
        <v>6.2308199081175104</v>
      </c>
      <c r="E71" s="14">
        <v>11.5466835006641</v>
      </c>
      <c r="F71" s="14">
        <v>0.19968216865762001</v>
      </c>
      <c r="G71" s="14">
        <v>10.454284390160201</v>
      </c>
      <c r="H71" s="14">
        <v>29.141638351857701</v>
      </c>
      <c r="I71" s="14">
        <v>3.8829902135651202</v>
      </c>
      <c r="J71" s="14">
        <v>0.50974425282053903</v>
      </c>
      <c r="K71" s="14">
        <v>0.31143775041121002</v>
      </c>
      <c r="L71" s="14">
        <v>1.21325171675013</v>
      </c>
      <c r="M71" s="14">
        <v>4.6475133687578802</v>
      </c>
      <c r="N71" s="14">
        <v>0.61753793304441795</v>
      </c>
      <c r="O71" s="14">
        <v>6.19655365962294</v>
      </c>
      <c r="P71" s="14">
        <v>0.631681589935425</v>
      </c>
      <c r="Q71" s="14">
        <v>0.234082032472893</v>
      </c>
      <c r="R71" s="14">
        <v>6.1601560457028803</v>
      </c>
      <c r="S71" s="14">
        <v>4.4542026371471497</v>
      </c>
      <c r="T71" s="14">
        <v>3.2907967320162799</v>
      </c>
      <c r="U71" s="14">
        <v>3.2430285362147399E-2</v>
      </c>
      <c r="V71" s="14">
        <v>0.79122030379400499</v>
      </c>
      <c r="W71" s="14">
        <v>0.13206612110996299</v>
      </c>
      <c r="X71" s="14">
        <v>0.40719866081245498</v>
      </c>
      <c r="Y71" s="14">
        <v>0.25403691227495101</v>
      </c>
      <c r="Z71" s="14">
        <v>1.3501629442341201</v>
      </c>
      <c r="AA71" s="14">
        <v>0.211477554888785</v>
      </c>
      <c r="AB71" s="14">
        <v>221.19959914815999</v>
      </c>
      <c r="AC71" s="14">
        <v>0.13781704208786699</v>
      </c>
      <c r="AD71" s="14">
        <v>0.24304310105818799</v>
      </c>
    </row>
    <row r="72" spans="1:30" s="7" customFormat="1" ht="17.399999999999999" x14ac:dyDescent="0.3">
      <c r="A72" s="12" t="s">
        <v>1885</v>
      </c>
      <c r="B72" s="14">
        <v>1.9231484337813201</v>
      </c>
      <c r="C72" s="14">
        <v>5.5983111881219196</v>
      </c>
      <c r="D72" s="14">
        <v>1.5760363697913699E-2</v>
      </c>
      <c r="E72" s="14">
        <v>14.2640634294193</v>
      </c>
      <c r="F72" s="14">
        <v>1.6306804386768099</v>
      </c>
      <c r="G72" s="14">
        <v>0.95383759632604703</v>
      </c>
      <c r="H72" s="14">
        <v>2.6358512078412799</v>
      </c>
      <c r="I72" s="14">
        <v>8.0772995686418797E-2</v>
      </c>
      <c r="J72" s="14">
        <v>1.4400658196932801</v>
      </c>
      <c r="K72" s="14">
        <v>17.379204658301699</v>
      </c>
      <c r="L72" s="14">
        <v>2.4557780230174999</v>
      </c>
      <c r="M72" s="14">
        <v>20.177453365653001</v>
      </c>
      <c r="N72" s="14">
        <v>0.90931899292603602</v>
      </c>
      <c r="O72" s="14">
        <v>0.39911497185324402</v>
      </c>
      <c r="P72" s="14">
        <v>1.3215683508777101</v>
      </c>
      <c r="Q72" s="14">
        <v>0.53097903200378405</v>
      </c>
      <c r="R72" s="14">
        <v>7.9291498406951503E-4</v>
      </c>
      <c r="S72" s="14">
        <v>1.26756384145622</v>
      </c>
      <c r="T72" s="14">
        <v>2.2017765964280902</v>
      </c>
      <c r="U72" s="14">
        <v>0.46015492531399099</v>
      </c>
      <c r="V72" s="14">
        <v>12.6442579266126</v>
      </c>
      <c r="W72" s="14">
        <v>3.2935773281327898</v>
      </c>
      <c r="X72" s="14">
        <v>2.2935168254632701</v>
      </c>
      <c r="Y72" s="14">
        <v>8.6280506905796095</v>
      </c>
      <c r="Z72" s="14">
        <v>0.133805684971183</v>
      </c>
      <c r="AA72" s="14">
        <v>0.40033655536693902</v>
      </c>
      <c r="AB72" s="14">
        <v>7.0252441154846199</v>
      </c>
      <c r="AC72" s="14">
        <v>1.0844500811300801E-2</v>
      </c>
      <c r="AD72" s="14">
        <v>2.1236736171933499</v>
      </c>
    </row>
    <row r="73" spans="1:30" s="7" customFormat="1" ht="17.399999999999999" x14ac:dyDescent="0.3">
      <c r="A73" s="12" t="s">
        <v>1886</v>
      </c>
      <c r="B73" s="14">
        <v>9.1352065945367293</v>
      </c>
      <c r="C73" s="14">
        <v>10.5705466306706</v>
      </c>
      <c r="D73" s="14">
        <v>0.119122175049703</v>
      </c>
      <c r="E73" s="14">
        <v>7.8389068918584496E-3</v>
      </c>
      <c r="F73" s="14">
        <v>2.8167545538991101</v>
      </c>
      <c r="G73" s="14">
        <v>0.44367336136879898</v>
      </c>
      <c r="H73" s="14">
        <v>2.1395953486753099</v>
      </c>
      <c r="I73" s="14">
        <v>2.09837616269904</v>
      </c>
      <c r="J73" s="14">
        <v>1.9098114740702801</v>
      </c>
      <c r="K73" s="14">
        <v>3.6392824895426199</v>
      </c>
      <c r="L73" s="14">
        <v>3.8819959009932199</v>
      </c>
      <c r="M73" s="14">
        <v>7.8689106101213904</v>
      </c>
      <c r="N73" s="14">
        <v>0.62951284880971203</v>
      </c>
      <c r="O73" s="14">
        <v>1.48289842741401</v>
      </c>
      <c r="P73" s="14">
        <v>2.2768017463215999</v>
      </c>
      <c r="Q73" s="14">
        <v>0.83935046507961497</v>
      </c>
      <c r="R73" s="14">
        <v>13.887597510029501</v>
      </c>
      <c r="S73" s="14">
        <v>14.993453908988499</v>
      </c>
      <c r="T73" s="14">
        <v>1.6627590367980401E-2</v>
      </c>
      <c r="U73" s="14">
        <v>1.39813010461572</v>
      </c>
      <c r="V73" s="14">
        <v>4.5759193854103604</v>
      </c>
      <c r="W73" s="14">
        <v>1.1803490795423099</v>
      </c>
      <c r="X73" s="14">
        <v>7.4492353775815898</v>
      </c>
      <c r="Y73" s="14">
        <v>3.0426454359136001</v>
      </c>
      <c r="Z73" s="14">
        <v>4.0918335172631197</v>
      </c>
      <c r="AA73" s="14">
        <v>0.48556082270934198</v>
      </c>
      <c r="AB73" s="14">
        <v>2.1888701440012102</v>
      </c>
      <c r="AC73" s="14">
        <v>0.184487463655754</v>
      </c>
      <c r="AD73" s="14">
        <v>1.1816438453408</v>
      </c>
    </row>
    <row r="74" spans="1:30" s="7" customFormat="1" ht="17.399999999999999" x14ac:dyDescent="0.3">
      <c r="A74" s="12" t="s">
        <v>1887</v>
      </c>
      <c r="B74" s="14">
        <v>10.2885957842821</v>
      </c>
      <c r="C74" s="14">
        <v>2.30333017439618</v>
      </c>
      <c r="D74" s="14">
        <v>4.0325996687037797</v>
      </c>
      <c r="E74" s="14">
        <v>0.82134040896390004</v>
      </c>
      <c r="F74" s="14">
        <v>0.84342566499280602</v>
      </c>
      <c r="G74" s="14">
        <v>3.6040840126248499</v>
      </c>
      <c r="H74" s="14">
        <v>4.9229723032313898E-2</v>
      </c>
      <c r="I74" s="14">
        <v>1.42676966734983</v>
      </c>
      <c r="J74" s="14">
        <v>3.71452293806099E-2</v>
      </c>
      <c r="K74" s="14">
        <v>4.8885242144638399</v>
      </c>
      <c r="L74" s="14">
        <v>2.6395238845971898</v>
      </c>
      <c r="M74" s="14">
        <v>7.8872440407183095E-2</v>
      </c>
      <c r="N74" s="14">
        <v>0.42803090020494999</v>
      </c>
      <c r="O74" s="14">
        <v>3.1388932681696402</v>
      </c>
      <c r="P74" s="14">
        <v>1.52173574171515</v>
      </c>
      <c r="Q74" s="14">
        <v>0.57070786693993403</v>
      </c>
      <c r="R74" s="14">
        <v>11.414488972016301</v>
      </c>
      <c r="S74" s="14">
        <v>6.6721410706991602</v>
      </c>
      <c r="T74" s="14">
        <v>0.16573612316374001</v>
      </c>
      <c r="U74" s="14">
        <v>0.371524976245032</v>
      </c>
      <c r="V74" s="14">
        <v>6.6774320004157701</v>
      </c>
      <c r="W74" s="14">
        <v>0.64204635030742496</v>
      </c>
      <c r="X74" s="14">
        <v>3.2624644255427699</v>
      </c>
      <c r="Y74" s="14">
        <v>2.0688160176572601</v>
      </c>
      <c r="Z74" s="14">
        <v>1.14162853230682</v>
      </c>
      <c r="AA74" s="14">
        <v>2.8416633506596501E-2</v>
      </c>
      <c r="AB74" s="14">
        <v>0.24461309703001599</v>
      </c>
      <c r="AC74" s="14">
        <v>0.59238716480719</v>
      </c>
      <c r="AD74" s="14">
        <v>3.8003173242998498</v>
      </c>
    </row>
    <row r="75" spans="1:30" s="7" customFormat="1" ht="17.399999999999999" x14ac:dyDescent="0.3">
      <c r="A75" s="12" t="s">
        <v>1888</v>
      </c>
      <c r="B75" s="14">
        <v>3.7056846574825899</v>
      </c>
      <c r="C75" s="14">
        <v>5.7424896214491898E-3</v>
      </c>
      <c r="D75" s="14">
        <v>1.5703802919576999</v>
      </c>
      <c r="E75" s="14">
        <v>0.75707443179314604</v>
      </c>
      <c r="F75" s="14">
        <v>0.36013067431710499</v>
      </c>
      <c r="G75" s="14">
        <v>10.590734381358001</v>
      </c>
      <c r="H75" s="14">
        <v>0.404431811361533</v>
      </c>
      <c r="I75" s="14">
        <v>1.10407064871591E-4</v>
      </c>
      <c r="J75" s="14">
        <v>2.37482263912975</v>
      </c>
      <c r="K75" s="14">
        <v>2.3462152385782402</v>
      </c>
      <c r="L75" s="14">
        <v>2.42779058355026</v>
      </c>
      <c r="M75" s="14">
        <v>0.164524790923846</v>
      </c>
      <c r="N75" s="14">
        <v>0.303168847548479</v>
      </c>
      <c r="O75" s="14">
        <v>2.24156369978303E-2</v>
      </c>
      <c r="P75" s="14">
        <v>9.8239136958404902</v>
      </c>
      <c r="Q75" s="14">
        <v>0.87809408482282802</v>
      </c>
      <c r="R75" s="14">
        <v>2.0962555528681799</v>
      </c>
      <c r="S75" s="14">
        <v>0.96574977615401902</v>
      </c>
      <c r="T75" s="14">
        <v>0.516666820747261</v>
      </c>
      <c r="U75" s="14">
        <v>1.37288311267812E-2</v>
      </c>
      <c r="V75" s="14">
        <v>6.0633769509695696</v>
      </c>
      <c r="W75" s="14">
        <v>0.45475327132271798</v>
      </c>
      <c r="X75" s="14">
        <v>1.8662438270429</v>
      </c>
      <c r="Y75" s="14">
        <v>0.195102529320937</v>
      </c>
      <c r="Z75" s="14">
        <v>8.2391682518948208</v>
      </c>
      <c r="AA75" s="14">
        <v>1.58880536082235</v>
      </c>
      <c r="AB75" s="14">
        <v>6.9391557169686404</v>
      </c>
      <c r="AC75" s="14">
        <v>17.8225816696234</v>
      </c>
      <c r="AD75" s="14">
        <v>0.78939410815070898</v>
      </c>
    </row>
    <row r="76" spans="1:30" s="7" customFormat="1" ht="17.399999999999999" x14ac:dyDescent="0.3">
      <c r="A76" s="12" t="s">
        <v>1889</v>
      </c>
      <c r="B76" s="14">
        <v>38.210283872590402</v>
      </c>
      <c r="C76" s="14">
        <v>0.27169097866902903</v>
      </c>
      <c r="D76" s="14">
        <v>4.34051909088695</v>
      </c>
      <c r="E76" s="14">
        <v>0.38521604397827203</v>
      </c>
      <c r="F76" s="14">
        <v>1.39572374226333</v>
      </c>
      <c r="G76" s="14">
        <v>0.84617070719298304</v>
      </c>
      <c r="H76" s="14">
        <v>0.35121344644383301</v>
      </c>
      <c r="I76" s="14">
        <v>1.09510121265488</v>
      </c>
      <c r="J76" s="14">
        <v>2.2784959798202702</v>
      </c>
      <c r="K76" s="14">
        <v>2.11307201936234</v>
      </c>
      <c r="L76" s="14">
        <v>0.35121344644383301</v>
      </c>
      <c r="M76" s="14">
        <v>3.6358978401387398</v>
      </c>
      <c r="N76" s="14">
        <v>0.290871827211099</v>
      </c>
      <c r="O76" s="14">
        <v>2.1330600662147199</v>
      </c>
      <c r="P76" s="14">
        <v>0.63993075467041405</v>
      </c>
      <c r="Q76" s="14">
        <v>0.387829102948132</v>
      </c>
      <c r="R76" s="14">
        <v>8.4475449658951192</v>
      </c>
      <c r="S76" s="14">
        <v>3.7148202035359801</v>
      </c>
      <c r="T76" s="14">
        <v>4.7996851667842497</v>
      </c>
      <c r="U76" s="14">
        <v>0.40199492806260101</v>
      </c>
      <c r="V76" s="14">
        <v>1.36450971495368</v>
      </c>
      <c r="W76" s="14">
        <v>5.6041487525600999</v>
      </c>
      <c r="X76" s="14">
        <v>9.0466055182475802E-2</v>
      </c>
      <c r="Y76" s="14">
        <v>0.117178507718797</v>
      </c>
      <c r="Z76" s="14">
        <v>0.41958078139580302</v>
      </c>
      <c r="AA76" s="14">
        <v>3.1511114614535698</v>
      </c>
      <c r="AB76" s="14">
        <v>10.1320353145199</v>
      </c>
      <c r="AC76" s="14">
        <v>3.0705383033256499</v>
      </c>
      <c r="AD76" s="14">
        <v>4.13057686657893</v>
      </c>
    </row>
    <row r="77" spans="1:30" s="7" customFormat="1" ht="17.399999999999999" x14ac:dyDescent="0.3">
      <c r="A77" s="12" t="s">
        <v>1890</v>
      </c>
      <c r="B77" s="14">
        <v>7.96798138588293</v>
      </c>
      <c r="C77" s="14">
        <v>33.477876003501599</v>
      </c>
      <c r="D77" s="14">
        <v>12.352616407221101</v>
      </c>
      <c r="E77" s="14">
        <v>4.4956592571883398</v>
      </c>
      <c r="F77" s="14">
        <v>0.83116589448189404</v>
      </c>
      <c r="G77" s="14">
        <v>5.1592951026817797</v>
      </c>
      <c r="H77" s="14">
        <v>2.6453570865520999</v>
      </c>
      <c r="I77" s="14">
        <v>1.4299227494876201</v>
      </c>
      <c r="J77" s="14">
        <v>3.86360385320706E-2</v>
      </c>
      <c r="K77" s="14">
        <v>6.4090812341279699</v>
      </c>
      <c r="L77" s="14">
        <v>4.7544279257489198E-2</v>
      </c>
      <c r="M77" s="14">
        <v>2.10817135431251</v>
      </c>
      <c r="N77" s="14">
        <v>5.7534898715202996</v>
      </c>
      <c r="O77" s="14">
        <v>0.231928074331328</v>
      </c>
      <c r="P77" s="14">
        <v>0.190399811239963</v>
      </c>
      <c r="Q77" s="14">
        <v>0.57196909979504895</v>
      </c>
      <c r="R77" s="14">
        <v>7.5911917465565599</v>
      </c>
      <c r="S77" s="14">
        <v>1.12701718428794</v>
      </c>
      <c r="T77" s="14">
        <v>5.0534654983051199</v>
      </c>
      <c r="U77" s="14">
        <v>3.0743339113983899</v>
      </c>
      <c r="V77" s="14">
        <v>1.4934468240113701</v>
      </c>
      <c r="W77" s="14">
        <v>0.64346523726943095</v>
      </c>
      <c r="X77" s="14">
        <v>5.0762257606810701</v>
      </c>
      <c r="Y77" s="14">
        <v>2.0733879867570599</v>
      </c>
      <c r="Z77" s="14">
        <v>1.75422729099511</v>
      </c>
      <c r="AA77" s="14">
        <v>2.4188374355379398</v>
      </c>
      <c r="AB77" s="14">
        <v>11.2103821019066</v>
      </c>
      <c r="AC77" s="14">
        <v>3.7099752014898901</v>
      </c>
      <c r="AD77" s="14">
        <v>7.1693628704218706E-2</v>
      </c>
    </row>
    <row r="78" spans="1:30" s="7" customFormat="1" ht="17.399999999999999" x14ac:dyDescent="0.3">
      <c r="A78" s="12" t="s">
        <v>24</v>
      </c>
      <c r="B78" s="14">
        <v>52.727741350602699</v>
      </c>
      <c r="C78" s="14">
        <v>4.87721881404262</v>
      </c>
      <c r="D78" s="14">
        <v>3.6918029284039502</v>
      </c>
      <c r="E78" s="14">
        <v>0.123379209440835</v>
      </c>
      <c r="F78" s="14">
        <v>4.56229418452253E-2</v>
      </c>
      <c r="G78" s="14">
        <v>15.532541597155401</v>
      </c>
      <c r="H78" s="14">
        <v>2.60452467286773</v>
      </c>
      <c r="I78" s="14">
        <v>0.118153526146837</v>
      </c>
      <c r="J78" s="14">
        <v>3.30845026012928</v>
      </c>
      <c r="K78" s="14">
        <v>7.9564299861793497</v>
      </c>
      <c r="L78" s="14">
        <v>2.60452467286773</v>
      </c>
      <c r="M78" s="14">
        <v>3.4688558648946102</v>
      </c>
      <c r="N78" s="14">
        <v>0.422355352356929</v>
      </c>
      <c r="O78" s="14">
        <v>1.42013728923433</v>
      </c>
      <c r="P78" s="14">
        <v>8.8745491719275302E-3</v>
      </c>
      <c r="Q78" s="14">
        <v>0.56314046980923804</v>
      </c>
      <c r="R78" s="14">
        <v>16.538345661749801</v>
      </c>
      <c r="S78" s="14">
        <v>2.4890741828826402</v>
      </c>
      <c r="T78" s="14">
        <v>7.4742817473885097</v>
      </c>
      <c r="U78" s="14">
        <v>3.0268800252246599</v>
      </c>
      <c r="V78" s="14">
        <v>8.4471070471385801</v>
      </c>
      <c r="W78" s="14">
        <v>0.63353302853539295</v>
      </c>
      <c r="X78" s="14">
        <v>4.9978716695569902</v>
      </c>
      <c r="Y78" s="14">
        <v>0.53124789383348303</v>
      </c>
      <c r="Z78" s="14">
        <v>0.202340255189248</v>
      </c>
      <c r="AA78" s="14">
        <v>1.4497345961215899</v>
      </c>
      <c r="AB78" s="14">
        <v>10.9839308413735</v>
      </c>
      <c r="AC78" s="14">
        <v>3.3788428188554298</v>
      </c>
      <c r="AD78" s="14">
        <v>3.6977515793517801</v>
      </c>
    </row>
  </sheetData>
  <mergeCells count="3">
    <mergeCell ref="A1:P1"/>
    <mergeCell ref="A61:P61"/>
    <mergeCell ref="A43:P43"/>
  </mergeCells>
  <conditionalFormatting sqref="B45:AD6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59534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PRDBv3.1</vt:lpstr>
      <vt:lpstr>Table S1</vt:lpstr>
      <vt:lpstr>Table S2</vt:lpstr>
      <vt:lpstr>Table S3</vt:lpstr>
      <vt:lpstr>NR_145_free_RNA</vt:lpstr>
      <vt:lpstr>Table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shrikant kaushik</cp:lastModifiedBy>
  <cp:revision>212</cp:revision>
  <dcterms:created xsi:type="dcterms:W3CDTF">2023-09-13T11:20:09Z</dcterms:created>
  <dcterms:modified xsi:type="dcterms:W3CDTF">2026-05-13T12:30:27Z</dcterms:modified>
  <dc:language>en-IN</dc:language>
</cp:coreProperties>
</file>